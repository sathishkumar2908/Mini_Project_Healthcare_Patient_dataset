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xr:revisionPtr revIDLastSave="0" documentId="8_{63188C8A-EED6-4DBF-907D-0CF211CEF702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Healthcare Raw Dataset" sheetId="1" r:id="rId1"/>
    <sheet name="Cleaned dataset" sheetId="2" r:id="rId2"/>
    <sheet name="Hospital Billing" sheetId="3" r:id="rId3"/>
    <sheet name="Department Billing" sheetId="4" r:id="rId4"/>
    <sheet name="Monthly Trend" sheetId="5" r:id="rId5"/>
    <sheet name="Insurance analysis" sheetId="6" r:id="rId6"/>
    <sheet name="Length of Stay" sheetId="7" r:id="rId7"/>
  </sheets>
  <definedNames>
    <definedName name="_xlnm._FilterDatabase" localSheetId="1" hidden="1">'Cleaned dataset'!$A$1:$Q$1001</definedName>
  </definedNames>
  <calcPr calcId="191028"/>
  <pivotCaches>
    <pivotCache cacheId="7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" i="2" l="1"/>
  <c r="X2" i="2"/>
  <c r="W2" i="2"/>
  <c r="V2" i="2"/>
  <c r="U2" i="2"/>
  <c r="T2" i="2"/>
  <c r="R3" i="2" a="1"/>
  <c r="R3" i="2"/>
  <c r="R4" i="2" a="1"/>
  <c r="R4" i="2"/>
  <c r="R5" i="2" a="1"/>
  <c r="R5" i="2"/>
  <c r="R6" i="2" a="1"/>
  <c r="R6" i="2"/>
  <c r="R7" i="2" a="1"/>
  <c r="R7" i="2"/>
  <c r="R8" i="2" a="1"/>
  <c r="R8" i="2"/>
  <c r="R9" i="2" a="1"/>
  <c r="R9" i="2"/>
  <c r="R10" i="2" a="1"/>
  <c r="R10" i="2"/>
  <c r="R11" i="2" a="1"/>
  <c r="R11" i="2"/>
  <c r="R12" i="2" a="1"/>
  <c r="R12" i="2"/>
  <c r="R13" i="2" a="1"/>
  <c r="R13" i="2"/>
  <c r="R14" i="2" a="1"/>
  <c r="R14" i="2"/>
  <c r="R15" i="2" a="1"/>
  <c r="R15" i="2"/>
  <c r="R16" i="2" a="1"/>
  <c r="R16" i="2"/>
  <c r="R17" i="2" a="1"/>
  <c r="R17" i="2"/>
  <c r="R18" i="2" a="1"/>
  <c r="R18" i="2"/>
  <c r="R19" i="2" a="1"/>
  <c r="R19" i="2"/>
  <c r="R20" i="2" a="1"/>
  <c r="R20" i="2"/>
  <c r="R21" i="2" a="1"/>
  <c r="R21" i="2"/>
  <c r="R22" i="2" a="1"/>
  <c r="R22" i="2"/>
  <c r="R23" i="2" a="1"/>
  <c r="R23" i="2"/>
  <c r="R24" i="2" a="1"/>
  <c r="R24" i="2"/>
  <c r="R25" i="2" a="1"/>
  <c r="R25" i="2"/>
  <c r="R26" i="2" a="1"/>
  <c r="R26" i="2"/>
  <c r="R27" i="2" a="1"/>
  <c r="R27" i="2"/>
  <c r="R28" i="2" a="1"/>
  <c r="R28" i="2"/>
  <c r="R29" i="2" a="1"/>
  <c r="R29" i="2"/>
  <c r="R30" i="2" a="1"/>
  <c r="R30" i="2"/>
  <c r="R31" i="2" a="1"/>
  <c r="R31" i="2"/>
  <c r="R32" i="2" a="1"/>
  <c r="R32" i="2"/>
  <c r="R33" i="2" a="1"/>
  <c r="R33" i="2"/>
  <c r="R34" i="2" a="1"/>
  <c r="R34" i="2"/>
  <c r="R35" i="2" a="1"/>
  <c r="R35" i="2"/>
  <c r="R36" i="2" a="1"/>
  <c r="R36" i="2"/>
  <c r="R37" i="2" a="1"/>
  <c r="R37" i="2"/>
  <c r="R38" i="2" a="1"/>
  <c r="R38" i="2"/>
  <c r="R39" i="2" a="1"/>
  <c r="R39" i="2"/>
  <c r="R40" i="2" a="1"/>
  <c r="R40" i="2"/>
  <c r="R41" i="2" a="1"/>
  <c r="R41" i="2"/>
  <c r="R42" i="2" a="1"/>
  <c r="R42" i="2"/>
  <c r="R43" i="2" a="1"/>
  <c r="R43" i="2"/>
  <c r="R44" i="2" a="1"/>
  <c r="R44" i="2"/>
  <c r="R45" i="2" a="1"/>
  <c r="R45" i="2"/>
  <c r="R46" i="2" a="1"/>
  <c r="R46" i="2"/>
  <c r="R47" i="2" a="1"/>
  <c r="R47" i="2"/>
  <c r="R48" i="2" a="1"/>
  <c r="R48" i="2"/>
  <c r="R49" i="2" a="1"/>
  <c r="R49" i="2"/>
  <c r="R50" i="2" a="1"/>
  <c r="R50" i="2"/>
  <c r="R51" i="2" a="1"/>
  <c r="R51" i="2"/>
  <c r="R52" i="2" a="1"/>
  <c r="R52" i="2"/>
  <c r="R53" i="2" a="1"/>
  <c r="R53" i="2"/>
  <c r="R54" i="2" a="1"/>
  <c r="R54" i="2"/>
  <c r="R55" i="2" a="1"/>
  <c r="R55" i="2"/>
  <c r="R56" i="2" a="1"/>
  <c r="R56" i="2"/>
  <c r="R57" i="2" a="1"/>
  <c r="R57" i="2"/>
  <c r="R58" i="2" a="1"/>
  <c r="R58" i="2"/>
  <c r="R59" i="2" a="1"/>
  <c r="R59" i="2"/>
  <c r="R60" i="2" a="1"/>
  <c r="R60" i="2"/>
  <c r="R61" i="2" a="1"/>
  <c r="R61" i="2"/>
  <c r="R62" i="2" a="1"/>
  <c r="R62" i="2"/>
  <c r="R63" i="2" a="1"/>
  <c r="R63" i="2"/>
  <c r="R64" i="2" a="1"/>
  <c r="R64" i="2"/>
  <c r="R65" i="2" a="1"/>
  <c r="R65" i="2"/>
  <c r="R66" i="2" a="1"/>
  <c r="R66" i="2"/>
  <c r="R67" i="2" a="1"/>
  <c r="R67" i="2"/>
  <c r="R68" i="2" a="1"/>
  <c r="R68" i="2"/>
  <c r="R69" i="2" a="1"/>
  <c r="R69" i="2"/>
  <c r="R70" i="2" a="1"/>
  <c r="R70" i="2"/>
  <c r="R71" i="2" a="1"/>
  <c r="R71" i="2"/>
  <c r="R72" i="2" a="1"/>
  <c r="R72" i="2"/>
  <c r="R73" i="2" a="1"/>
  <c r="R73" i="2"/>
  <c r="R74" i="2" a="1"/>
  <c r="R74" i="2"/>
  <c r="R75" i="2" a="1"/>
  <c r="R75" i="2"/>
  <c r="R76" i="2" a="1"/>
  <c r="R76" i="2"/>
  <c r="R77" i="2" a="1"/>
  <c r="R77" i="2"/>
  <c r="R78" i="2" a="1"/>
  <c r="R78" i="2"/>
  <c r="R79" i="2" a="1"/>
  <c r="R79" i="2"/>
  <c r="R80" i="2" a="1"/>
  <c r="R80" i="2"/>
  <c r="R81" i="2" a="1"/>
  <c r="R81" i="2"/>
  <c r="R82" i="2" a="1"/>
  <c r="R82" i="2"/>
  <c r="R83" i="2" a="1"/>
  <c r="R83" i="2"/>
  <c r="R84" i="2" a="1"/>
  <c r="R84" i="2"/>
  <c r="R85" i="2" a="1"/>
  <c r="R85" i="2"/>
  <c r="R86" i="2" a="1"/>
  <c r="R86" i="2"/>
  <c r="R87" i="2" a="1"/>
  <c r="R87" i="2"/>
  <c r="R88" i="2" a="1"/>
  <c r="R88" i="2"/>
  <c r="R89" i="2" a="1"/>
  <c r="R89" i="2"/>
  <c r="R90" i="2" a="1"/>
  <c r="R90" i="2"/>
  <c r="R91" i="2" a="1"/>
  <c r="R91" i="2"/>
  <c r="R92" i="2" a="1"/>
  <c r="R92" i="2"/>
  <c r="R93" i="2" a="1"/>
  <c r="R93" i="2"/>
  <c r="R94" i="2" a="1"/>
  <c r="R94" i="2"/>
  <c r="R95" i="2" a="1"/>
  <c r="R95" i="2"/>
  <c r="R96" i="2" a="1"/>
  <c r="R96" i="2"/>
  <c r="R97" i="2" a="1"/>
  <c r="R97" i="2"/>
  <c r="R98" i="2" a="1"/>
  <c r="R98" i="2"/>
  <c r="R99" i="2" a="1"/>
  <c r="R99" i="2"/>
  <c r="R100" i="2" a="1"/>
  <c r="R100" i="2"/>
  <c r="R101" i="2" a="1"/>
  <c r="R101" i="2"/>
  <c r="R102" i="2" a="1"/>
  <c r="R102" i="2"/>
  <c r="R103" i="2" a="1"/>
  <c r="R103" i="2"/>
  <c r="R104" i="2" a="1"/>
  <c r="R104" i="2"/>
  <c r="R105" i="2" a="1"/>
  <c r="R105" i="2"/>
  <c r="R106" i="2" a="1"/>
  <c r="R106" i="2"/>
  <c r="R107" i="2" a="1"/>
  <c r="R107" i="2"/>
  <c r="R108" i="2" a="1"/>
  <c r="R108" i="2"/>
  <c r="R109" i="2" a="1"/>
  <c r="R109" i="2"/>
  <c r="R110" i="2" a="1"/>
  <c r="R110" i="2"/>
  <c r="R111" i="2" a="1"/>
  <c r="R111" i="2"/>
  <c r="R112" i="2" a="1"/>
  <c r="R112" i="2"/>
  <c r="R113" i="2" a="1"/>
  <c r="R113" i="2"/>
  <c r="R114" i="2" a="1"/>
  <c r="R114" i="2"/>
  <c r="R115" i="2" a="1"/>
  <c r="R115" i="2"/>
  <c r="R116" i="2" a="1"/>
  <c r="R116" i="2"/>
  <c r="R117" i="2" a="1"/>
  <c r="R117" i="2"/>
  <c r="R118" i="2" a="1"/>
  <c r="R118" i="2"/>
  <c r="R119" i="2" a="1"/>
  <c r="R119" i="2"/>
  <c r="R120" i="2" a="1"/>
  <c r="R120" i="2"/>
  <c r="R121" i="2" a="1"/>
  <c r="R121" i="2"/>
  <c r="R122" i="2" a="1"/>
  <c r="R122" i="2"/>
  <c r="R123" i="2" a="1"/>
  <c r="R123" i="2"/>
  <c r="R124" i="2" a="1"/>
  <c r="R124" i="2"/>
  <c r="R125" i="2" a="1"/>
  <c r="R125" i="2"/>
  <c r="R126" i="2" a="1"/>
  <c r="R126" i="2"/>
  <c r="R127" i="2" a="1"/>
  <c r="R127" i="2"/>
  <c r="R128" i="2" a="1"/>
  <c r="R128" i="2"/>
  <c r="R129" i="2" a="1"/>
  <c r="R129" i="2"/>
  <c r="R130" i="2" a="1"/>
  <c r="R130" i="2"/>
  <c r="R131" i="2" a="1"/>
  <c r="R131" i="2"/>
  <c r="R132" i="2" a="1"/>
  <c r="R132" i="2"/>
  <c r="R133" i="2" a="1"/>
  <c r="R133" i="2"/>
  <c r="R134" i="2" a="1"/>
  <c r="R134" i="2"/>
  <c r="R135" i="2" a="1"/>
  <c r="R135" i="2"/>
  <c r="R136" i="2" a="1"/>
  <c r="R136" i="2"/>
  <c r="R137" i="2" a="1"/>
  <c r="R137" i="2"/>
  <c r="R138" i="2" a="1"/>
  <c r="R138" i="2"/>
  <c r="R139" i="2" a="1"/>
  <c r="R139" i="2"/>
  <c r="R140" i="2" a="1"/>
  <c r="R140" i="2"/>
  <c r="R141" i="2" a="1"/>
  <c r="R141" i="2"/>
  <c r="R142" i="2" a="1"/>
  <c r="R142" i="2"/>
  <c r="R143" i="2" a="1"/>
  <c r="R143" i="2"/>
  <c r="R144" i="2" a="1"/>
  <c r="R144" i="2"/>
  <c r="R145" i="2" a="1"/>
  <c r="R145" i="2"/>
  <c r="R146" i="2" a="1"/>
  <c r="R146" i="2"/>
  <c r="R147" i="2" a="1"/>
  <c r="R147" i="2"/>
  <c r="R148" i="2" a="1"/>
  <c r="R148" i="2"/>
  <c r="R149" i="2" a="1"/>
  <c r="R149" i="2"/>
  <c r="R150" i="2" a="1"/>
  <c r="R150" i="2"/>
  <c r="R151" i="2" a="1"/>
  <c r="R151" i="2"/>
  <c r="R152" i="2" a="1"/>
  <c r="R152" i="2"/>
  <c r="R153" i="2" a="1"/>
  <c r="R153" i="2"/>
  <c r="R154" i="2" a="1"/>
  <c r="R154" i="2"/>
  <c r="R155" i="2" a="1"/>
  <c r="R155" i="2"/>
  <c r="R156" i="2" a="1"/>
  <c r="R156" i="2"/>
  <c r="R157" i="2" a="1"/>
  <c r="R157" i="2"/>
  <c r="R158" i="2" a="1"/>
  <c r="R158" i="2"/>
  <c r="R159" i="2" a="1"/>
  <c r="R159" i="2"/>
  <c r="R160" i="2" a="1"/>
  <c r="R160" i="2"/>
  <c r="R161" i="2" a="1"/>
  <c r="R161" i="2"/>
  <c r="R162" i="2" a="1"/>
  <c r="R162" i="2"/>
  <c r="R163" i="2" a="1"/>
  <c r="R163" i="2"/>
  <c r="R164" i="2" a="1"/>
  <c r="R164" i="2"/>
  <c r="R165" i="2" a="1"/>
  <c r="R165" i="2"/>
  <c r="R166" i="2" a="1"/>
  <c r="R166" i="2"/>
  <c r="R167" i="2" a="1"/>
  <c r="R167" i="2"/>
  <c r="R168" i="2" a="1"/>
  <c r="R168" i="2"/>
  <c r="R169" i="2" a="1"/>
  <c r="R169" i="2"/>
  <c r="R170" i="2" a="1"/>
  <c r="R170" i="2"/>
  <c r="R171" i="2" a="1"/>
  <c r="R171" i="2"/>
  <c r="R172" i="2" a="1"/>
  <c r="R172" i="2"/>
  <c r="R173" i="2" a="1"/>
  <c r="R173" i="2"/>
  <c r="R174" i="2" a="1"/>
  <c r="R174" i="2"/>
  <c r="R175" i="2" a="1"/>
  <c r="R175" i="2"/>
  <c r="R176" i="2" a="1"/>
  <c r="R176" i="2"/>
  <c r="R177" i="2" a="1"/>
  <c r="R177" i="2"/>
  <c r="R178" i="2" a="1"/>
  <c r="R178" i="2"/>
  <c r="R179" i="2" a="1"/>
  <c r="R179" i="2"/>
  <c r="R180" i="2" a="1"/>
  <c r="R180" i="2"/>
  <c r="R181" i="2" a="1"/>
  <c r="R181" i="2"/>
  <c r="R182" i="2" a="1"/>
  <c r="R182" i="2"/>
  <c r="R183" i="2" a="1"/>
  <c r="R183" i="2"/>
  <c r="R184" i="2" a="1"/>
  <c r="R184" i="2"/>
  <c r="R185" i="2" a="1"/>
  <c r="R185" i="2"/>
  <c r="R186" i="2" a="1"/>
  <c r="R186" i="2"/>
  <c r="R187" i="2" a="1"/>
  <c r="R187" i="2"/>
  <c r="R188" i="2" a="1"/>
  <c r="R188" i="2"/>
  <c r="R189" i="2" a="1"/>
  <c r="R189" i="2"/>
  <c r="R190" i="2" a="1"/>
  <c r="R190" i="2"/>
  <c r="R191" i="2" a="1"/>
  <c r="R191" i="2"/>
  <c r="R192" i="2" a="1"/>
  <c r="R192" i="2"/>
  <c r="R193" i="2" a="1"/>
  <c r="R193" i="2"/>
  <c r="R194" i="2" a="1"/>
  <c r="R194" i="2"/>
  <c r="R195" i="2" a="1"/>
  <c r="R195" i="2"/>
  <c r="R196" i="2" a="1"/>
  <c r="R196" i="2"/>
  <c r="R197" i="2" a="1"/>
  <c r="R197" i="2"/>
  <c r="R198" i="2" a="1"/>
  <c r="R198" i="2"/>
  <c r="R199" i="2" a="1"/>
  <c r="R199" i="2"/>
  <c r="R200" i="2" a="1"/>
  <c r="R200" i="2"/>
  <c r="R201" i="2" a="1"/>
  <c r="R201" i="2"/>
  <c r="R202" i="2" a="1"/>
  <c r="R202" i="2"/>
  <c r="R203" i="2" a="1"/>
  <c r="R203" i="2"/>
  <c r="R204" i="2" a="1"/>
  <c r="R204" i="2"/>
  <c r="R205" i="2" a="1"/>
  <c r="R205" i="2"/>
  <c r="R206" i="2" a="1"/>
  <c r="R206" i="2"/>
  <c r="R207" i="2" a="1"/>
  <c r="R207" i="2"/>
  <c r="R208" i="2" a="1"/>
  <c r="R208" i="2"/>
  <c r="R209" i="2" a="1"/>
  <c r="R209" i="2"/>
  <c r="R210" i="2" a="1"/>
  <c r="R210" i="2"/>
  <c r="R211" i="2" a="1"/>
  <c r="R211" i="2"/>
  <c r="R212" i="2" a="1"/>
  <c r="R212" i="2"/>
  <c r="R213" i="2" a="1"/>
  <c r="R213" i="2"/>
  <c r="R214" i="2" a="1"/>
  <c r="R214" i="2"/>
  <c r="R215" i="2" a="1"/>
  <c r="R215" i="2"/>
  <c r="R216" i="2" a="1"/>
  <c r="R216" i="2"/>
  <c r="R217" i="2" a="1"/>
  <c r="R217" i="2"/>
  <c r="R218" i="2" a="1"/>
  <c r="R218" i="2"/>
  <c r="R219" i="2" a="1"/>
  <c r="R219" i="2"/>
  <c r="R220" i="2" a="1"/>
  <c r="R220" i="2"/>
  <c r="R221" i="2" a="1"/>
  <c r="R221" i="2"/>
  <c r="R222" i="2" a="1"/>
  <c r="R222" i="2"/>
  <c r="R223" i="2" a="1"/>
  <c r="R223" i="2"/>
  <c r="R224" i="2" a="1"/>
  <c r="R224" i="2"/>
  <c r="R225" i="2" a="1"/>
  <c r="R225" i="2"/>
  <c r="R226" i="2" a="1"/>
  <c r="R226" i="2"/>
  <c r="R227" i="2" a="1"/>
  <c r="R227" i="2"/>
  <c r="R228" i="2" a="1"/>
  <c r="R228" i="2"/>
  <c r="R229" i="2" a="1"/>
  <c r="R229" i="2"/>
  <c r="R230" i="2" a="1"/>
  <c r="R230" i="2"/>
  <c r="R231" i="2" a="1"/>
  <c r="R231" i="2"/>
  <c r="R232" i="2" a="1"/>
  <c r="R232" i="2"/>
  <c r="R233" i="2" a="1"/>
  <c r="R233" i="2"/>
  <c r="R234" i="2" a="1"/>
  <c r="R234" i="2"/>
  <c r="R235" i="2" a="1"/>
  <c r="R235" i="2"/>
  <c r="R236" i="2" a="1"/>
  <c r="R236" i="2"/>
  <c r="R237" i="2" a="1"/>
  <c r="R237" i="2"/>
  <c r="R238" i="2" a="1"/>
  <c r="R238" i="2"/>
  <c r="R239" i="2" a="1"/>
  <c r="R239" i="2"/>
  <c r="R240" i="2" a="1"/>
  <c r="R240" i="2"/>
  <c r="R241" i="2" a="1"/>
  <c r="R241" i="2"/>
  <c r="R242" i="2" a="1"/>
  <c r="R242" i="2"/>
  <c r="R243" i="2" a="1"/>
  <c r="R243" i="2"/>
  <c r="R244" i="2" a="1"/>
  <c r="R244" i="2"/>
  <c r="R245" i="2" a="1"/>
  <c r="R245" i="2"/>
  <c r="R246" i="2" a="1"/>
  <c r="R246" i="2"/>
  <c r="R247" i="2" a="1"/>
  <c r="R247" i="2"/>
  <c r="R248" i="2" a="1"/>
  <c r="R248" i="2"/>
  <c r="R249" i="2" a="1"/>
  <c r="R249" i="2"/>
  <c r="R250" i="2" a="1"/>
  <c r="R250" i="2"/>
  <c r="R251" i="2" a="1"/>
  <c r="R251" i="2"/>
  <c r="R252" i="2" a="1"/>
  <c r="R252" i="2"/>
  <c r="R253" i="2" a="1"/>
  <c r="R253" i="2"/>
  <c r="R254" i="2" a="1"/>
  <c r="R254" i="2"/>
  <c r="R255" i="2" a="1"/>
  <c r="R255" i="2"/>
  <c r="R256" i="2" a="1"/>
  <c r="R256" i="2"/>
  <c r="R257" i="2" a="1"/>
  <c r="R257" i="2"/>
  <c r="R258" i="2" a="1"/>
  <c r="R258" i="2"/>
  <c r="R259" i="2" a="1"/>
  <c r="R259" i="2"/>
  <c r="R260" i="2" a="1"/>
  <c r="R260" i="2"/>
  <c r="R261" i="2" a="1"/>
  <c r="R261" i="2"/>
  <c r="R262" i="2" a="1"/>
  <c r="R262" i="2"/>
  <c r="R263" i="2" a="1"/>
  <c r="R263" i="2"/>
  <c r="R264" i="2" a="1"/>
  <c r="R264" i="2"/>
  <c r="R265" i="2" a="1"/>
  <c r="R265" i="2"/>
  <c r="R266" i="2" a="1"/>
  <c r="R266" i="2"/>
  <c r="R267" i="2" a="1"/>
  <c r="R267" i="2"/>
  <c r="R268" i="2" a="1"/>
  <c r="R268" i="2"/>
  <c r="R269" i="2" a="1"/>
  <c r="R269" i="2"/>
  <c r="R270" i="2" a="1"/>
  <c r="R270" i="2"/>
  <c r="R271" i="2" a="1"/>
  <c r="R271" i="2"/>
  <c r="R272" i="2" a="1"/>
  <c r="R272" i="2"/>
  <c r="R273" i="2" a="1"/>
  <c r="R273" i="2"/>
  <c r="R274" i="2" a="1"/>
  <c r="R274" i="2"/>
  <c r="R275" i="2" a="1"/>
  <c r="R275" i="2"/>
  <c r="R276" i="2" a="1"/>
  <c r="R276" i="2"/>
  <c r="R277" i="2" a="1"/>
  <c r="R277" i="2"/>
  <c r="R278" i="2" a="1"/>
  <c r="R278" i="2"/>
  <c r="R279" i="2" a="1"/>
  <c r="R279" i="2"/>
  <c r="R280" i="2" a="1"/>
  <c r="R280" i="2"/>
  <c r="R281" i="2" a="1"/>
  <c r="R281" i="2"/>
  <c r="R282" i="2" a="1"/>
  <c r="R282" i="2"/>
  <c r="R283" i="2" a="1"/>
  <c r="R283" i="2"/>
  <c r="R284" i="2" a="1"/>
  <c r="R284" i="2"/>
  <c r="R285" i="2" a="1"/>
  <c r="R285" i="2"/>
  <c r="R286" i="2" a="1"/>
  <c r="R286" i="2"/>
  <c r="R287" i="2" a="1"/>
  <c r="R287" i="2"/>
  <c r="R288" i="2" a="1"/>
  <c r="R288" i="2"/>
  <c r="R289" i="2" a="1"/>
  <c r="R289" i="2"/>
  <c r="R290" i="2" a="1"/>
  <c r="R290" i="2"/>
  <c r="R291" i="2" a="1"/>
  <c r="R291" i="2"/>
  <c r="R292" i="2" a="1"/>
  <c r="R292" i="2"/>
  <c r="R293" i="2" a="1"/>
  <c r="R293" i="2"/>
  <c r="R294" i="2" a="1"/>
  <c r="R294" i="2"/>
  <c r="R295" i="2" a="1"/>
  <c r="R295" i="2"/>
  <c r="R296" i="2" a="1"/>
  <c r="R296" i="2"/>
  <c r="R297" i="2" a="1"/>
  <c r="R297" i="2"/>
  <c r="R298" i="2" a="1"/>
  <c r="R298" i="2"/>
  <c r="R299" i="2" a="1"/>
  <c r="R299" i="2"/>
  <c r="R300" i="2" a="1"/>
  <c r="R300" i="2"/>
  <c r="R301" i="2" a="1"/>
  <c r="R301" i="2"/>
  <c r="R302" i="2" a="1"/>
  <c r="R302" i="2"/>
  <c r="R303" i="2" a="1"/>
  <c r="R303" i="2"/>
  <c r="R304" i="2" a="1"/>
  <c r="R304" i="2"/>
  <c r="R305" i="2" a="1"/>
  <c r="R305" i="2"/>
  <c r="R306" i="2" a="1"/>
  <c r="R306" i="2"/>
  <c r="R307" i="2" a="1"/>
  <c r="R307" i="2"/>
  <c r="R308" i="2" a="1"/>
  <c r="R308" i="2"/>
  <c r="R309" i="2" a="1"/>
  <c r="R309" i="2"/>
  <c r="R310" i="2" a="1"/>
  <c r="R310" i="2"/>
  <c r="R311" i="2" a="1"/>
  <c r="R311" i="2"/>
  <c r="R312" i="2" a="1"/>
  <c r="R312" i="2"/>
  <c r="R313" i="2" a="1"/>
  <c r="R313" i="2"/>
  <c r="R314" i="2" a="1"/>
  <c r="R314" i="2"/>
  <c r="R315" i="2" a="1"/>
  <c r="R315" i="2"/>
  <c r="R316" i="2" a="1"/>
  <c r="R316" i="2"/>
  <c r="R317" i="2" a="1"/>
  <c r="R317" i="2"/>
  <c r="R318" i="2" a="1"/>
  <c r="R318" i="2"/>
  <c r="R319" i="2" a="1"/>
  <c r="R319" i="2"/>
  <c r="R320" i="2" a="1"/>
  <c r="R320" i="2"/>
  <c r="R321" i="2" a="1"/>
  <c r="R321" i="2"/>
  <c r="R322" i="2" a="1"/>
  <c r="R322" i="2"/>
  <c r="R323" i="2" a="1"/>
  <c r="R323" i="2"/>
  <c r="R324" i="2" a="1"/>
  <c r="R324" i="2"/>
  <c r="R325" i="2" a="1"/>
  <c r="R325" i="2"/>
  <c r="R326" i="2" a="1"/>
  <c r="R326" i="2"/>
  <c r="R327" i="2" a="1"/>
  <c r="R327" i="2"/>
  <c r="R328" i="2" a="1"/>
  <c r="R328" i="2"/>
  <c r="R329" i="2" a="1"/>
  <c r="R329" i="2"/>
  <c r="R330" i="2" a="1"/>
  <c r="R330" i="2"/>
  <c r="R331" i="2" a="1"/>
  <c r="R331" i="2"/>
  <c r="R332" i="2" a="1"/>
  <c r="R332" i="2"/>
  <c r="R333" i="2" a="1"/>
  <c r="R333" i="2"/>
  <c r="R334" i="2" a="1"/>
  <c r="R334" i="2"/>
  <c r="R335" i="2" a="1"/>
  <c r="R335" i="2"/>
  <c r="R336" i="2" a="1"/>
  <c r="R336" i="2"/>
  <c r="R337" i="2" a="1"/>
  <c r="R337" i="2"/>
  <c r="R338" i="2" a="1"/>
  <c r="R338" i="2"/>
  <c r="R339" i="2" a="1"/>
  <c r="R339" i="2"/>
  <c r="R340" i="2" a="1"/>
  <c r="R340" i="2"/>
  <c r="R341" i="2" a="1"/>
  <c r="R341" i="2"/>
  <c r="R342" i="2" a="1"/>
  <c r="R342" i="2"/>
  <c r="R343" i="2" a="1"/>
  <c r="R343" i="2"/>
  <c r="R344" i="2" a="1"/>
  <c r="R344" i="2"/>
  <c r="R345" i="2" a="1"/>
  <c r="R345" i="2"/>
  <c r="R346" i="2" a="1"/>
  <c r="R346" i="2"/>
  <c r="R347" i="2" a="1"/>
  <c r="R347" i="2"/>
  <c r="R348" i="2" a="1"/>
  <c r="R348" i="2"/>
  <c r="R349" i="2" a="1"/>
  <c r="R349" i="2"/>
  <c r="R350" i="2" a="1"/>
  <c r="R350" i="2"/>
  <c r="R351" i="2" a="1"/>
  <c r="R351" i="2"/>
  <c r="R352" i="2" a="1"/>
  <c r="R352" i="2"/>
  <c r="R353" i="2" a="1"/>
  <c r="R353" i="2"/>
  <c r="R354" i="2" a="1"/>
  <c r="R354" i="2"/>
  <c r="R355" i="2" a="1"/>
  <c r="R355" i="2"/>
  <c r="R356" i="2" a="1"/>
  <c r="R356" i="2"/>
  <c r="R357" i="2" a="1"/>
  <c r="R357" i="2"/>
  <c r="R358" i="2" a="1"/>
  <c r="R358" i="2"/>
  <c r="R359" i="2" a="1"/>
  <c r="R359" i="2"/>
  <c r="R360" i="2" a="1"/>
  <c r="R360" i="2"/>
  <c r="R361" i="2" a="1"/>
  <c r="R361" i="2"/>
  <c r="R362" i="2" a="1"/>
  <c r="R362" i="2"/>
  <c r="R363" i="2" a="1"/>
  <c r="R363" i="2"/>
  <c r="R364" i="2" a="1"/>
  <c r="R364" i="2"/>
  <c r="R365" i="2" a="1"/>
  <c r="R365" i="2"/>
  <c r="R366" i="2" a="1"/>
  <c r="R366" i="2"/>
  <c r="R367" i="2" a="1"/>
  <c r="R367" i="2"/>
  <c r="R368" i="2" a="1"/>
  <c r="R368" i="2"/>
  <c r="R369" i="2" a="1"/>
  <c r="R369" i="2"/>
  <c r="R370" i="2" a="1"/>
  <c r="R370" i="2"/>
  <c r="R371" i="2" a="1"/>
  <c r="R371" i="2"/>
  <c r="R372" i="2" a="1"/>
  <c r="R372" i="2"/>
  <c r="R373" i="2" a="1"/>
  <c r="R373" i="2"/>
  <c r="R374" i="2" a="1"/>
  <c r="R374" i="2"/>
  <c r="R375" i="2" a="1"/>
  <c r="R375" i="2"/>
  <c r="R376" i="2" a="1"/>
  <c r="R376" i="2"/>
  <c r="R377" i="2" a="1"/>
  <c r="R377" i="2"/>
  <c r="R378" i="2" a="1"/>
  <c r="R378" i="2"/>
  <c r="R379" i="2" a="1"/>
  <c r="R379" i="2"/>
  <c r="R380" i="2" a="1"/>
  <c r="R380" i="2"/>
  <c r="R381" i="2" a="1"/>
  <c r="R381" i="2"/>
  <c r="R382" i="2" a="1"/>
  <c r="R382" i="2"/>
  <c r="R383" i="2" a="1"/>
  <c r="R383" i="2"/>
  <c r="R384" i="2" a="1"/>
  <c r="R384" i="2"/>
  <c r="R385" i="2" a="1"/>
  <c r="R385" i="2"/>
  <c r="R386" i="2" a="1"/>
  <c r="R386" i="2"/>
  <c r="R387" i="2" a="1"/>
  <c r="R387" i="2"/>
  <c r="R388" i="2" a="1"/>
  <c r="R388" i="2"/>
  <c r="R389" i="2" a="1"/>
  <c r="R389" i="2"/>
  <c r="R390" i="2" a="1"/>
  <c r="R390" i="2"/>
  <c r="R391" i="2" a="1"/>
  <c r="R391" i="2"/>
  <c r="R392" i="2" a="1"/>
  <c r="R392" i="2"/>
  <c r="R393" i="2" a="1"/>
  <c r="R393" i="2"/>
  <c r="R394" i="2" a="1"/>
  <c r="R394" i="2"/>
  <c r="R395" i="2" a="1"/>
  <c r="R395" i="2"/>
  <c r="R396" i="2" a="1"/>
  <c r="R396" i="2"/>
  <c r="R397" i="2" a="1"/>
  <c r="R397" i="2"/>
  <c r="R398" i="2" a="1"/>
  <c r="R398" i="2"/>
  <c r="R399" i="2" a="1"/>
  <c r="R399" i="2"/>
  <c r="R400" i="2" a="1"/>
  <c r="R400" i="2"/>
  <c r="R401" i="2" a="1"/>
  <c r="R401" i="2"/>
  <c r="R402" i="2" a="1"/>
  <c r="R402" i="2"/>
  <c r="R403" i="2" a="1"/>
  <c r="R403" i="2"/>
  <c r="R404" i="2" a="1"/>
  <c r="R404" i="2"/>
  <c r="R405" i="2" a="1"/>
  <c r="R405" i="2"/>
  <c r="R406" i="2" a="1"/>
  <c r="R406" i="2"/>
  <c r="R407" i="2" a="1"/>
  <c r="R407" i="2"/>
  <c r="R408" i="2" a="1"/>
  <c r="R408" i="2"/>
  <c r="R409" i="2" a="1"/>
  <c r="R409" i="2"/>
  <c r="R410" i="2" a="1"/>
  <c r="R410" i="2"/>
  <c r="R411" i="2" a="1"/>
  <c r="R411" i="2"/>
  <c r="R412" i="2" a="1"/>
  <c r="R412" i="2"/>
  <c r="R413" i="2" a="1"/>
  <c r="R413" i="2"/>
  <c r="R414" i="2" a="1"/>
  <c r="R414" i="2"/>
  <c r="R415" i="2" a="1"/>
  <c r="R415" i="2"/>
  <c r="R416" i="2" a="1"/>
  <c r="R416" i="2"/>
  <c r="R417" i="2" a="1"/>
  <c r="R417" i="2"/>
  <c r="R418" i="2" a="1"/>
  <c r="R418" i="2"/>
  <c r="R419" i="2" a="1"/>
  <c r="R419" i="2"/>
  <c r="R420" i="2" a="1"/>
  <c r="R420" i="2"/>
  <c r="R421" i="2" a="1"/>
  <c r="R421" i="2"/>
  <c r="R422" i="2" a="1"/>
  <c r="R422" i="2"/>
  <c r="R423" i="2" a="1"/>
  <c r="R423" i="2"/>
  <c r="R424" i="2" a="1"/>
  <c r="R424" i="2"/>
  <c r="R425" i="2" a="1"/>
  <c r="R425" i="2"/>
  <c r="R426" i="2" a="1"/>
  <c r="R426" i="2"/>
  <c r="R427" i="2" a="1"/>
  <c r="R427" i="2"/>
  <c r="R428" i="2" a="1"/>
  <c r="R428" i="2"/>
  <c r="R429" i="2" a="1"/>
  <c r="R429" i="2"/>
  <c r="R430" i="2" a="1"/>
  <c r="R430" i="2"/>
  <c r="R431" i="2" a="1"/>
  <c r="R431" i="2"/>
  <c r="R432" i="2" a="1"/>
  <c r="R432" i="2"/>
  <c r="R433" i="2" a="1"/>
  <c r="R433" i="2"/>
  <c r="R434" i="2" a="1"/>
  <c r="R434" i="2"/>
  <c r="R435" i="2" a="1"/>
  <c r="R435" i="2"/>
  <c r="R436" i="2" a="1"/>
  <c r="R436" i="2"/>
  <c r="R437" i="2" a="1"/>
  <c r="R437" i="2"/>
  <c r="R438" i="2" a="1"/>
  <c r="R438" i="2"/>
  <c r="R439" i="2" a="1"/>
  <c r="R439" i="2"/>
  <c r="R440" i="2" a="1"/>
  <c r="R440" i="2"/>
  <c r="R441" i="2" a="1"/>
  <c r="R441" i="2"/>
  <c r="R442" i="2" a="1"/>
  <c r="R442" i="2"/>
  <c r="R443" i="2" a="1"/>
  <c r="R443" i="2"/>
  <c r="R444" i="2" a="1"/>
  <c r="R444" i="2"/>
  <c r="R445" i="2" a="1"/>
  <c r="R445" i="2"/>
  <c r="R446" i="2" a="1"/>
  <c r="R446" i="2"/>
  <c r="R447" i="2" a="1"/>
  <c r="R447" i="2"/>
  <c r="R448" i="2" a="1"/>
  <c r="R448" i="2"/>
  <c r="R449" i="2" a="1"/>
  <c r="R449" i="2"/>
  <c r="R450" i="2" a="1"/>
  <c r="R450" i="2"/>
  <c r="R451" i="2" a="1"/>
  <c r="R451" i="2"/>
  <c r="R452" i="2" a="1"/>
  <c r="R452" i="2"/>
  <c r="R453" i="2" a="1"/>
  <c r="R453" i="2"/>
  <c r="R454" i="2" a="1"/>
  <c r="R454" i="2"/>
  <c r="R455" i="2" a="1"/>
  <c r="R455" i="2"/>
  <c r="R456" i="2" a="1"/>
  <c r="R456" i="2"/>
  <c r="R457" i="2" a="1"/>
  <c r="R457" i="2"/>
  <c r="R458" i="2" a="1"/>
  <c r="R458" i="2"/>
  <c r="R459" i="2" a="1"/>
  <c r="R459" i="2"/>
  <c r="R460" i="2" a="1"/>
  <c r="R460" i="2"/>
  <c r="R461" i="2" a="1"/>
  <c r="R461" i="2"/>
  <c r="R462" i="2" a="1"/>
  <c r="R462" i="2"/>
  <c r="R463" i="2" a="1"/>
  <c r="R463" i="2"/>
  <c r="R464" i="2" a="1"/>
  <c r="R464" i="2"/>
  <c r="R465" i="2" a="1"/>
  <c r="R465" i="2"/>
  <c r="R466" i="2" a="1"/>
  <c r="R466" i="2"/>
  <c r="R467" i="2" a="1"/>
  <c r="R467" i="2"/>
  <c r="R468" i="2" a="1"/>
  <c r="R468" i="2"/>
  <c r="R469" i="2" a="1"/>
  <c r="R469" i="2"/>
  <c r="R470" i="2" a="1"/>
  <c r="R470" i="2"/>
  <c r="R471" i="2" a="1"/>
  <c r="R471" i="2"/>
  <c r="R472" i="2" a="1"/>
  <c r="R472" i="2"/>
  <c r="R473" i="2" a="1"/>
  <c r="R473" i="2"/>
  <c r="R474" i="2" a="1"/>
  <c r="R474" i="2"/>
  <c r="R475" i="2" a="1"/>
  <c r="R475" i="2"/>
  <c r="R476" i="2" a="1"/>
  <c r="R476" i="2"/>
  <c r="R477" i="2" a="1"/>
  <c r="R477" i="2"/>
  <c r="R478" i="2" a="1"/>
  <c r="R478" i="2"/>
  <c r="R479" i="2" a="1"/>
  <c r="R479" i="2"/>
  <c r="R480" i="2" a="1"/>
  <c r="R480" i="2"/>
  <c r="R481" i="2" a="1"/>
  <c r="R481" i="2"/>
  <c r="R482" i="2" a="1"/>
  <c r="R482" i="2"/>
  <c r="R483" i="2" a="1"/>
  <c r="R483" i="2"/>
  <c r="R484" i="2" a="1"/>
  <c r="R484" i="2"/>
  <c r="R485" i="2" a="1"/>
  <c r="R485" i="2"/>
  <c r="R486" i="2" a="1"/>
  <c r="R486" i="2"/>
  <c r="R487" i="2" a="1"/>
  <c r="R487" i="2"/>
  <c r="R488" i="2" a="1"/>
  <c r="R488" i="2"/>
  <c r="R489" i="2" a="1"/>
  <c r="R489" i="2"/>
  <c r="R490" i="2" a="1"/>
  <c r="R490" i="2"/>
  <c r="R491" i="2" a="1"/>
  <c r="R491" i="2"/>
  <c r="R492" i="2" a="1"/>
  <c r="R492" i="2"/>
  <c r="R493" i="2" a="1"/>
  <c r="R493" i="2"/>
  <c r="R494" i="2" a="1"/>
  <c r="R494" i="2"/>
  <c r="R495" i="2" a="1"/>
  <c r="R495" i="2"/>
  <c r="R496" i="2" a="1"/>
  <c r="R496" i="2"/>
  <c r="R497" i="2" a="1"/>
  <c r="R497" i="2"/>
  <c r="R498" i="2" a="1"/>
  <c r="R498" i="2"/>
  <c r="R499" i="2" a="1"/>
  <c r="R499" i="2"/>
  <c r="R500" i="2" a="1"/>
  <c r="R500" i="2"/>
  <c r="R501" i="2" a="1"/>
  <c r="R501" i="2"/>
  <c r="R502" i="2" a="1"/>
  <c r="R502" i="2"/>
  <c r="R503" i="2" a="1"/>
  <c r="R503" i="2"/>
  <c r="R504" i="2" a="1"/>
  <c r="R504" i="2"/>
  <c r="R505" i="2" a="1"/>
  <c r="R505" i="2"/>
  <c r="R506" i="2" a="1"/>
  <c r="R506" i="2"/>
  <c r="R507" i="2" a="1"/>
  <c r="R507" i="2"/>
  <c r="R508" i="2" a="1"/>
  <c r="R508" i="2"/>
  <c r="R509" i="2" a="1"/>
  <c r="R509" i="2"/>
  <c r="R510" i="2" a="1"/>
  <c r="R510" i="2"/>
  <c r="R511" i="2" a="1"/>
  <c r="R511" i="2"/>
  <c r="R512" i="2" a="1"/>
  <c r="R512" i="2"/>
  <c r="R513" i="2" a="1"/>
  <c r="R513" i="2"/>
  <c r="R514" i="2" a="1"/>
  <c r="R514" i="2"/>
  <c r="R515" i="2" a="1"/>
  <c r="R515" i="2"/>
  <c r="R516" i="2" a="1"/>
  <c r="R516" i="2"/>
  <c r="R517" i="2" a="1"/>
  <c r="R517" i="2"/>
  <c r="R518" i="2" a="1"/>
  <c r="R518" i="2"/>
  <c r="R519" i="2" a="1"/>
  <c r="R519" i="2"/>
  <c r="R520" i="2" a="1"/>
  <c r="R520" i="2"/>
  <c r="R521" i="2" a="1"/>
  <c r="R521" i="2"/>
  <c r="R522" i="2" a="1"/>
  <c r="R522" i="2"/>
  <c r="R523" i="2" a="1"/>
  <c r="R523" i="2"/>
  <c r="R524" i="2" a="1"/>
  <c r="R524" i="2"/>
  <c r="R525" i="2" a="1"/>
  <c r="R525" i="2"/>
  <c r="R526" i="2" a="1"/>
  <c r="R526" i="2"/>
  <c r="R527" i="2" a="1"/>
  <c r="R527" i="2"/>
  <c r="R528" i="2" a="1"/>
  <c r="R528" i="2"/>
  <c r="R529" i="2" a="1"/>
  <c r="R529" i="2"/>
  <c r="R530" i="2" a="1"/>
  <c r="R530" i="2"/>
  <c r="R531" i="2" a="1"/>
  <c r="R531" i="2"/>
  <c r="R532" i="2" a="1"/>
  <c r="R532" i="2"/>
  <c r="R533" i="2" a="1"/>
  <c r="R533" i="2"/>
  <c r="R534" i="2" a="1"/>
  <c r="R534" i="2"/>
  <c r="R535" i="2" a="1"/>
  <c r="R535" i="2"/>
  <c r="R536" i="2" a="1"/>
  <c r="R536" i="2"/>
  <c r="R537" i="2" a="1"/>
  <c r="R537" i="2"/>
  <c r="R538" i="2" a="1"/>
  <c r="R538" i="2"/>
  <c r="R539" i="2" a="1"/>
  <c r="R539" i="2"/>
  <c r="R540" i="2" a="1"/>
  <c r="R540" i="2"/>
  <c r="R541" i="2" a="1"/>
  <c r="R541" i="2"/>
  <c r="R542" i="2" a="1"/>
  <c r="R542" i="2"/>
  <c r="R543" i="2" a="1"/>
  <c r="R543" i="2"/>
  <c r="R544" i="2" a="1"/>
  <c r="R544" i="2"/>
  <c r="R545" i="2" a="1"/>
  <c r="R545" i="2"/>
  <c r="R546" i="2" a="1"/>
  <c r="R546" i="2"/>
  <c r="R547" i="2" a="1"/>
  <c r="R547" i="2"/>
  <c r="R548" i="2" a="1"/>
  <c r="R548" i="2"/>
  <c r="R549" i="2" a="1"/>
  <c r="R549" i="2"/>
  <c r="R550" i="2" a="1"/>
  <c r="R550" i="2"/>
  <c r="R551" i="2" a="1"/>
  <c r="R551" i="2"/>
  <c r="R552" i="2" a="1"/>
  <c r="R552" i="2"/>
  <c r="R553" i="2" a="1"/>
  <c r="R553" i="2"/>
  <c r="R554" i="2" a="1"/>
  <c r="R554" i="2"/>
  <c r="R555" i="2" a="1"/>
  <c r="R555" i="2"/>
  <c r="R556" i="2" a="1"/>
  <c r="R556" i="2"/>
  <c r="R557" i="2" a="1"/>
  <c r="R557" i="2"/>
  <c r="R558" i="2" a="1"/>
  <c r="R558" i="2"/>
  <c r="R559" i="2" a="1"/>
  <c r="R559" i="2"/>
  <c r="R560" i="2" a="1"/>
  <c r="R560" i="2"/>
  <c r="R561" i="2" a="1"/>
  <c r="R561" i="2"/>
  <c r="R562" i="2" a="1"/>
  <c r="R562" i="2"/>
  <c r="R563" i="2" a="1"/>
  <c r="R563" i="2"/>
  <c r="R564" i="2" a="1"/>
  <c r="R564" i="2"/>
  <c r="R565" i="2" a="1"/>
  <c r="R565" i="2"/>
  <c r="R566" i="2" a="1"/>
  <c r="R566" i="2"/>
  <c r="R567" i="2" a="1"/>
  <c r="R567" i="2"/>
  <c r="R568" i="2" a="1"/>
  <c r="R568" i="2"/>
  <c r="R569" i="2" a="1"/>
  <c r="R569" i="2"/>
  <c r="R570" i="2" a="1"/>
  <c r="R570" i="2"/>
  <c r="R571" i="2" a="1"/>
  <c r="R571" i="2"/>
  <c r="R572" i="2" a="1"/>
  <c r="R572" i="2"/>
  <c r="R573" i="2" a="1"/>
  <c r="R573" i="2"/>
  <c r="R574" i="2" a="1"/>
  <c r="R574" i="2"/>
  <c r="R575" i="2" a="1"/>
  <c r="R575" i="2"/>
  <c r="R576" i="2" a="1"/>
  <c r="R576" i="2"/>
  <c r="R577" i="2" a="1"/>
  <c r="R577" i="2"/>
  <c r="R578" i="2" a="1"/>
  <c r="R578" i="2"/>
  <c r="R579" i="2" a="1"/>
  <c r="R579" i="2"/>
  <c r="R580" i="2" a="1"/>
  <c r="R580" i="2"/>
  <c r="R581" i="2" a="1"/>
  <c r="R581" i="2"/>
  <c r="R582" i="2" a="1"/>
  <c r="R582" i="2"/>
  <c r="R583" i="2" a="1"/>
  <c r="R583" i="2"/>
  <c r="R584" i="2" a="1"/>
  <c r="R584" i="2"/>
  <c r="R585" i="2" a="1"/>
  <c r="R585" i="2"/>
  <c r="R586" i="2" a="1"/>
  <c r="R586" i="2"/>
  <c r="R587" i="2" a="1"/>
  <c r="R587" i="2"/>
  <c r="R588" i="2" a="1"/>
  <c r="R588" i="2"/>
  <c r="R589" i="2" a="1"/>
  <c r="R589" i="2"/>
  <c r="R590" i="2" a="1"/>
  <c r="R590" i="2"/>
  <c r="R591" i="2" a="1"/>
  <c r="R591" i="2"/>
  <c r="R592" i="2" a="1"/>
  <c r="R592" i="2"/>
  <c r="R593" i="2" a="1"/>
  <c r="R593" i="2"/>
  <c r="R594" i="2" a="1"/>
  <c r="R594" i="2"/>
  <c r="R595" i="2" a="1"/>
  <c r="R595" i="2"/>
  <c r="R596" i="2" a="1"/>
  <c r="R596" i="2"/>
  <c r="R597" i="2" a="1"/>
  <c r="R597" i="2"/>
  <c r="R598" i="2" a="1"/>
  <c r="R598" i="2"/>
  <c r="R599" i="2" a="1"/>
  <c r="R599" i="2"/>
  <c r="R600" i="2" a="1"/>
  <c r="R600" i="2"/>
  <c r="R601" i="2" a="1"/>
  <c r="R601" i="2"/>
  <c r="R602" i="2" a="1"/>
  <c r="R602" i="2"/>
  <c r="R603" i="2" a="1"/>
  <c r="R603" i="2"/>
  <c r="R604" i="2" a="1"/>
  <c r="R604" i="2"/>
  <c r="R605" i="2" a="1"/>
  <c r="R605" i="2"/>
  <c r="R606" i="2" a="1"/>
  <c r="R606" i="2"/>
  <c r="R607" i="2" a="1"/>
  <c r="R607" i="2"/>
  <c r="R608" i="2" a="1"/>
  <c r="R608" i="2"/>
  <c r="R609" i="2" a="1"/>
  <c r="R609" i="2"/>
  <c r="R610" i="2" a="1"/>
  <c r="R610" i="2"/>
  <c r="R611" i="2" a="1"/>
  <c r="R611" i="2"/>
  <c r="R612" i="2" a="1"/>
  <c r="R612" i="2"/>
  <c r="R613" i="2" a="1"/>
  <c r="R613" i="2"/>
  <c r="R614" i="2" a="1"/>
  <c r="R614" i="2"/>
  <c r="R615" i="2" a="1"/>
  <c r="R615" i="2"/>
  <c r="R616" i="2" a="1"/>
  <c r="R616" i="2"/>
  <c r="R617" i="2" a="1"/>
  <c r="R617" i="2"/>
  <c r="R618" i="2" a="1"/>
  <c r="R618" i="2"/>
  <c r="R619" i="2" a="1"/>
  <c r="R619" i="2"/>
  <c r="R620" i="2" a="1"/>
  <c r="R620" i="2"/>
  <c r="R621" i="2" a="1"/>
  <c r="R621" i="2"/>
  <c r="R622" i="2" a="1"/>
  <c r="R622" i="2"/>
  <c r="R623" i="2" a="1"/>
  <c r="R623" i="2"/>
  <c r="R624" i="2" a="1"/>
  <c r="R624" i="2"/>
  <c r="R625" i="2" a="1"/>
  <c r="R625" i="2"/>
  <c r="R626" i="2" a="1"/>
  <c r="R626" i="2"/>
  <c r="R627" i="2" a="1"/>
  <c r="R627" i="2"/>
  <c r="R628" i="2" a="1"/>
  <c r="R628" i="2"/>
  <c r="R629" i="2" a="1"/>
  <c r="R629" i="2"/>
  <c r="R630" i="2" a="1"/>
  <c r="R630" i="2"/>
  <c r="R631" i="2" a="1"/>
  <c r="R631" i="2"/>
  <c r="R632" i="2" a="1"/>
  <c r="R632" i="2"/>
  <c r="R633" i="2" a="1"/>
  <c r="R633" i="2"/>
  <c r="R634" i="2" a="1"/>
  <c r="R634" i="2"/>
  <c r="R635" i="2" a="1"/>
  <c r="R635" i="2"/>
  <c r="R636" i="2" a="1"/>
  <c r="R636" i="2"/>
  <c r="R637" i="2" a="1"/>
  <c r="R637" i="2"/>
  <c r="R638" i="2" a="1"/>
  <c r="R638" i="2"/>
  <c r="R639" i="2" a="1"/>
  <c r="R639" i="2"/>
  <c r="R640" i="2" a="1"/>
  <c r="R640" i="2"/>
  <c r="R641" i="2" a="1"/>
  <c r="R641" i="2"/>
  <c r="R642" i="2" a="1"/>
  <c r="R642" i="2"/>
  <c r="R643" i="2" a="1"/>
  <c r="R643" i="2"/>
  <c r="R644" i="2" a="1"/>
  <c r="R644" i="2"/>
  <c r="R645" i="2" a="1"/>
  <c r="R645" i="2"/>
  <c r="R646" i="2" a="1"/>
  <c r="R646" i="2"/>
  <c r="R647" i="2" a="1"/>
  <c r="R647" i="2"/>
  <c r="R648" i="2" a="1"/>
  <c r="R648" i="2"/>
  <c r="R649" i="2" a="1"/>
  <c r="R649" i="2"/>
  <c r="R650" i="2" a="1"/>
  <c r="R650" i="2"/>
  <c r="R651" i="2" a="1"/>
  <c r="R651" i="2"/>
  <c r="R652" i="2" a="1"/>
  <c r="R652" i="2"/>
  <c r="R653" i="2" a="1"/>
  <c r="R653" i="2"/>
  <c r="R654" i="2" a="1"/>
  <c r="R654" i="2"/>
  <c r="R655" i="2" a="1"/>
  <c r="R655" i="2"/>
  <c r="R656" i="2" a="1"/>
  <c r="R656" i="2"/>
  <c r="R657" i="2" a="1"/>
  <c r="R657" i="2"/>
  <c r="R658" i="2" a="1"/>
  <c r="R658" i="2"/>
  <c r="R659" i="2" a="1"/>
  <c r="R659" i="2"/>
  <c r="R660" i="2" a="1"/>
  <c r="R660" i="2"/>
  <c r="R661" i="2" a="1"/>
  <c r="R661" i="2"/>
  <c r="R662" i="2" a="1"/>
  <c r="R662" i="2"/>
  <c r="R663" i="2" a="1"/>
  <c r="R663" i="2"/>
  <c r="R664" i="2" a="1"/>
  <c r="R664" i="2"/>
  <c r="R665" i="2" a="1"/>
  <c r="R665" i="2"/>
  <c r="R666" i="2" a="1"/>
  <c r="R666" i="2"/>
  <c r="R667" i="2" a="1"/>
  <c r="R667" i="2"/>
  <c r="R668" i="2" a="1"/>
  <c r="R668" i="2"/>
  <c r="R669" i="2" a="1"/>
  <c r="R669" i="2"/>
  <c r="R670" i="2" a="1"/>
  <c r="R670" i="2"/>
  <c r="R671" i="2" a="1"/>
  <c r="R671" i="2"/>
  <c r="R672" i="2" a="1"/>
  <c r="R672" i="2"/>
  <c r="R673" i="2" a="1"/>
  <c r="R673" i="2"/>
  <c r="R674" i="2" a="1"/>
  <c r="R674" i="2"/>
  <c r="R675" i="2" a="1"/>
  <c r="R675" i="2"/>
  <c r="R676" i="2" a="1"/>
  <c r="R676" i="2"/>
  <c r="R677" i="2" a="1"/>
  <c r="R677" i="2"/>
  <c r="R678" i="2" a="1"/>
  <c r="R678" i="2"/>
  <c r="R679" i="2" a="1"/>
  <c r="R679" i="2"/>
  <c r="R680" i="2" a="1"/>
  <c r="R680" i="2"/>
  <c r="R681" i="2" a="1"/>
  <c r="R681" i="2"/>
  <c r="R682" i="2" a="1"/>
  <c r="R682" i="2"/>
  <c r="R683" i="2" a="1"/>
  <c r="R683" i="2"/>
  <c r="R684" i="2" a="1"/>
  <c r="R684" i="2"/>
  <c r="R685" i="2" a="1"/>
  <c r="R685" i="2"/>
  <c r="R686" i="2" a="1"/>
  <c r="R686" i="2"/>
  <c r="R687" i="2" a="1"/>
  <c r="R687" i="2"/>
  <c r="R688" i="2" a="1"/>
  <c r="R688" i="2"/>
  <c r="R689" i="2" a="1"/>
  <c r="R689" i="2"/>
  <c r="R690" i="2" a="1"/>
  <c r="R690" i="2"/>
  <c r="R691" i="2" a="1"/>
  <c r="R691" i="2"/>
  <c r="R692" i="2" a="1"/>
  <c r="R692" i="2"/>
  <c r="R693" i="2" a="1"/>
  <c r="R693" i="2"/>
  <c r="R694" i="2" a="1"/>
  <c r="R694" i="2"/>
  <c r="R695" i="2" a="1"/>
  <c r="R695" i="2"/>
  <c r="R696" i="2" a="1"/>
  <c r="R696" i="2"/>
  <c r="R697" i="2" a="1"/>
  <c r="R697" i="2"/>
  <c r="R698" i="2" a="1"/>
  <c r="R698" i="2"/>
  <c r="R699" i="2" a="1"/>
  <c r="R699" i="2"/>
  <c r="R700" i="2" a="1"/>
  <c r="R700" i="2"/>
  <c r="R701" i="2" a="1"/>
  <c r="R701" i="2"/>
  <c r="R702" i="2" a="1"/>
  <c r="R702" i="2"/>
  <c r="R703" i="2" a="1"/>
  <c r="R703" i="2"/>
  <c r="R704" i="2" a="1"/>
  <c r="R704" i="2"/>
  <c r="R705" i="2" a="1"/>
  <c r="R705" i="2"/>
  <c r="R706" i="2" a="1"/>
  <c r="R706" i="2"/>
  <c r="R707" i="2" a="1"/>
  <c r="R707" i="2"/>
  <c r="R708" i="2" a="1"/>
  <c r="R708" i="2"/>
  <c r="R709" i="2" a="1"/>
  <c r="R709" i="2"/>
  <c r="R710" i="2" a="1"/>
  <c r="R710" i="2"/>
  <c r="R711" i="2" a="1"/>
  <c r="R711" i="2"/>
  <c r="R712" i="2" a="1"/>
  <c r="R712" i="2"/>
  <c r="R713" i="2" a="1"/>
  <c r="R713" i="2"/>
  <c r="R714" i="2" a="1"/>
  <c r="R714" i="2"/>
  <c r="R715" i="2" a="1"/>
  <c r="R715" i="2"/>
  <c r="R716" i="2" a="1"/>
  <c r="R716" i="2"/>
  <c r="R717" i="2" a="1"/>
  <c r="R717" i="2"/>
  <c r="R718" i="2" a="1"/>
  <c r="R718" i="2"/>
  <c r="R719" i="2" a="1"/>
  <c r="R719" i="2"/>
  <c r="R720" i="2" a="1"/>
  <c r="R720" i="2"/>
  <c r="R721" i="2" a="1"/>
  <c r="R721" i="2"/>
  <c r="R722" i="2" a="1"/>
  <c r="R722" i="2"/>
  <c r="R723" i="2" a="1"/>
  <c r="R723" i="2"/>
  <c r="R724" i="2" a="1"/>
  <c r="R724" i="2"/>
  <c r="R725" i="2" a="1"/>
  <c r="R725" i="2"/>
  <c r="R726" i="2" a="1"/>
  <c r="R726" i="2"/>
  <c r="R727" i="2" a="1"/>
  <c r="R727" i="2"/>
  <c r="R728" i="2" a="1"/>
  <c r="R728" i="2"/>
  <c r="R729" i="2" a="1"/>
  <c r="R729" i="2"/>
  <c r="R730" i="2" a="1"/>
  <c r="R730" i="2"/>
  <c r="R731" i="2" a="1"/>
  <c r="R731" i="2"/>
  <c r="R732" i="2" a="1"/>
  <c r="R732" i="2"/>
  <c r="R733" i="2" a="1"/>
  <c r="R733" i="2"/>
  <c r="R734" i="2" a="1"/>
  <c r="R734" i="2"/>
  <c r="R735" i="2" a="1"/>
  <c r="R735" i="2"/>
  <c r="R736" i="2" a="1"/>
  <c r="R736" i="2"/>
  <c r="R737" i="2" a="1"/>
  <c r="R737" i="2"/>
  <c r="R738" i="2" a="1"/>
  <c r="R738" i="2"/>
  <c r="R739" i="2" a="1"/>
  <c r="R739" i="2"/>
  <c r="R740" i="2" a="1"/>
  <c r="R740" i="2"/>
  <c r="R741" i="2" a="1"/>
  <c r="R741" i="2"/>
  <c r="R742" i="2" a="1"/>
  <c r="R742" i="2"/>
  <c r="R743" i="2" a="1"/>
  <c r="R743" i="2"/>
  <c r="R744" i="2" a="1"/>
  <c r="R744" i="2"/>
  <c r="R745" i="2" a="1"/>
  <c r="R745" i="2"/>
  <c r="R746" i="2" a="1"/>
  <c r="R746" i="2"/>
  <c r="R747" i="2" a="1"/>
  <c r="R747" i="2"/>
  <c r="R748" i="2" a="1"/>
  <c r="R748" i="2"/>
  <c r="R749" i="2" a="1"/>
  <c r="R749" i="2"/>
  <c r="R750" i="2" a="1"/>
  <c r="R750" i="2"/>
  <c r="R751" i="2" a="1"/>
  <c r="R751" i="2"/>
  <c r="R752" i="2" a="1"/>
  <c r="R752" i="2"/>
  <c r="R753" i="2" a="1"/>
  <c r="R753" i="2"/>
  <c r="R754" i="2" a="1"/>
  <c r="R754" i="2"/>
  <c r="R755" i="2" a="1"/>
  <c r="R755" i="2"/>
  <c r="R756" i="2" a="1"/>
  <c r="R756" i="2"/>
  <c r="R757" i="2" a="1"/>
  <c r="R757" i="2"/>
  <c r="R758" i="2" a="1"/>
  <c r="R758" i="2"/>
  <c r="R759" i="2" a="1"/>
  <c r="R759" i="2"/>
  <c r="R760" i="2" a="1"/>
  <c r="R760" i="2"/>
  <c r="R761" i="2" a="1"/>
  <c r="R761" i="2"/>
  <c r="R762" i="2" a="1"/>
  <c r="R762" i="2"/>
  <c r="R763" i="2" a="1"/>
  <c r="R763" i="2"/>
  <c r="R764" i="2" a="1"/>
  <c r="R764" i="2"/>
  <c r="R765" i="2" a="1"/>
  <c r="R765" i="2"/>
  <c r="R766" i="2" a="1"/>
  <c r="R766" i="2"/>
  <c r="R767" i="2" a="1"/>
  <c r="R767" i="2"/>
  <c r="R768" i="2" a="1"/>
  <c r="R768" i="2"/>
  <c r="R769" i="2" a="1"/>
  <c r="R769" i="2"/>
  <c r="R770" i="2" a="1"/>
  <c r="R770" i="2"/>
  <c r="R771" i="2" a="1"/>
  <c r="R771" i="2"/>
  <c r="R772" i="2" a="1"/>
  <c r="R772" i="2"/>
  <c r="R773" i="2" a="1"/>
  <c r="R773" i="2"/>
  <c r="R774" i="2" a="1"/>
  <c r="R774" i="2"/>
  <c r="R775" i="2" a="1"/>
  <c r="R775" i="2"/>
  <c r="R776" i="2" a="1"/>
  <c r="R776" i="2"/>
  <c r="R777" i="2" a="1"/>
  <c r="R777" i="2"/>
  <c r="R778" i="2" a="1"/>
  <c r="R778" i="2"/>
  <c r="R779" i="2" a="1"/>
  <c r="R779" i="2"/>
  <c r="R780" i="2" a="1"/>
  <c r="R780" i="2"/>
  <c r="R781" i="2" a="1"/>
  <c r="R781" i="2"/>
  <c r="R782" i="2" a="1"/>
  <c r="R782" i="2"/>
  <c r="R783" i="2" a="1"/>
  <c r="R783" i="2"/>
  <c r="R784" i="2" a="1"/>
  <c r="R784" i="2"/>
  <c r="R785" i="2" a="1"/>
  <c r="R785" i="2"/>
  <c r="R786" i="2" a="1"/>
  <c r="R786" i="2"/>
  <c r="R787" i="2" a="1"/>
  <c r="R787" i="2"/>
  <c r="R788" i="2" a="1"/>
  <c r="R788" i="2"/>
  <c r="R789" i="2" a="1"/>
  <c r="R789" i="2"/>
  <c r="R790" i="2" a="1"/>
  <c r="R790" i="2"/>
  <c r="R791" i="2" a="1"/>
  <c r="R791" i="2"/>
  <c r="R792" i="2" a="1"/>
  <c r="R792" i="2"/>
  <c r="R793" i="2" a="1"/>
  <c r="R793" i="2"/>
  <c r="R794" i="2" a="1"/>
  <c r="R794" i="2"/>
  <c r="R795" i="2" a="1"/>
  <c r="R795" i="2"/>
  <c r="R796" i="2" a="1"/>
  <c r="R796" i="2"/>
  <c r="R797" i="2" a="1"/>
  <c r="R797" i="2"/>
  <c r="R798" i="2" a="1"/>
  <c r="R798" i="2"/>
  <c r="R799" i="2" a="1"/>
  <c r="R799" i="2"/>
  <c r="R800" i="2" a="1"/>
  <c r="R800" i="2"/>
  <c r="R801" i="2" a="1"/>
  <c r="R801" i="2"/>
  <c r="R802" i="2" a="1"/>
  <c r="R802" i="2"/>
  <c r="R803" i="2" a="1"/>
  <c r="R803" i="2"/>
  <c r="R804" i="2" a="1"/>
  <c r="R804" i="2"/>
  <c r="R805" i="2" a="1"/>
  <c r="R805" i="2"/>
  <c r="R806" i="2" a="1"/>
  <c r="R806" i="2"/>
  <c r="R807" i="2" a="1"/>
  <c r="R807" i="2"/>
  <c r="R808" i="2" a="1"/>
  <c r="R808" i="2"/>
  <c r="R809" i="2" a="1"/>
  <c r="R809" i="2"/>
  <c r="R810" i="2" a="1"/>
  <c r="R810" i="2"/>
  <c r="R811" i="2" a="1"/>
  <c r="R811" i="2"/>
  <c r="R812" i="2" a="1"/>
  <c r="R812" i="2"/>
  <c r="R813" i="2" a="1"/>
  <c r="R813" i="2"/>
  <c r="R814" i="2" a="1"/>
  <c r="R814" i="2"/>
  <c r="R815" i="2" a="1"/>
  <c r="R815" i="2"/>
  <c r="R816" i="2" a="1"/>
  <c r="R816" i="2"/>
  <c r="R817" i="2" a="1"/>
  <c r="R817" i="2"/>
  <c r="R818" i="2" a="1"/>
  <c r="R818" i="2"/>
  <c r="R819" i="2" a="1"/>
  <c r="R819" i="2"/>
  <c r="R820" i="2" a="1"/>
  <c r="R820" i="2"/>
  <c r="R821" i="2" a="1"/>
  <c r="R821" i="2"/>
  <c r="R822" i="2" a="1"/>
  <c r="R822" i="2"/>
  <c r="R823" i="2" a="1"/>
  <c r="R823" i="2"/>
  <c r="R824" i="2" a="1"/>
  <c r="R824" i="2"/>
  <c r="R825" i="2" a="1"/>
  <c r="R825" i="2"/>
  <c r="R826" i="2" a="1"/>
  <c r="R826" i="2"/>
  <c r="R827" i="2" a="1"/>
  <c r="R827" i="2"/>
  <c r="R828" i="2" a="1"/>
  <c r="R828" i="2"/>
  <c r="R829" i="2" a="1"/>
  <c r="R829" i="2"/>
  <c r="R830" i="2" a="1"/>
  <c r="R830" i="2"/>
  <c r="R831" i="2" a="1"/>
  <c r="R831" i="2"/>
  <c r="R832" i="2" a="1"/>
  <c r="R832" i="2"/>
  <c r="R833" i="2" a="1"/>
  <c r="R833" i="2"/>
  <c r="R834" i="2" a="1"/>
  <c r="R834" i="2"/>
  <c r="R835" i="2" a="1"/>
  <c r="R835" i="2"/>
  <c r="R836" i="2" a="1"/>
  <c r="R836" i="2"/>
  <c r="R837" i="2" a="1"/>
  <c r="R837" i="2"/>
  <c r="R838" i="2" a="1"/>
  <c r="R838" i="2"/>
  <c r="R839" i="2" a="1"/>
  <c r="R839" i="2"/>
  <c r="R840" i="2" a="1"/>
  <c r="R840" i="2"/>
  <c r="R841" i="2" a="1"/>
  <c r="R841" i="2"/>
  <c r="R842" i="2" a="1"/>
  <c r="R842" i="2"/>
  <c r="R843" i="2" a="1"/>
  <c r="R843" i="2"/>
  <c r="R844" i="2" a="1"/>
  <c r="R844" i="2"/>
  <c r="R845" i="2" a="1"/>
  <c r="R845" i="2"/>
  <c r="R846" i="2" a="1"/>
  <c r="R846" i="2"/>
  <c r="R847" i="2" a="1"/>
  <c r="R847" i="2"/>
  <c r="R848" i="2" a="1"/>
  <c r="R848" i="2"/>
  <c r="R849" i="2" a="1"/>
  <c r="R849" i="2"/>
  <c r="R850" i="2" a="1"/>
  <c r="R850" i="2"/>
  <c r="R851" i="2" a="1"/>
  <c r="R851" i="2"/>
  <c r="R852" i="2" a="1"/>
  <c r="R852" i="2"/>
  <c r="R853" i="2" a="1"/>
  <c r="R853" i="2"/>
  <c r="R854" i="2" a="1"/>
  <c r="R854" i="2"/>
  <c r="R855" i="2" a="1"/>
  <c r="R855" i="2"/>
  <c r="R856" i="2" a="1"/>
  <c r="R856" i="2"/>
  <c r="R857" i="2" a="1"/>
  <c r="R857" i="2"/>
  <c r="R858" i="2" a="1"/>
  <c r="R858" i="2"/>
  <c r="R859" i="2" a="1"/>
  <c r="R859" i="2"/>
  <c r="R860" i="2" a="1"/>
  <c r="R860" i="2"/>
  <c r="R861" i="2" a="1"/>
  <c r="R861" i="2"/>
  <c r="R862" i="2" a="1"/>
  <c r="R862" i="2"/>
  <c r="R863" i="2" a="1"/>
  <c r="R863" i="2"/>
  <c r="R864" i="2" a="1"/>
  <c r="R864" i="2"/>
  <c r="R865" i="2" a="1"/>
  <c r="R865" i="2"/>
  <c r="R866" i="2" a="1"/>
  <c r="R866" i="2"/>
  <c r="R867" i="2" a="1"/>
  <c r="R867" i="2"/>
  <c r="R868" i="2" a="1"/>
  <c r="R868" i="2"/>
  <c r="R869" i="2" a="1"/>
  <c r="R869" i="2"/>
  <c r="R870" i="2" a="1"/>
  <c r="R870" i="2"/>
  <c r="R871" i="2" a="1"/>
  <c r="R871" i="2"/>
  <c r="R872" i="2" a="1"/>
  <c r="R872" i="2"/>
  <c r="R873" i="2" a="1"/>
  <c r="R873" i="2"/>
  <c r="R874" i="2" a="1"/>
  <c r="R874" i="2"/>
  <c r="R875" i="2" a="1"/>
  <c r="R875" i="2"/>
  <c r="R876" i="2" a="1"/>
  <c r="R876" i="2"/>
  <c r="R877" i="2" a="1"/>
  <c r="R877" i="2"/>
  <c r="R878" i="2" a="1"/>
  <c r="R878" i="2"/>
  <c r="R879" i="2" a="1"/>
  <c r="R879" i="2"/>
  <c r="R880" i="2" a="1"/>
  <c r="R880" i="2"/>
  <c r="R881" i="2" a="1"/>
  <c r="R881" i="2"/>
  <c r="R882" i="2" a="1"/>
  <c r="R882" i="2"/>
  <c r="R883" i="2" a="1"/>
  <c r="R883" i="2"/>
  <c r="R884" i="2" a="1"/>
  <c r="R884" i="2"/>
  <c r="R885" i="2" a="1"/>
  <c r="R885" i="2"/>
  <c r="R886" i="2" a="1"/>
  <c r="R886" i="2"/>
  <c r="R887" i="2" a="1"/>
  <c r="R887" i="2"/>
  <c r="R888" i="2" a="1"/>
  <c r="R888" i="2"/>
  <c r="R889" i="2" a="1"/>
  <c r="R889" i="2"/>
  <c r="R890" i="2" a="1"/>
  <c r="R890" i="2"/>
  <c r="R891" i="2" a="1"/>
  <c r="R891" i="2"/>
  <c r="R892" i="2" a="1"/>
  <c r="R892" i="2"/>
  <c r="R893" i="2" a="1"/>
  <c r="R893" i="2"/>
  <c r="R894" i="2" a="1"/>
  <c r="R894" i="2"/>
  <c r="R895" i="2" a="1"/>
  <c r="R895" i="2"/>
  <c r="R896" i="2" a="1"/>
  <c r="R896" i="2"/>
  <c r="R897" i="2" a="1"/>
  <c r="R897" i="2"/>
  <c r="R898" i="2" a="1"/>
  <c r="R898" i="2"/>
  <c r="R899" i="2" a="1"/>
  <c r="R899" i="2"/>
  <c r="R900" i="2" a="1"/>
  <c r="R900" i="2"/>
  <c r="R901" i="2" a="1"/>
  <c r="R901" i="2"/>
  <c r="R902" i="2" a="1"/>
  <c r="R902" i="2"/>
  <c r="R903" i="2" a="1"/>
  <c r="R903" i="2"/>
  <c r="R904" i="2" a="1"/>
  <c r="R904" i="2"/>
  <c r="R905" i="2" a="1"/>
  <c r="R905" i="2"/>
  <c r="R906" i="2" a="1"/>
  <c r="R906" i="2"/>
  <c r="R907" i="2" a="1"/>
  <c r="R907" i="2"/>
  <c r="R908" i="2" a="1"/>
  <c r="R908" i="2"/>
  <c r="R909" i="2" a="1"/>
  <c r="R909" i="2"/>
  <c r="R910" i="2" a="1"/>
  <c r="R910" i="2"/>
  <c r="R911" i="2" a="1"/>
  <c r="R911" i="2"/>
  <c r="R912" i="2" a="1"/>
  <c r="R912" i="2"/>
  <c r="R913" i="2" a="1"/>
  <c r="R913" i="2"/>
  <c r="R914" i="2" a="1"/>
  <c r="R914" i="2"/>
  <c r="R915" i="2" a="1"/>
  <c r="R915" i="2"/>
  <c r="R916" i="2" a="1"/>
  <c r="R916" i="2"/>
  <c r="R917" i="2" a="1"/>
  <c r="R917" i="2"/>
  <c r="R918" i="2" a="1"/>
  <c r="R918" i="2"/>
  <c r="R919" i="2" a="1"/>
  <c r="R919" i="2"/>
  <c r="R920" i="2" a="1"/>
  <c r="R920" i="2"/>
  <c r="R921" i="2" a="1"/>
  <c r="R921" i="2"/>
  <c r="R922" i="2" a="1"/>
  <c r="R922" i="2"/>
  <c r="R923" i="2" a="1"/>
  <c r="R923" i="2"/>
  <c r="R924" i="2" a="1"/>
  <c r="R924" i="2"/>
  <c r="R925" i="2" a="1"/>
  <c r="R925" i="2"/>
  <c r="R926" i="2" a="1"/>
  <c r="R926" i="2"/>
  <c r="R927" i="2" a="1"/>
  <c r="R927" i="2"/>
  <c r="R928" i="2" a="1"/>
  <c r="R928" i="2"/>
  <c r="R929" i="2" a="1"/>
  <c r="R929" i="2"/>
  <c r="R930" i="2" a="1"/>
  <c r="R930" i="2"/>
  <c r="R931" i="2" a="1"/>
  <c r="R931" i="2"/>
  <c r="R932" i="2" a="1"/>
  <c r="R932" i="2"/>
  <c r="R933" i="2" a="1"/>
  <c r="R933" i="2"/>
  <c r="R934" i="2" a="1"/>
  <c r="R934" i="2"/>
  <c r="R935" i="2" a="1"/>
  <c r="R935" i="2"/>
  <c r="R936" i="2" a="1"/>
  <c r="R936" i="2"/>
  <c r="R937" i="2" a="1"/>
  <c r="R937" i="2"/>
  <c r="R938" i="2" a="1"/>
  <c r="R938" i="2"/>
  <c r="R939" i="2" a="1"/>
  <c r="R939" i="2"/>
  <c r="R940" i="2" a="1"/>
  <c r="R940" i="2"/>
  <c r="R941" i="2" a="1"/>
  <c r="R941" i="2"/>
  <c r="R942" i="2" a="1"/>
  <c r="R942" i="2"/>
  <c r="R943" i="2" a="1"/>
  <c r="R943" i="2"/>
  <c r="R944" i="2" a="1"/>
  <c r="R944" i="2"/>
  <c r="R945" i="2" a="1"/>
  <c r="R945" i="2"/>
  <c r="R946" i="2" a="1"/>
  <c r="R946" i="2"/>
  <c r="R947" i="2" a="1"/>
  <c r="R947" i="2"/>
  <c r="R948" i="2" a="1"/>
  <c r="R948" i="2"/>
  <c r="R949" i="2" a="1"/>
  <c r="R949" i="2"/>
  <c r="R950" i="2" a="1"/>
  <c r="R950" i="2"/>
  <c r="R951" i="2" a="1"/>
  <c r="R951" i="2"/>
  <c r="R952" i="2" a="1"/>
  <c r="R952" i="2"/>
  <c r="R953" i="2" a="1"/>
  <c r="R953" i="2"/>
  <c r="R954" i="2" a="1"/>
  <c r="R954" i="2"/>
  <c r="R955" i="2" a="1"/>
  <c r="R955" i="2"/>
  <c r="R956" i="2" a="1"/>
  <c r="R956" i="2"/>
  <c r="R957" i="2" a="1"/>
  <c r="R957" i="2"/>
  <c r="R958" i="2" a="1"/>
  <c r="R958" i="2"/>
  <c r="R959" i="2" a="1"/>
  <c r="R959" i="2"/>
  <c r="R960" i="2" a="1"/>
  <c r="R960" i="2"/>
  <c r="R961" i="2" a="1"/>
  <c r="R961" i="2"/>
  <c r="R962" i="2" a="1"/>
  <c r="R962" i="2"/>
  <c r="R963" i="2" a="1"/>
  <c r="R963" i="2"/>
  <c r="R964" i="2" a="1"/>
  <c r="R964" i="2"/>
  <c r="R965" i="2" a="1"/>
  <c r="R965" i="2"/>
  <c r="R966" i="2" a="1"/>
  <c r="R966" i="2"/>
  <c r="R967" i="2" a="1"/>
  <c r="R967" i="2"/>
  <c r="R968" i="2" a="1"/>
  <c r="R968" i="2"/>
  <c r="R969" i="2" a="1"/>
  <c r="R969" i="2"/>
  <c r="R970" i="2" a="1"/>
  <c r="R970" i="2"/>
  <c r="R971" i="2" a="1"/>
  <c r="R971" i="2"/>
  <c r="R972" i="2" a="1"/>
  <c r="R972" i="2"/>
  <c r="R973" i="2" a="1"/>
  <c r="R973" i="2"/>
  <c r="R974" i="2" a="1"/>
  <c r="R974" i="2"/>
  <c r="R975" i="2" a="1"/>
  <c r="R975" i="2"/>
  <c r="R976" i="2" a="1"/>
  <c r="R976" i="2"/>
  <c r="R977" i="2" a="1"/>
  <c r="R977" i="2"/>
  <c r="R978" i="2" a="1"/>
  <c r="R978" i="2"/>
  <c r="R979" i="2" a="1"/>
  <c r="R979" i="2"/>
  <c r="R980" i="2" a="1"/>
  <c r="R980" i="2"/>
  <c r="R981" i="2" a="1"/>
  <c r="R981" i="2"/>
  <c r="R982" i="2" a="1"/>
  <c r="R982" i="2"/>
  <c r="R983" i="2" a="1"/>
  <c r="R983" i="2"/>
  <c r="R984" i="2" a="1"/>
  <c r="R984" i="2"/>
  <c r="R985" i="2" a="1"/>
  <c r="R985" i="2"/>
  <c r="R986" i="2" a="1"/>
  <c r="R986" i="2"/>
  <c r="R987" i="2" a="1"/>
  <c r="R987" i="2"/>
  <c r="R988" i="2" a="1"/>
  <c r="R988" i="2"/>
  <c r="R989" i="2" a="1"/>
  <c r="R989" i="2"/>
  <c r="R990" i="2" a="1"/>
  <c r="R990" i="2"/>
  <c r="R991" i="2" a="1"/>
  <c r="R991" i="2"/>
  <c r="R992" i="2" a="1"/>
  <c r="R992" i="2"/>
  <c r="R993" i="2" a="1"/>
  <c r="R993" i="2"/>
  <c r="R994" i="2" a="1"/>
  <c r="R994" i="2"/>
  <c r="R995" i="2" a="1"/>
  <c r="R995" i="2"/>
  <c r="R996" i="2" a="1"/>
  <c r="R996" i="2"/>
  <c r="R997" i="2" a="1"/>
  <c r="R997" i="2"/>
  <c r="R998" i="2" a="1"/>
  <c r="R998" i="2"/>
  <c r="R999" i="2" a="1"/>
  <c r="R999" i="2"/>
  <c r="R1000" i="2" a="1"/>
  <c r="R1000" i="2"/>
  <c r="R1001" i="2" a="1"/>
  <c r="R1001" i="2"/>
  <c r="R2" i="2" a="1"/>
  <c r="R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<sst xmlns="http://schemas.openxmlformats.org/spreadsheetml/2006/main" count="23306" uniqueCount="1656">
  <si>
    <t>Patient_ID</t>
  </si>
  <si>
    <t>Patient_Name</t>
  </si>
  <si>
    <t>Age</t>
  </si>
  <si>
    <t>Gender</t>
  </si>
  <si>
    <t>City</t>
  </si>
  <si>
    <t>Hospital</t>
  </si>
  <si>
    <t>Department</t>
  </si>
  <si>
    <t>Medical_Condition</t>
  </si>
  <si>
    <t>Admission_Type</t>
  </si>
  <si>
    <t>Admission_Date</t>
  </si>
  <si>
    <t>Discharge_Date</t>
  </si>
  <si>
    <t>Length_of_Stay_Days</t>
  </si>
  <si>
    <t>Insurance_Type</t>
  </si>
  <si>
    <t>Test_or_Procedure</t>
  </si>
  <si>
    <t>Total_Bill_INR</t>
  </si>
  <si>
    <t>Satisfaction_Score</t>
  </si>
  <si>
    <t>Discharge_Disposition</t>
  </si>
  <si>
    <t>P00001</t>
  </si>
  <si>
    <t>Aarav R</t>
  </si>
  <si>
    <t>Female</t>
  </si>
  <si>
    <t>Coimbatore</t>
  </si>
  <si>
    <t>City Care Hospital</t>
  </si>
  <si>
    <t>Orthopedics</t>
  </si>
  <si>
    <t>Skin Infection</t>
  </si>
  <si>
    <t>Urgent</t>
  </si>
  <si>
    <t>1/26/2024</t>
  </si>
  <si>
    <t>1/28/2024</t>
  </si>
  <si>
    <t>Other</t>
  </si>
  <si>
    <t>Blood Test</t>
  </si>
  <si>
    <t>Referred</t>
  </si>
  <si>
    <t>P00002</t>
  </si>
  <si>
    <t>Kavya R</t>
  </si>
  <si>
    <t>Bengaluru</t>
  </si>
  <si>
    <t>Sunrise Multispeciality</t>
  </si>
  <si>
    <t>Cardiology</t>
  </si>
  <si>
    <t>Asthma</t>
  </si>
  <si>
    <t>Emergency</t>
  </si>
  <si>
    <t>7/14/2025</t>
  </si>
  <si>
    <t>Self-Pay</t>
  </si>
  <si>
    <t>None</t>
  </si>
  <si>
    <t>Transferred</t>
  </si>
  <si>
    <t>P00003</t>
  </si>
  <si>
    <t>Ishita Nair</t>
  </si>
  <si>
    <t>Male</t>
  </si>
  <si>
    <t>Salem</t>
  </si>
  <si>
    <t>Hypertension</t>
  </si>
  <si>
    <t>2/14/2024</t>
  </si>
  <si>
    <t>2/18/2024</t>
  </si>
  <si>
    <t>Private Insurance</t>
  </si>
  <si>
    <t>P00004</t>
  </si>
  <si>
    <t>Aditya Sharma</t>
  </si>
  <si>
    <t>Kochi</t>
  </si>
  <si>
    <t>Community General Hospital</t>
  </si>
  <si>
    <t>Oncology</t>
  </si>
  <si>
    <t>8/26/2024</t>
  </si>
  <si>
    <t>8/29/2024</t>
  </si>
  <si>
    <t>Government Scheme</t>
  </si>
  <si>
    <t>CT Scan</t>
  </si>
  <si>
    <t>Left Against Medical Advice</t>
  </si>
  <si>
    <t>P00005</t>
  </si>
  <si>
    <t>Aditya Iyer</t>
  </si>
  <si>
    <t>Heart Disease</t>
  </si>
  <si>
    <t>Elective</t>
  </si>
  <si>
    <t>Ultrasound</t>
  </si>
  <si>
    <t>P00006</t>
  </si>
  <si>
    <t>Meera Iyer</t>
  </si>
  <si>
    <t>Hyderabad</t>
  </si>
  <si>
    <t>Metro Health Institute</t>
  </si>
  <si>
    <t>Pediatrics</t>
  </si>
  <si>
    <t>No Chronic Condition</t>
  </si>
  <si>
    <t>4/14/2025</t>
  </si>
  <si>
    <t>4/16/2025</t>
  </si>
  <si>
    <t>Home</t>
  </si>
  <si>
    <t>P00007</t>
  </si>
  <si>
    <t>Rahul Devi</t>
  </si>
  <si>
    <t>Apollo Medical Centre</t>
  </si>
  <si>
    <t>Pneumonia</t>
  </si>
  <si>
    <t>10/13/2025</t>
  </si>
  <si>
    <t>P00008</t>
  </si>
  <si>
    <t>Arjun Devi</t>
  </si>
  <si>
    <t>4/24/2024</t>
  </si>
  <si>
    <t>4/27/2024</t>
  </si>
  <si>
    <t>MRI</t>
  </si>
  <si>
    <t>P00009</t>
  </si>
  <si>
    <t>Manoj Sharma</t>
  </si>
  <si>
    <t>X-Ray</t>
  </si>
  <si>
    <t>P00010</t>
  </si>
  <si>
    <t>Arjun Iyer</t>
  </si>
  <si>
    <t>Migraine</t>
  </si>
  <si>
    <t>3/15/2025</t>
  </si>
  <si>
    <t>ECG</t>
  </si>
  <si>
    <t>P00011</t>
  </si>
  <si>
    <t>Deepa Singh</t>
  </si>
  <si>
    <t>Kidney Disease</t>
  </si>
  <si>
    <t>P00012</t>
  </si>
  <si>
    <t>12/28/2024</t>
  </si>
  <si>
    <t>12/31/2024</t>
  </si>
  <si>
    <t>Employer Insurance</t>
  </si>
  <si>
    <t>P00013</t>
  </si>
  <si>
    <t>Diabetes</t>
  </si>
  <si>
    <t>4/18/2025</t>
  </si>
  <si>
    <t>4/27/2025</t>
  </si>
  <si>
    <t>P00014</t>
  </si>
  <si>
    <t>Manoj Singh</t>
  </si>
  <si>
    <t>Dermatology</t>
  </si>
  <si>
    <t>Fracture</t>
  </si>
  <si>
    <t>6/17/2024</t>
  </si>
  <si>
    <t>6/18/2024</t>
  </si>
  <si>
    <t>P00015</t>
  </si>
  <si>
    <t>Ishita R</t>
  </si>
  <si>
    <t>Neurology</t>
  </si>
  <si>
    <t>2/21/2024</t>
  </si>
  <si>
    <t>2/25/2024</t>
  </si>
  <si>
    <t>P00016</t>
  </si>
  <si>
    <t>Priya Reddy</t>
  </si>
  <si>
    <t>P00017</t>
  </si>
  <si>
    <t>Sathya Nair</t>
  </si>
  <si>
    <t>Madurai</t>
  </si>
  <si>
    <t>4/15/2025</t>
  </si>
  <si>
    <t>P00018</t>
  </si>
  <si>
    <t>Green Valley Hospital</t>
  </si>
  <si>
    <t>6/25/2025</t>
  </si>
  <si>
    <t>P00019</t>
  </si>
  <si>
    <t>Kavya Sharma</t>
  </si>
  <si>
    <t>10/15/2025</t>
  </si>
  <si>
    <t>P00020</t>
  </si>
  <si>
    <t>Vivaan Nair</t>
  </si>
  <si>
    <t>P00021</t>
  </si>
  <si>
    <t>Nisha Iyer</t>
  </si>
  <si>
    <t>6/19/2024</t>
  </si>
  <si>
    <t>P00022</t>
  </si>
  <si>
    <t>Kavya Devi</t>
  </si>
  <si>
    <t>General Medicine</t>
  </si>
  <si>
    <t>7/23/2024</t>
  </si>
  <si>
    <t>7/26/2024</t>
  </si>
  <si>
    <t>P00023</t>
  </si>
  <si>
    <t>Nisha R</t>
  </si>
  <si>
    <t>Pune</t>
  </si>
  <si>
    <t>9/24/2024</t>
  </si>
  <si>
    <t>9/29/2024</t>
  </si>
  <si>
    <t>P00024</t>
  </si>
  <si>
    <t>Kavya Nair</t>
  </si>
  <si>
    <t>P00025</t>
  </si>
  <si>
    <t>Manoj Kumar</t>
  </si>
  <si>
    <t>12/14/2025</t>
  </si>
  <si>
    <t>12/18/2025</t>
  </si>
  <si>
    <t>P00026</t>
  </si>
  <si>
    <t>3/28/2025</t>
  </si>
  <si>
    <t>3/30/2025</t>
  </si>
  <si>
    <t>P00027</t>
  </si>
  <si>
    <t>9/17/2025</t>
  </si>
  <si>
    <t>9/20/2025</t>
  </si>
  <si>
    <t>P00028</t>
  </si>
  <si>
    <t>P00029</t>
  </si>
  <si>
    <t>Manoj R</t>
  </si>
  <si>
    <t>6/17/2025</t>
  </si>
  <si>
    <t>6/22/2025</t>
  </si>
  <si>
    <t>P00030</t>
  </si>
  <si>
    <t>Aarav Reddy</t>
  </si>
  <si>
    <t>Delhi</t>
  </si>
  <si>
    <t>2/28/2025</t>
  </si>
  <si>
    <t>P00031</t>
  </si>
  <si>
    <t>Sanjay Singh</t>
  </si>
  <si>
    <t>7/13/2025</t>
  </si>
  <si>
    <t>7/15/2025</t>
  </si>
  <si>
    <t>P00032</t>
  </si>
  <si>
    <t>3/14/2025</t>
  </si>
  <si>
    <t>3/16/2025</t>
  </si>
  <si>
    <t>P00033</t>
  </si>
  <si>
    <t>Rohan Singh</t>
  </si>
  <si>
    <t>10/27/2025</t>
  </si>
  <si>
    <t>P00034</t>
  </si>
  <si>
    <t>Divya Iyer</t>
  </si>
  <si>
    <t>9/14/2025</t>
  </si>
  <si>
    <t>P00035</t>
  </si>
  <si>
    <t>P00036</t>
  </si>
  <si>
    <t>Priya Nair</t>
  </si>
  <si>
    <t>6/29/2024</t>
  </si>
  <si>
    <t>P00037</t>
  </si>
  <si>
    <t>Priya Devi</t>
  </si>
  <si>
    <t>11/15/2025</t>
  </si>
  <si>
    <t>11/18/2025</t>
  </si>
  <si>
    <t>P00038</t>
  </si>
  <si>
    <t>Sathya Reddy</t>
  </si>
  <si>
    <t>7/22/2025</t>
  </si>
  <si>
    <t>7/28/2025</t>
  </si>
  <si>
    <t>P00039</t>
  </si>
  <si>
    <t>12/18/2024</t>
  </si>
  <si>
    <t>12/21/2024</t>
  </si>
  <si>
    <t>P00040</t>
  </si>
  <si>
    <t>Aarav Sharma</t>
  </si>
  <si>
    <t>8/26/2025</t>
  </si>
  <si>
    <t>8/31/2025</t>
  </si>
  <si>
    <t>P00041</t>
  </si>
  <si>
    <t>Lakshmi R</t>
  </si>
  <si>
    <t>4/15/2024</t>
  </si>
  <si>
    <t>4/20/2024</t>
  </si>
  <si>
    <t>P00042</t>
  </si>
  <si>
    <t>Rahul Reddy</t>
  </si>
  <si>
    <t>7/30/2025</t>
  </si>
  <si>
    <t>7/31/2025</t>
  </si>
  <si>
    <t>P00043</t>
  </si>
  <si>
    <t>Chennai</t>
  </si>
  <si>
    <t>P00044</t>
  </si>
  <si>
    <t>Deepa Iyer</t>
  </si>
  <si>
    <t>10/22/2024</t>
  </si>
  <si>
    <t>10/24/2024</t>
  </si>
  <si>
    <t>P00045</t>
  </si>
  <si>
    <t>Divya Devi</t>
  </si>
  <si>
    <t>3/14/2024</t>
  </si>
  <si>
    <t>3/15/2024</t>
  </si>
  <si>
    <t>P00046</t>
  </si>
  <si>
    <t>Rahul Singh</t>
  </si>
  <si>
    <t>11/26/2024</t>
  </si>
  <si>
    <t>11/28/2024</t>
  </si>
  <si>
    <t>P00047</t>
  </si>
  <si>
    <t>Divya Kumar</t>
  </si>
  <si>
    <t>12/22/2024</t>
  </si>
  <si>
    <t>12/25/2024</t>
  </si>
  <si>
    <t>P00048</t>
  </si>
  <si>
    <t>P00049</t>
  </si>
  <si>
    <t>Arjun Singh</t>
  </si>
  <si>
    <t>P00050</t>
  </si>
  <si>
    <t>Ishita Sharma</t>
  </si>
  <si>
    <t>10/16/2024</t>
  </si>
  <si>
    <t>P00051</t>
  </si>
  <si>
    <t>Manoj Reddy</t>
  </si>
  <si>
    <t>P00052</t>
  </si>
  <si>
    <t>P00053</t>
  </si>
  <si>
    <t>Ishita Reddy</t>
  </si>
  <si>
    <t>P00054</t>
  </si>
  <si>
    <t>5/14/2025</t>
  </si>
  <si>
    <t>5/19/2025</t>
  </si>
  <si>
    <t>P00055</t>
  </si>
  <si>
    <t>Sanjay R</t>
  </si>
  <si>
    <t>P00056</t>
  </si>
  <si>
    <t>Pooja Nair</t>
  </si>
  <si>
    <t>10/19/2025</t>
  </si>
  <si>
    <t>P00057</t>
  </si>
  <si>
    <t>7/22/2024</t>
  </si>
  <si>
    <t>7/25/2024</t>
  </si>
  <si>
    <t>P00058</t>
  </si>
  <si>
    <t>Vivaan Devi</t>
  </si>
  <si>
    <t>9/13/2025</t>
  </si>
  <si>
    <t>9/15/2025</t>
  </si>
  <si>
    <t>P00059</t>
  </si>
  <si>
    <t>Lakshmi Devi</t>
  </si>
  <si>
    <t>Mumbai</t>
  </si>
  <si>
    <t>11/30/2024</t>
  </si>
  <si>
    <t>P00060</t>
  </si>
  <si>
    <t>11/21/2025</t>
  </si>
  <si>
    <t>11/24/2025</t>
  </si>
  <si>
    <t>P00061</t>
  </si>
  <si>
    <t>Vivaan Kumar</t>
  </si>
  <si>
    <t>P00062</t>
  </si>
  <si>
    <t>Priya Kumar</t>
  </si>
  <si>
    <t>1/14/2025</t>
  </si>
  <si>
    <t>1/18/2025</t>
  </si>
  <si>
    <t>P00063</t>
  </si>
  <si>
    <t>Ishita Kumar</t>
  </si>
  <si>
    <t>P00064</t>
  </si>
  <si>
    <t>Rohan Sharma</t>
  </si>
  <si>
    <t>7/31/2024</t>
  </si>
  <si>
    <t>P00065</t>
  </si>
  <si>
    <t>Arjun R</t>
  </si>
  <si>
    <t>P00066</t>
  </si>
  <si>
    <t>Lakshmi Reddy</t>
  </si>
  <si>
    <t>8/14/2024</t>
  </si>
  <si>
    <t>8/15/2024</t>
  </si>
  <si>
    <t>P00067</t>
  </si>
  <si>
    <t>11/25/2024</t>
  </si>
  <si>
    <t>P00068</t>
  </si>
  <si>
    <t>8/21/2024</t>
  </si>
  <si>
    <t>8/24/2024</t>
  </si>
  <si>
    <t>P00069</t>
  </si>
  <si>
    <t>Nisha Nair</t>
  </si>
  <si>
    <t>P00070</t>
  </si>
  <si>
    <t>8/14/2025</t>
  </si>
  <si>
    <t>8/16/2025</t>
  </si>
  <si>
    <t>P00071</t>
  </si>
  <si>
    <t>Rohan Reddy</t>
  </si>
  <si>
    <t>P00072</t>
  </si>
  <si>
    <t>P00073</t>
  </si>
  <si>
    <t>Vivaan Iyer</t>
  </si>
  <si>
    <t>P00074</t>
  </si>
  <si>
    <t>Meera R</t>
  </si>
  <si>
    <t>9/18/2024</t>
  </si>
  <si>
    <t>9/25/2024</t>
  </si>
  <si>
    <t>P00075</t>
  </si>
  <si>
    <t>8/17/2025</t>
  </si>
  <si>
    <t>P00076</t>
  </si>
  <si>
    <t>Aditya R</t>
  </si>
  <si>
    <t>3/22/2025</t>
  </si>
  <si>
    <t>3/25/2025</t>
  </si>
  <si>
    <t>P00077</t>
  </si>
  <si>
    <t>Pooja Singh</t>
  </si>
  <si>
    <t>5/29/2024</t>
  </si>
  <si>
    <t>5/31/2024</t>
  </si>
  <si>
    <t>P00078</t>
  </si>
  <si>
    <t>Ananya Singh</t>
  </si>
  <si>
    <t>3/13/2024</t>
  </si>
  <si>
    <t>P00079</t>
  </si>
  <si>
    <t>Ishita Singh</t>
  </si>
  <si>
    <t>P00080</t>
  </si>
  <si>
    <t>Meera Devi</t>
  </si>
  <si>
    <t>10/23/2025</t>
  </si>
  <si>
    <t>10/24/2025</t>
  </si>
  <si>
    <t>P00081</t>
  </si>
  <si>
    <t>Ananya Reddy</t>
  </si>
  <si>
    <t>P00082</t>
  </si>
  <si>
    <t>Ananya Sharma</t>
  </si>
  <si>
    <t>5/17/2024</t>
  </si>
  <si>
    <t>P00083</t>
  </si>
  <si>
    <t>10/29/2024</t>
  </si>
  <si>
    <t>P00084</t>
  </si>
  <si>
    <t>Lakshmi Iyer</t>
  </si>
  <si>
    <t>1/15/2025</t>
  </si>
  <si>
    <t>P00085</t>
  </si>
  <si>
    <t>6/24/2025</t>
  </si>
  <si>
    <t>6/26/2025</t>
  </si>
  <si>
    <t>P00086</t>
  </si>
  <si>
    <t>Divya R</t>
  </si>
  <si>
    <t>8/28/2024</t>
  </si>
  <si>
    <t>P00087</t>
  </si>
  <si>
    <t>Aarav Devi</t>
  </si>
  <si>
    <t>2/19/2024</t>
  </si>
  <si>
    <t>P00088</t>
  </si>
  <si>
    <t>8/31/2024</t>
  </si>
  <si>
    <t>P00089</t>
  </si>
  <si>
    <t>Rahul Kumar</t>
  </si>
  <si>
    <t>12/27/2024</t>
  </si>
  <si>
    <t>P00090</t>
  </si>
  <si>
    <t>P00091</t>
  </si>
  <si>
    <t>10/16/2025</t>
  </si>
  <si>
    <t>P00092</t>
  </si>
  <si>
    <t>Pooja Reddy</t>
  </si>
  <si>
    <t>7/14/2024</t>
  </si>
  <si>
    <t>7/17/2024</t>
  </si>
  <si>
    <t>P00093</t>
  </si>
  <si>
    <t>Ananya Devi</t>
  </si>
  <si>
    <t>3/13/2025</t>
  </si>
  <si>
    <t>P00094</t>
  </si>
  <si>
    <t>2/13/2024</t>
  </si>
  <si>
    <t>P00095</t>
  </si>
  <si>
    <t>Meera Reddy</t>
  </si>
  <si>
    <t>P00096</t>
  </si>
  <si>
    <t>6/14/2025</t>
  </si>
  <si>
    <t>P00097</t>
  </si>
  <si>
    <t>Sanjay Nair</t>
  </si>
  <si>
    <t>11/23/2024</t>
  </si>
  <si>
    <t>P00098</t>
  </si>
  <si>
    <t>1/27/2024</t>
  </si>
  <si>
    <t>1/31/2024</t>
  </si>
  <si>
    <t>P00099</t>
  </si>
  <si>
    <t>Arjun Sharma</t>
  </si>
  <si>
    <t>11/27/2025</t>
  </si>
  <si>
    <t>11/30/2025</t>
  </si>
  <si>
    <t>P00100</t>
  </si>
  <si>
    <t>10/17/2024</t>
  </si>
  <si>
    <t>10/19/2024</t>
  </si>
  <si>
    <t>P00101</t>
  </si>
  <si>
    <t>Aarav Singh</t>
  </si>
  <si>
    <t>1/30/2024</t>
  </si>
  <si>
    <t>P00102</t>
  </si>
  <si>
    <t>10/31/2024</t>
  </si>
  <si>
    <t>P00103</t>
  </si>
  <si>
    <t>4/22/2025</t>
  </si>
  <si>
    <t>4/24/2025</t>
  </si>
  <si>
    <t>P00104</t>
  </si>
  <si>
    <t>Pooja Iyer</t>
  </si>
  <si>
    <t>5/25/2025</t>
  </si>
  <si>
    <t>5/29/2025</t>
  </si>
  <si>
    <t>P00105</t>
  </si>
  <si>
    <t>10/31/2025</t>
  </si>
  <si>
    <t>P00106</t>
  </si>
  <si>
    <t>Arjun Reddy</t>
  </si>
  <si>
    <t>10/25/2024</t>
  </si>
  <si>
    <t>P00107</t>
  </si>
  <si>
    <t>Rahul Sharma</t>
  </si>
  <si>
    <t>P00108</t>
  </si>
  <si>
    <t>P00109</t>
  </si>
  <si>
    <t>Divya Sharma</t>
  </si>
  <si>
    <t>8/15/2025</t>
  </si>
  <si>
    <t>P00110</t>
  </si>
  <si>
    <t>Manoj Nair</t>
  </si>
  <si>
    <t>P00111</t>
  </si>
  <si>
    <t>7/19/2025</t>
  </si>
  <si>
    <t>P00112</t>
  </si>
  <si>
    <t>Rohan Devi</t>
  </si>
  <si>
    <t>12/23/2024</t>
  </si>
  <si>
    <t>P00113</t>
  </si>
  <si>
    <t>Sathya Iyer</t>
  </si>
  <si>
    <t>P00114</t>
  </si>
  <si>
    <t>Ananya Nair</t>
  </si>
  <si>
    <t>2/27/2025</t>
  </si>
  <si>
    <t>P00115</t>
  </si>
  <si>
    <t>Ananya Kumar</t>
  </si>
  <si>
    <t>P00116</t>
  </si>
  <si>
    <t>10/18/2025</t>
  </si>
  <si>
    <t>10/22/2025</t>
  </si>
  <si>
    <t>P00117</t>
  </si>
  <si>
    <t>11/22/2025</t>
  </si>
  <si>
    <t>P00118</t>
  </si>
  <si>
    <t>Ananya R</t>
  </si>
  <si>
    <t>P00119</t>
  </si>
  <si>
    <t>Aditya Singh</t>
  </si>
  <si>
    <t>4/17/2025</t>
  </si>
  <si>
    <t>P00120</t>
  </si>
  <si>
    <t>P00121</t>
  </si>
  <si>
    <t>Aditya Kumar</t>
  </si>
  <si>
    <t>2/29/2024</t>
  </si>
  <si>
    <t>P00122</t>
  </si>
  <si>
    <t>Divya Reddy</t>
  </si>
  <si>
    <t>P00123</t>
  </si>
  <si>
    <t>P00124</t>
  </si>
  <si>
    <t>7/18/2024</t>
  </si>
  <si>
    <t>P00125</t>
  </si>
  <si>
    <t>2/27/2024</t>
  </si>
  <si>
    <t>P00126</t>
  </si>
  <si>
    <t>Kavya Reddy</t>
  </si>
  <si>
    <t>6/28/2024</t>
  </si>
  <si>
    <t>P00127</t>
  </si>
  <si>
    <t>P00128</t>
  </si>
  <si>
    <t>Manoj Iyer</t>
  </si>
  <si>
    <t>7/16/2024</t>
  </si>
  <si>
    <t>P00129</t>
  </si>
  <si>
    <t>4/30/2024</t>
  </si>
  <si>
    <t>P00130</t>
  </si>
  <si>
    <t>Nisha Kumar</t>
  </si>
  <si>
    <t>5/24/2025</t>
  </si>
  <si>
    <t>P00131</t>
  </si>
  <si>
    <t>8/19/2025</t>
  </si>
  <si>
    <t>P00132</t>
  </si>
  <si>
    <t>5/23/2024</t>
  </si>
  <si>
    <t>5/27/2024</t>
  </si>
  <si>
    <t>P00133</t>
  </si>
  <si>
    <t>P00134</t>
  </si>
  <si>
    <t>Ishita Devi</t>
  </si>
  <si>
    <t>12/15/2025</t>
  </si>
  <si>
    <t>P00135</t>
  </si>
  <si>
    <t>P00136</t>
  </si>
  <si>
    <t>12/19/2024</t>
  </si>
  <si>
    <t>P00137</t>
  </si>
  <si>
    <t>Deepa Reddy</t>
  </si>
  <si>
    <t>1/17/2024</t>
  </si>
  <si>
    <t>1/22/2024</t>
  </si>
  <si>
    <t>P00138</t>
  </si>
  <si>
    <t>12/20/2024</t>
  </si>
  <si>
    <t>P00139</t>
  </si>
  <si>
    <t>12/30/2024</t>
  </si>
  <si>
    <t>P00140</t>
  </si>
  <si>
    <t>4/19/2024</t>
  </si>
  <si>
    <t>P00141</t>
  </si>
  <si>
    <t>Deepa Sharma</t>
  </si>
  <si>
    <t>11/29/2024</t>
  </si>
  <si>
    <t>P00142</t>
  </si>
  <si>
    <t>P00143</t>
  </si>
  <si>
    <t>1/24/2025</t>
  </si>
  <si>
    <t>1/27/2025</t>
  </si>
  <si>
    <t>P00144</t>
  </si>
  <si>
    <t>10/14/2024</t>
  </si>
  <si>
    <t>P00145</t>
  </si>
  <si>
    <t>2/22/2025</t>
  </si>
  <si>
    <t>2/26/2025</t>
  </si>
  <si>
    <t>P00146</t>
  </si>
  <si>
    <t>P00147</t>
  </si>
  <si>
    <t>6/15/2025</t>
  </si>
  <si>
    <t>6/20/2025</t>
  </si>
  <si>
    <t>P00148</t>
  </si>
  <si>
    <t>5/25/2024</t>
  </si>
  <si>
    <t>P00149</t>
  </si>
  <si>
    <t>10/25/2025</t>
  </si>
  <si>
    <t>P00150</t>
  </si>
  <si>
    <t>9/23/2025</t>
  </si>
  <si>
    <t>P00151</t>
  </si>
  <si>
    <t>Meera Singh</t>
  </si>
  <si>
    <t>11/17/2025</t>
  </si>
  <si>
    <t>P00152</t>
  </si>
  <si>
    <t>11/16/2024</t>
  </si>
  <si>
    <t>11/18/2024</t>
  </si>
  <si>
    <t>P00153</t>
  </si>
  <si>
    <t>5/16/2025</t>
  </si>
  <si>
    <t>5/17/2025</t>
  </si>
  <si>
    <t>P00154</t>
  </si>
  <si>
    <t>5/18/2025</t>
  </si>
  <si>
    <t>P00155</t>
  </si>
  <si>
    <t>Vivaan Singh</t>
  </si>
  <si>
    <t>5/22/2025</t>
  </si>
  <si>
    <t>5/26/2025</t>
  </si>
  <si>
    <t>P00156</t>
  </si>
  <si>
    <t>Deepa Nair</t>
  </si>
  <si>
    <t>P00157</t>
  </si>
  <si>
    <t>Rahul R</t>
  </si>
  <si>
    <t>P00158</t>
  </si>
  <si>
    <t>Nisha Reddy</t>
  </si>
  <si>
    <t>9/19/2024</t>
  </si>
  <si>
    <t>P00159</t>
  </si>
  <si>
    <t>P00160</t>
  </si>
  <si>
    <t>P00161</t>
  </si>
  <si>
    <t>Meera Sharma</t>
  </si>
  <si>
    <t>10/28/2025</t>
  </si>
  <si>
    <t>P00162</t>
  </si>
  <si>
    <t>Pooja Kumar</t>
  </si>
  <si>
    <t>P00163</t>
  </si>
  <si>
    <t>P00164</t>
  </si>
  <si>
    <t>6/20/2024</t>
  </si>
  <si>
    <t>P00165</t>
  </si>
  <si>
    <t>Ananya Iyer</t>
  </si>
  <si>
    <t>9/16/2024</t>
  </si>
  <si>
    <t>P00166</t>
  </si>
  <si>
    <t>Aarav Nair</t>
  </si>
  <si>
    <t>P00167</t>
  </si>
  <si>
    <t>6/25/2024</t>
  </si>
  <si>
    <t>6/27/2024</t>
  </si>
  <si>
    <t>P00168</t>
  </si>
  <si>
    <t>Aditya Devi</t>
  </si>
  <si>
    <t>11/13/2024</t>
  </si>
  <si>
    <t>11/17/2024</t>
  </si>
  <si>
    <t>P00169</t>
  </si>
  <si>
    <t>Lakshmi Nair</t>
  </si>
  <si>
    <t>P00170</t>
  </si>
  <si>
    <t>Deepa R</t>
  </si>
  <si>
    <t>10/15/2024</t>
  </si>
  <si>
    <t>P00171</t>
  </si>
  <si>
    <t>Aarav Iyer</t>
  </si>
  <si>
    <t>1/13/2025</t>
  </si>
  <si>
    <t>P00172</t>
  </si>
  <si>
    <t>Vivaan Sharma</t>
  </si>
  <si>
    <t>P00173</t>
  </si>
  <si>
    <t>Ishita Iyer</t>
  </si>
  <si>
    <t>P00174</t>
  </si>
  <si>
    <t>P00175</t>
  </si>
  <si>
    <t>10/13/2024</t>
  </si>
  <si>
    <t>P00176</t>
  </si>
  <si>
    <t>5/13/2024</t>
  </si>
  <si>
    <t>5/15/2024</t>
  </si>
  <si>
    <t>P00177</t>
  </si>
  <si>
    <t>P00178</t>
  </si>
  <si>
    <t>Divya Singh</t>
  </si>
  <si>
    <t>P00179</t>
  </si>
  <si>
    <t>P00180</t>
  </si>
  <si>
    <t>P00181</t>
  </si>
  <si>
    <t>Vivaan R</t>
  </si>
  <si>
    <t>P00182</t>
  </si>
  <si>
    <t>1/20/2024</t>
  </si>
  <si>
    <t>P00183</t>
  </si>
  <si>
    <t>4/28/2025</t>
  </si>
  <si>
    <t>P00184</t>
  </si>
  <si>
    <t>Karthik Singh</t>
  </si>
  <si>
    <t>8/29/2025</t>
  </si>
  <si>
    <t>P00185</t>
  </si>
  <si>
    <t>Kavya Kumar</t>
  </si>
  <si>
    <t>P00186</t>
  </si>
  <si>
    <t>Sanjay Reddy</t>
  </si>
  <si>
    <t>3/22/2024</t>
  </si>
  <si>
    <t>P00187</t>
  </si>
  <si>
    <t>P00188</t>
  </si>
  <si>
    <t>Aditya Nair</t>
  </si>
  <si>
    <t>4/16/2024</t>
  </si>
  <si>
    <t>4/17/2024</t>
  </si>
  <si>
    <t>P00189</t>
  </si>
  <si>
    <t>P00190</t>
  </si>
  <si>
    <t>10/28/2024</t>
  </si>
  <si>
    <t>10/30/2024</t>
  </si>
  <si>
    <t>P00191</t>
  </si>
  <si>
    <t>Manoj Devi</t>
  </si>
  <si>
    <t>P00192</t>
  </si>
  <si>
    <t>P00193</t>
  </si>
  <si>
    <t>P00194</t>
  </si>
  <si>
    <t>P00195</t>
  </si>
  <si>
    <t>Sanjay Iyer</t>
  </si>
  <si>
    <t>P00196</t>
  </si>
  <si>
    <t>P00197</t>
  </si>
  <si>
    <t>P00198</t>
  </si>
  <si>
    <t>Sathya Kumar</t>
  </si>
  <si>
    <t>P00199</t>
  </si>
  <si>
    <t>P00200</t>
  </si>
  <si>
    <t>5/23/2025</t>
  </si>
  <si>
    <t>P00201</t>
  </si>
  <si>
    <t>P00202</t>
  </si>
  <si>
    <t>12/24/2024</t>
  </si>
  <si>
    <t>P00203</t>
  </si>
  <si>
    <t>11/29/2025</t>
  </si>
  <si>
    <t>P00204</t>
  </si>
  <si>
    <t>P00205</t>
  </si>
  <si>
    <t>Vivaan Reddy</t>
  </si>
  <si>
    <t>P00206</t>
  </si>
  <si>
    <t>P00207</t>
  </si>
  <si>
    <t>P00208</t>
  </si>
  <si>
    <t>2/24/2024</t>
  </si>
  <si>
    <t>P00209</t>
  </si>
  <si>
    <t>4/13/2025</t>
  </si>
  <si>
    <t>P00210</t>
  </si>
  <si>
    <t>Aarav Kumar</t>
  </si>
  <si>
    <t>P00211</t>
  </si>
  <si>
    <t>1/19/2024</t>
  </si>
  <si>
    <t>P00212</t>
  </si>
  <si>
    <t>6/23/2025</t>
  </si>
  <si>
    <t>P00213</t>
  </si>
  <si>
    <t>6/22/2024</t>
  </si>
  <si>
    <t>P00214</t>
  </si>
  <si>
    <t>1/28/2025</t>
  </si>
  <si>
    <t>P00215</t>
  </si>
  <si>
    <t>Rahul Iyer</t>
  </si>
  <si>
    <t>9/24/2025</t>
  </si>
  <si>
    <t>9/26/2025</t>
  </si>
  <si>
    <t>P00216</t>
  </si>
  <si>
    <t>P00217</t>
  </si>
  <si>
    <t>P00218</t>
  </si>
  <si>
    <t>P00219</t>
  </si>
  <si>
    <t>P00220</t>
  </si>
  <si>
    <t>9/26/2024</t>
  </si>
  <si>
    <t>P00221</t>
  </si>
  <si>
    <t>Lakshmi Sharma</t>
  </si>
  <si>
    <t>P00222</t>
  </si>
  <si>
    <t>Pooja R</t>
  </si>
  <si>
    <t>8/16/2024</t>
  </si>
  <si>
    <t>8/22/2024</t>
  </si>
  <si>
    <t>P00223</t>
  </si>
  <si>
    <t>P00224</t>
  </si>
  <si>
    <t>P00225</t>
  </si>
  <si>
    <t>9/18/2025</t>
  </si>
  <si>
    <t>P00226</t>
  </si>
  <si>
    <t>8/27/2025</t>
  </si>
  <si>
    <t>P00227</t>
  </si>
  <si>
    <t>9/16/2025</t>
  </si>
  <si>
    <t>P00228</t>
  </si>
  <si>
    <t>11/24/2024</t>
  </si>
  <si>
    <t>P00229</t>
  </si>
  <si>
    <t>P00230</t>
  </si>
  <si>
    <t>6/13/2024</t>
  </si>
  <si>
    <t>P00231</t>
  </si>
  <si>
    <t>P00232</t>
  </si>
  <si>
    <t>12/22/2025</t>
  </si>
  <si>
    <t>12/28/2025</t>
  </si>
  <si>
    <t>P00233</t>
  </si>
  <si>
    <t>Rohan Kumar</t>
  </si>
  <si>
    <t>7/23/2025</t>
  </si>
  <si>
    <t>7/24/2025</t>
  </si>
  <si>
    <t>P00234</t>
  </si>
  <si>
    <t>7/17/2025</t>
  </si>
  <si>
    <t>7/18/2025</t>
  </si>
  <si>
    <t>P00235</t>
  </si>
  <si>
    <t>P00236</t>
  </si>
  <si>
    <t>Rahul Nair</t>
  </si>
  <si>
    <t>P00237</t>
  </si>
  <si>
    <t>P00238</t>
  </si>
  <si>
    <t>1/25/2024</t>
  </si>
  <si>
    <t>P00239</t>
  </si>
  <si>
    <t>11/20/2025</t>
  </si>
  <si>
    <t>P00240</t>
  </si>
  <si>
    <t>P00241</t>
  </si>
  <si>
    <t>P00242</t>
  </si>
  <si>
    <t>9/15/2024</t>
  </si>
  <si>
    <t>P00243</t>
  </si>
  <si>
    <t>P00244</t>
  </si>
  <si>
    <t>Kavya Singh</t>
  </si>
  <si>
    <t>P00245</t>
  </si>
  <si>
    <t>P00246</t>
  </si>
  <si>
    <t>Deepa Devi</t>
  </si>
  <si>
    <t>P00247</t>
  </si>
  <si>
    <t>1/13/2024</t>
  </si>
  <si>
    <t>P00248</t>
  </si>
  <si>
    <t>9/27/2024</t>
  </si>
  <si>
    <t>P00249</t>
  </si>
  <si>
    <t>1/22/2025</t>
  </si>
  <si>
    <t>P00250</t>
  </si>
  <si>
    <t>3/26/2025</t>
  </si>
  <si>
    <t>P00251</t>
  </si>
  <si>
    <t>P00252</t>
  </si>
  <si>
    <t>Lakshmi Singh</t>
  </si>
  <si>
    <t>P00253</t>
  </si>
  <si>
    <t>P00254</t>
  </si>
  <si>
    <t>P00255</t>
  </si>
  <si>
    <t>Sathya R</t>
  </si>
  <si>
    <t>3/23/2025</t>
  </si>
  <si>
    <t>P00256</t>
  </si>
  <si>
    <t>P00257</t>
  </si>
  <si>
    <t>P00258</t>
  </si>
  <si>
    <t>12/23/2025</t>
  </si>
  <si>
    <t>12/30/2025</t>
  </si>
  <si>
    <t>P00259</t>
  </si>
  <si>
    <t>P00260</t>
  </si>
  <si>
    <t>P00261</t>
  </si>
  <si>
    <t>P00262</t>
  </si>
  <si>
    <t>7/20/2024</t>
  </si>
  <si>
    <t>P00263</t>
  </si>
  <si>
    <t>P00264</t>
  </si>
  <si>
    <t>Karthik Devi</t>
  </si>
  <si>
    <t>P00265</t>
  </si>
  <si>
    <t>P00266</t>
  </si>
  <si>
    <t>P00267</t>
  </si>
  <si>
    <t>P00268</t>
  </si>
  <si>
    <t>Meera Nair</t>
  </si>
  <si>
    <t>P00269</t>
  </si>
  <si>
    <t>P00270</t>
  </si>
  <si>
    <t>9/13/2024</t>
  </si>
  <si>
    <t>9/14/2024</t>
  </si>
  <si>
    <t>P00271</t>
  </si>
  <si>
    <t>Sanjay Devi</t>
  </si>
  <si>
    <t>2/25/2025</t>
  </si>
  <si>
    <t>P00272</t>
  </si>
  <si>
    <t>P00273</t>
  </si>
  <si>
    <t>P00274</t>
  </si>
  <si>
    <t>P00275</t>
  </si>
  <si>
    <t>6/23/2024</t>
  </si>
  <si>
    <t>6/24/2024</t>
  </si>
  <si>
    <t>P00276</t>
  </si>
  <si>
    <t>P00277</t>
  </si>
  <si>
    <t>Nisha Devi</t>
  </si>
  <si>
    <t>6/19/2025</t>
  </si>
  <si>
    <t>P00278</t>
  </si>
  <si>
    <t>Sathya Devi</t>
  </si>
  <si>
    <t>P00279</t>
  </si>
  <si>
    <t>P00280</t>
  </si>
  <si>
    <t>P00281</t>
  </si>
  <si>
    <t>9/30/2024</t>
  </si>
  <si>
    <t>P00282</t>
  </si>
  <si>
    <t>11/16/2025</t>
  </si>
  <si>
    <t>P00283</t>
  </si>
  <si>
    <t>8/13/2024</t>
  </si>
  <si>
    <t>P00284</t>
  </si>
  <si>
    <t>P00285</t>
  </si>
  <si>
    <t>P00286</t>
  </si>
  <si>
    <t>P00287</t>
  </si>
  <si>
    <t>P00288</t>
  </si>
  <si>
    <t>Arjun Kumar</t>
  </si>
  <si>
    <t>P00289</t>
  </si>
  <si>
    <t>8/18/2024</t>
  </si>
  <si>
    <t>P00290</t>
  </si>
  <si>
    <t>6/16/2025</t>
  </si>
  <si>
    <t>P00291</t>
  </si>
  <si>
    <t>P00292</t>
  </si>
  <si>
    <t>1/23/2025</t>
  </si>
  <si>
    <t>P00293</t>
  </si>
  <si>
    <t>Priya Sharma</t>
  </si>
  <si>
    <t>1/18/2024</t>
  </si>
  <si>
    <t>P00294</t>
  </si>
  <si>
    <t>8/21/2025</t>
  </si>
  <si>
    <t>P00295</t>
  </si>
  <si>
    <t>P00296</t>
  </si>
  <si>
    <t>P00297</t>
  </si>
  <si>
    <t>P00298</t>
  </si>
  <si>
    <t>P00299</t>
  </si>
  <si>
    <t>P00300</t>
  </si>
  <si>
    <t>Karthik Iyer</t>
  </si>
  <si>
    <t>P00301</t>
  </si>
  <si>
    <t>5/24/2024</t>
  </si>
  <si>
    <t>P00302</t>
  </si>
  <si>
    <t>Arjun Nair</t>
  </si>
  <si>
    <t>P00303</t>
  </si>
  <si>
    <t>7/29/2025</t>
  </si>
  <si>
    <t>P00304</t>
  </si>
  <si>
    <t>9/20/2024</t>
  </si>
  <si>
    <t>P00305</t>
  </si>
  <si>
    <t>P00306</t>
  </si>
  <si>
    <t>P00307</t>
  </si>
  <si>
    <t>P00308</t>
  </si>
  <si>
    <t>P00309</t>
  </si>
  <si>
    <t>3/29/2025</t>
  </si>
  <si>
    <t>P00310</t>
  </si>
  <si>
    <t>P00311</t>
  </si>
  <si>
    <t>Sanjay Sharma</t>
  </si>
  <si>
    <t>9/19/2025</t>
  </si>
  <si>
    <t>9/25/2025</t>
  </si>
  <si>
    <t>P00312</t>
  </si>
  <si>
    <t>Aditya Reddy</t>
  </si>
  <si>
    <t>P00313</t>
  </si>
  <si>
    <t>P00314</t>
  </si>
  <si>
    <t>P00315</t>
  </si>
  <si>
    <t>Meera Kumar</t>
  </si>
  <si>
    <t>P00316</t>
  </si>
  <si>
    <t>2/20/2024</t>
  </si>
  <si>
    <t>2/23/2024</t>
  </si>
  <si>
    <t>P00317</t>
  </si>
  <si>
    <t>P00318</t>
  </si>
  <si>
    <t>4/21/2024</t>
  </si>
  <si>
    <t>4/28/2024</t>
  </si>
  <si>
    <t>P00319</t>
  </si>
  <si>
    <t>P00320</t>
  </si>
  <si>
    <t>Priya R</t>
  </si>
  <si>
    <t>P00321</t>
  </si>
  <si>
    <t>P00322</t>
  </si>
  <si>
    <t>P00323</t>
  </si>
  <si>
    <t>P00324</t>
  </si>
  <si>
    <t>1/26/2025</t>
  </si>
  <si>
    <t>P00325</t>
  </si>
  <si>
    <t>6/13/2025</t>
  </si>
  <si>
    <t>P00326</t>
  </si>
  <si>
    <t>11/15/2024</t>
  </si>
  <si>
    <t>P00327</t>
  </si>
  <si>
    <t>P00328</t>
  </si>
  <si>
    <t>Karthik R</t>
  </si>
  <si>
    <t>P00329</t>
  </si>
  <si>
    <t>11/19/2024</t>
  </si>
  <si>
    <t>P00330</t>
  </si>
  <si>
    <t>P00331</t>
  </si>
  <si>
    <t>P00332</t>
  </si>
  <si>
    <t>P00333</t>
  </si>
  <si>
    <t>P00334</t>
  </si>
  <si>
    <t>P00335</t>
  </si>
  <si>
    <t>2/17/2025</t>
  </si>
  <si>
    <t>P00336</t>
  </si>
  <si>
    <t>1/25/2025</t>
  </si>
  <si>
    <t>1/29/2025</t>
  </si>
  <si>
    <t>P00337</t>
  </si>
  <si>
    <t>Nisha Singh</t>
  </si>
  <si>
    <t>1/24/2024</t>
  </si>
  <si>
    <t>P00338</t>
  </si>
  <si>
    <t>1/30/2025</t>
  </si>
  <si>
    <t>P00339</t>
  </si>
  <si>
    <t>8/24/2025</t>
  </si>
  <si>
    <t>P00340</t>
  </si>
  <si>
    <t>12/17/2024</t>
  </si>
  <si>
    <t>P00341</t>
  </si>
  <si>
    <t>P00342</t>
  </si>
  <si>
    <t>Sathya Singh</t>
  </si>
  <si>
    <t>1/15/2024</t>
  </si>
  <si>
    <t>1/16/2024</t>
  </si>
  <si>
    <t>P00343</t>
  </si>
  <si>
    <t>5/30/2025</t>
  </si>
  <si>
    <t>P00344</t>
  </si>
  <si>
    <t>P00345</t>
  </si>
  <si>
    <t>10/14/2025</t>
  </si>
  <si>
    <t>10/30/2025</t>
  </si>
  <si>
    <t>P00346</t>
  </si>
  <si>
    <t>Priya Iyer</t>
  </si>
  <si>
    <t>11/25/2025</t>
  </si>
  <si>
    <t>P00347</t>
  </si>
  <si>
    <t>P00348</t>
  </si>
  <si>
    <t>Karthik Reddy</t>
  </si>
  <si>
    <t>P00349</t>
  </si>
  <si>
    <t>10/20/2025</t>
  </si>
  <si>
    <t>10/21/2025</t>
  </si>
  <si>
    <t>P00350</t>
  </si>
  <si>
    <t>5/20/2025</t>
  </si>
  <si>
    <t>P00351</t>
  </si>
  <si>
    <t>Karthik Sharma</t>
  </si>
  <si>
    <t>P00352</t>
  </si>
  <si>
    <t>P00353</t>
  </si>
  <si>
    <t>P00354</t>
  </si>
  <si>
    <t>10/26/2025</t>
  </si>
  <si>
    <t>P00355</t>
  </si>
  <si>
    <t>3/21/2025</t>
  </si>
  <si>
    <t>P00356</t>
  </si>
  <si>
    <t>P00357</t>
  </si>
  <si>
    <t>12/24/2025</t>
  </si>
  <si>
    <t>12/29/2025</t>
  </si>
  <si>
    <t>P00358</t>
  </si>
  <si>
    <t>P00359</t>
  </si>
  <si>
    <t>P00360</t>
  </si>
  <si>
    <t>P00361</t>
  </si>
  <si>
    <t>P00362</t>
  </si>
  <si>
    <t>1/17/2025</t>
  </si>
  <si>
    <t>1/21/2025</t>
  </si>
  <si>
    <t>P00363</t>
  </si>
  <si>
    <t>P00364</t>
  </si>
  <si>
    <t>Lakshmi Kumar</t>
  </si>
  <si>
    <t>P00365</t>
  </si>
  <si>
    <t>P00366</t>
  </si>
  <si>
    <t>8/20/2025</t>
  </si>
  <si>
    <t>P00367</t>
  </si>
  <si>
    <t>P00368</t>
  </si>
  <si>
    <t>P00369</t>
  </si>
  <si>
    <t>P00370</t>
  </si>
  <si>
    <t>P00371</t>
  </si>
  <si>
    <t>5/18/2024</t>
  </si>
  <si>
    <t>P00372</t>
  </si>
  <si>
    <t>P00373</t>
  </si>
  <si>
    <t>11/20/2024</t>
  </si>
  <si>
    <t>11/21/2024</t>
  </si>
  <si>
    <t>P00374</t>
  </si>
  <si>
    <t>2/18/2025</t>
  </si>
  <si>
    <t>P00375</t>
  </si>
  <si>
    <t>4/25/2024</t>
  </si>
  <si>
    <t>4/29/2024</t>
  </si>
  <si>
    <t>P00376</t>
  </si>
  <si>
    <t>8/17/2024</t>
  </si>
  <si>
    <t>P00377</t>
  </si>
  <si>
    <t>P00378</t>
  </si>
  <si>
    <t>8/25/2025</t>
  </si>
  <si>
    <t>P00379</t>
  </si>
  <si>
    <t>P00380</t>
  </si>
  <si>
    <t>P00381</t>
  </si>
  <si>
    <t>P00382</t>
  </si>
  <si>
    <t>P00383</t>
  </si>
  <si>
    <t>P00384</t>
  </si>
  <si>
    <t>P00385</t>
  </si>
  <si>
    <t>12/16/2024</t>
  </si>
  <si>
    <t>P00386</t>
  </si>
  <si>
    <t>9/17/2024</t>
  </si>
  <si>
    <t>P00387</t>
  </si>
  <si>
    <t>Deepa Kumar</t>
  </si>
  <si>
    <t>12/26/2024</t>
  </si>
  <si>
    <t>P00388</t>
  </si>
  <si>
    <t>P00389</t>
  </si>
  <si>
    <t>4/22/2024</t>
  </si>
  <si>
    <t>4/23/2024</t>
  </si>
  <si>
    <t>P00390</t>
  </si>
  <si>
    <t>8/19/2024</t>
  </si>
  <si>
    <t>P00391</t>
  </si>
  <si>
    <t>P00392</t>
  </si>
  <si>
    <t>P00393</t>
  </si>
  <si>
    <t>P00394</t>
  </si>
  <si>
    <t>4/14/2024</t>
  </si>
  <si>
    <t>P00395</t>
  </si>
  <si>
    <t>P00396</t>
  </si>
  <si>
    <t>P00397</t>
  </si>
  <si>
    <t>P00398</t>
  </si>
  <si>
    <t>Sanjay Kumar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</si>
  <si>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</si>
  <si>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</si>
  <si>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</si>
  <si>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</si>
  <si>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</si>
  <si>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</si>
  <si>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</si>
  <si>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</si>
  <si>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11/28/2025</t>
  </si>
  <si>
    <t>P00407</t>
  </si>
  <si>
    <t>Priya Singh</t>
  </si>
  <si>
    <t>P00408</t>
  </si>
  <si>
    <t>P00409</t>
  </si>
  <si>
    <t>P00410</t>
  </si>
  <si>
    <t>P00411</t>
  </si>
  <si>
    <t>P00412</t>
  </si>
  <si>
    <t>3/25/2024</t>
  </si>
  <si>
    <t>3/26/2024</t>
  </si>
  <si>
    <t>P00413</t>
  </si>
  <si>
    <t>3/27/2024</t>
  </si>
  <si>
    <t>3/30/2024</t>
  </si>
  <si>
    <t>P00414</t>
  </si>
  <si>
    <t>9/29/2025</t>
  </si>
  <si>
    <t>P00415</t>
  </si>
  <si>
    <t>5/21/2025</t>
  </si>
  <si>
    <t>P00416</t>
  </si>
  <si>
    <t>P00417</t>
  </si>
  <si>
    <t>P00418</t>
  </si>
  <si>
    <t>5/16/2024</t>
  </si>
  <si>
    <t>P00419</t>
  </si>
  <si>
    <t>P00420</t>
  </si>
  <si>
    <t>P00421</t>
  </si>
  <si>
    <t>4/26/2024</t>
  </si>
  <si>
    <t>P00422</t>
  </si>
  <si>
    <t>P00423</t>
  </si>
  <si>
    <t>P00424</t>
  </si>
  <si>
    <t>P00425</t>
  </si>
  <si>
    <t>P00426</t>
  </si>
  <si>
    <t>P00427</t>
  </si>
  <si>
    <t>P00428</t>
  </si>
  <si>
    <t>8/22/2025</t>
  </si>
  <si>
    <t>P00429</t>
  </si>
  <si>
    <t>3/21/2024</t>
  </si>
  <si>
    <t>P00430</t>
  </si>
  <si>
    <t>Karthik Kumar</t>
  </si>
  <si>
    <t>P00431</t>
  </si>
  <si>
    <t>P00432</t>
  </si>
  <si>
    <t>P00433</t>
  </si>
  <si>
    <t>P00434</t>
  </si>
  <si>
    <t>10/21/2024</t>
  </si>
  <si>
    <t>10/23/2024</t>
  </si>
  <si>
    <t>P00435</t>
  </si>
  <si>
    <t>9/28/2025</t>
  </si>
  <si>
    <t>9/30/2025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</si>
  <si>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</si>
  <si>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</si>
  <si>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</si>
  <si>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</si>
  <si>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</si>
  <si>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</si>
  <si>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</si>
  <si>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</si>
  <si>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</si>
  <si>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10/18/2024</t>
  </si>
  <si>
    <t>10/26/2024</t>
  </si>
  <si>
    <t>P00445</t>
  </si>
  <si>
    <t>P00446</t>
  </si>
  <si>
    <t>5/28/2024</t>
  </si>
  <si>
    <t>P00447</t>
  </si>
  <si>
    <t>P00448</t>
  </si>
  <si>
    <t>P00449</t>
  </si>
  <si>
    <t>P00450</t>
  </si>
  <si>
    <t>P00451</t>
  </si>
  <si>
    <t>P00452</t>
  </si>
  <si>
    <t>12/14/2024</t>
  </si>
  <si>
    <t>P00453</t>
  </si>
  <si>
    <t>P00454</t>
  </si>
  <si>
    <t>5/31/2025</t>
  </si>
  <si>
    <t>P00455</t>
  </si>
  <si>
    <t>2/20/2025</t>
  </si>
  <si>
    <t>2/21/2025</t>
  </si>
  <si>
    <t>P00456</t>
  </si>
  <si>
    <t>Divya Nair</t>
  </si>
  <si>
    <t>P00457</t>
  </si>
  <si>
    <t>P00458</t>
  </si>
  <si>
    <t>12/15/2024</t>
  </si>
  <si>
    <t>P00459</t>
  </si>
  <si>
    <t>P00460</t>
  </si>
  <si>
    <t>3/31/2025</t>
  </si>
  <si>
    <t>P00461</t>
  </si>
  <si>
    <t>P00462</t>
  </si>
  <si>
    <t>P00463</t>
  </si>
  <si>
    <t>P00464</t>
  </si>
  <si>
    <t>11/14/2024</t>
  </si>
  <si>
    <t>P00465</t>
  </si>
  <si>
    <t>8/30/2024</t>
  </si>
  <si>
    <t>P00466</t>
  </si>
  <si>
    <t>2/26/2024</t>
  </si>
  <si>
    <t>P00467</t>
  </si>
  <si>
    <t>4/20/2025</t>
  </si>
  <si>
    <t>4/23/2025</t>
  </si>
  <si>
    <t>P00468</t>
  </si>
  <si>
    <t>P00469</t>
  </si>
  <si>
    <t>P00470</t>
  </si>
  <si>
    <t>11/14/2025</t>
  </si>
  <si>
    <t>P00471</t>
  </si>
  <si>
    <t>P00472</t>
  </si>
  <si>
    <t>P00473</t>
  </si>
  <si>
    <t>P00474</t>
  </si>
  <si>
    <t>5/30/2024</t>
  </si>
  <si>
    <t>P00475</t>
  </si>
  <si>
    <t>P00476</t>
  </si>
  <si>
    <t>P00477</t>
  </si>
  <si>
    <t>P00478</t>
  </si>
  <si>
    <t>P00479</t>
  </si>
  <si>
    <t>7/24/2024</t>
  </si>
  <si>
    <t>P00480</t>
  </si>
  <si>
    <t>P00481</t>
  </si>
  <si>
    <t>P00482</t>
  </si>
  <si>
    <t>P00483</t>
  </si>
  <si>
    <t>P00484</t>
  </si>
  <si>
    <t>7/29/2024</t>
  </si>
  <si>
    <t>P00485</t>
  </si>
  <si>
    <t>P00486</t>
  </si>
  <si>
    <t>P00487</t>
  </si>
  <si>
    <t>P00488</t>
  </si>
  <si>
    <t>P00489</t>
  </si>
  <si>
    <t>P00490</t>
  </si>
  <si>
    <t>Pooja Sharma</t>
  </si>
  <si>
    <t>P00491</t>
  </si>
  <si>
    <t>6/30/2024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</si>
  <si>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</si>
  <si>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</si>
  <si>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</si>
  <si>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</si>
  <si>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</si>
  <si>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</si>
  <si>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</si>
  <si>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</si>
  <si>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</si>
  <si>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Pooja Devi</t>
  </si>
  <si>
    <t>P00501</t>
  </si>
  <si>
    <t>P00502</t>
  </si>
  <si>
    <t>1/21/2024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</si>
  <si>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</si>
  <si>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</si>
  <si>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</si>
  <si>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</si>
  <si>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</si>
  <si>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</si>
  <si>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</si>
  <si>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</si>
  <si>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</si>
  <si>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</si>
  <si>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</si>
  <si>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</si>
  <si>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</si>
  <si>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12/17/2025</t>
  </si>
  <si>
    <t>P00516</t>
  </si>
  <si>
    <t>5/27/2025</t>
  </si>
  <si>
    <t>P00517</t>
  </si>
  <si>
    <t>9/22/2024</t>
  </si>
  <si>
    <t>P00518</t>
  </si>
  <si>
    <t>7/13/2024</t>
  </si>
  <si>
    <t>P00519</t>
  </si>
  <si>
    <t>P00520</t>
  </si>
  <si>
    <t>P00521</t>
  </si>
  <si>
    <t>P00522</t>
  </si>
  <si>
    <t>5/15/2025</t>
  </si>
  <si>
    <t>P00523</t>
  </si>
  <si>
    <t>P00524</t>
  </si>
  <si>
    <t>1/31/2025</t>
  </si>
  <si>
    <t>P00525</t>
  </si>
  <si>
    <t>P00526</t>
  </si>
  <si>
    <t>8/28/2025</t>
  </si>
  <si>
    <t>P00527</t>
  </si>
  <si>
    <t>7/30/2024</t>
  </si>
  <si>
    <t>P00528</t>
  </si>
  <si>
    <t>P00529</t>
  </si>
  <si>
    <t>P00530</t>
  </si>
  <si>
    <t>P00531</t>
  </si>
  <si>
    <t>3/20/2024</t>
  </si>
  <si>
    <t>P00532</t>
  </si>
  <si>
    <t>4/18/2024</t>
  </si>
  <si>
    <t>P00533</t>
  </si>
  <si>
    <t>11/22/2024</t>
  </si>
  <si>
    <t>P00534</t>
  </si>
  <si>
    <t>P00535</t>
  </si>
  <si>
    <t>P00536</t>
  </si>
  <si>
    <t>P00537</t>
  </si>
  <si>
    <t>6/21/2025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</si>
  <si>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</si>
  <si>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</si>
  <si>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</si>
  <si>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</si>
  <si>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</si>
  <si>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</si>
  <si>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</si>
  <si>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</si>
  <si>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</si>
  <si>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</si>
  <si>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Rohan Nair</t>
  </si>
  <si>
    <t>P00548</t>
  </si>
  <si>
    <t>P00549</t>
  </si>
  <si>
    <t>4/30/2025</t>
  </si>
  <si>
    <t>P00550</t>
  </si>
  <si>
    <t>P00551</t>
  </si>
  <si>
    <t>P00552</t>
  </si>
  <si>
    <t>12/26/2025</t>
  </si>
  <si>
    <t>P00553</t>
  </si>
  <si>
    <t>P00554</t>
  </si>
  <si>
    <t>P00555</t>
  </si>
  <si>
    <t>8/25/2024</t>
  </si>
  <si>
    <t>P00556</t>
  </si>
  <si>
    <t>6/15/2024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</si>
  <si>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</si>
  <si>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</si>
  <si>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</si>
  <si>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</si>
  <si>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</si>
  <si>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</si>
  <si>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</si>
  <si>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</si>
  <si>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</si>
  <si>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</si>
  <si>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</si>
  <si>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</si>
  <si>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</si>
  <si>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7/19/2024</t>
  </si>
  <si>
    <t>P00570</t>
  </si>
  <si>
    <t>3/28/2024</t>
  </si>
  <si>
    <t>P00571</t>
  </si>
  <si>
    <t>P00572</t>
  </si>
  <si>
    <t>P00573</t>
  </si>
  <si>
    <t>12/13/2024</t>
  </si>
  <si>
    <t>P00574</t>
  </si>
  <si>
    <t>5/26/2024</t>
  </si>
  <si>
    <t>P00575</t>
  </si>
  <si>
    <t>P00576</t>
  </si>
  <si>
    <t>P00577</t>
  </si>
  <si>
    <t>P00578</t>
  </si>
  <si>
    <t>P00579</t>
  </si>
  <si>
    <t>P00580</t>
  </si>
  <si>
    <t>3/24/2024</t>
  </si>
  <si>
    <t>P00581</t>
  </si>
  <si>
    <t>12/16/2025</t>
  </si>
  <si>
    <t>P00582</t>
  </si>
  <si>
    <t>11/23/2025</t>
  </si>
  <si>
    <t>P00583</t>
  </si>
  <si>
    <t>P00584</t>
  </si>
  <si>
    <t>P00585</t>
  </si>
  <si>
    <t>P00586</t>
  </si>
  <si>
    <t>P00587</t>
  </si>
  <si>
    <t>1/14/2024</t>
  </si>
  <si>
    <t>P00588</t>
  </si>
  <si>
    <t>5/14/2024</t>
  </si>
  <si>
    <t>P00589</t>
  </si>
  <si>
    <t>7/20/2025</t>
  </si>
  <si>
    <t>7/21/2025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</si>
  <si>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</si>
  <si>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</si>
  <si>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</si>
  <si>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</si>
  <si>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</si>
  <si>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</si>
  <si>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</si>
  <si>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</si>
  <si>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</si>
  <si>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</si>
  <si>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2/17/2024</t>
  </si>
  <si>
    <t>P00600</t>
  </si>
  <si>
    <t>6/28/2025</t>
  </si>
  <si>
    <t>P00601</t>
  </si>
  <si>
    <t>4/21/2025</t>
  </si>
  <si>
    <t>P00602</t>
  </si>
  <si>
    <t>3/31/2024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</si>
  <si>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</si>
  <si>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</si>
  <si>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</si>
  <si>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</si>
  <si>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</si>
  <si>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</si>
  <si>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</si>
  <si>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</si>
  <si>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</si>
  <si>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</si>
  <si>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2/16/2024</t>
  </si>
  <si>
    <t>P00613</t>
  </si>
  <si>
    <t>P00614</t>
  </si>
  <si>
    <t>P00615</t>
  </si>
  <si>
    <t>P00616</t>
  </si>
  <si>
    <t>P00617</t>
  </si>
  <si>
    <t>P00618</t>
  </si>
  <si>
    <t>3/23/2024</t>
  </si>
  <si>
    <t>P00619</t>
  </si>
  <si>
    <t>P00620</t>
  </si>
  <si>
    <t>P00621</t>
  </si>
  <si>
    <t>P00622</t>
  </si>
  <si>
    <t>P00623</t>
  </si>
  <si>
    <t>Rohan R</t>
  </si>
  <si>
    <t>P00624</t>
  </si>
  <si>
    <t>P00625</t>
  </si>
  <si>
    <t>1/23/2024</t>
  </si>
  <si>
    <t>P00626</t>
  </si>
  <si>
    <t>P00627</t>
  </si>
  <si>
    <t>P00628</t>
  </si>
  <si>
    <t>P00629</t>
  </si>
  <si>
    <t>P00630</t>
  </si>
  <si>
    <t>P00631</t>
  </si>
  <si>
    <t>1/19/2025</t>
  </si>
  <si>
    <t>P00632</t>
  </si>
  <si>
    <t>6/14/2024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</si>
  <si>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</si>
  <si>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</si>
  <si>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</si>
  <si>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</si>
  <si>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</si>
  <si>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</si>
  <si>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</si>
  <si>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</si>
  <si>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</si>
  <si>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12/31/2025</t>
  </si>
  <si>
    <t>P00642</t>
  </si>
  <si>
    <t>P00643</t>
  </si>
  <si>
    <t>P00644</t>
  </si>
  <si>
    <t>P00645</t>
  </si>
  <si>
    <t>2/28/2024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</si>
  <si>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</si>
  <si>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</si>
  <si>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</si>
  <si>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</si>
  <si>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</si>
  <si>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</si>
  <si>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</si>
  <si>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</si>
  <si>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</si>
  <si>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</si>
  <si>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</si>
  <si>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</si>
  <si>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</si>
  <si>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</si>
  <si>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</si>
  <si>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</si>
  <si>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</si>
  <si>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3/17/2024</t>
  </si>
  <si>
    <t>3/18/2024</t>
  </si>
  <si>
    <t>P00663</t>
  </si>
  <si>
    <t>P00664</t>
  </si>
  <si>
    <t>P00665</t>
  </si>
  <si>
    <t>P00666</t>
  </si>
  <si>
    <t>P00667</t>
  </si>
  <si>
    <t>P00668</t>
  </si>
  <si>
    <t>8/13/2025</t>
  </si>
  <si>
    <t>P00669</t>
  </si>
  <si>
    <t>6/18/2025</t>
  </si>
  <si>
    <t>P00670</t>
  </si>
  <si>
    <t>P00671</t>
  </si>
  <si>
    <t>P00672</t>
  </si>
  <si>
    <t>7/28/2024</t>
  </si>
  <si>
    <t>P00673</t>
  </si>
  <si>
    <t>P00674</t>
  </si>
  <si>
    <t>P00675</t>
  </si>
  <si>
    <t>2/16/2025</t>
  </si>
  <si>
    <t>P00676</t>
  </si>
  <si>
    <t>P00677</t>
  </si>
  <si>
    <t>P00678</t>
  </si>
  <si>
    <t>P00679</t>
  </si>
  <si>
    <t>P00680</t>
  </si>
  <si>
    <t>P00681</t>
  </si>
  <si>
    <t>P00682</t>
  </si>
  <si>
    <t>4/29/2025</t>
  </si>
  <si>
    <t>P00683</t>
  </si>
  <si>
    <t>P00684</t>
  </si>
  <si>
    <t>P00685</t>
  </si>
  <si>
    <t>P00686</t>
  </si>
  <si>
    <t>1/16/2025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</si>
  <si>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</si>
  <si>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</si>
  <si>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</si>
  <si>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</si>
  <si>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</si>
  <si>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</si>
  <si>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</si>
  <si>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</si>
  <si>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</si>
  <si>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</si>
  <si>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</si>
  <si>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</si>
  <si>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</si>
  <si>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</si>
  <si>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</si>
  <si>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</si>
  <si>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</si>
  <si>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11/27/2024</t>
  </si>
  <si>
    <t>P00704</t>
  </si>
  <si>
    <t>P00705</t>
  </si>
  <si>
    <t>P00706</t>
  </si>
  <si>
    <t>P00707</t>
  </si>
  <si>
    <t>P00708</t>
  </si>
  <si>
    <t>1/29/2024</t>
  </si>
  <si>
    <t>P00709</t>
  </si>
  <si>
    <t>P00710</t>
  </si>
  <si>
    <t>P00711</t>
  </si>
  <si>
    <t>P00712</t>
  </si>
  <si>
    <t>P00713</t>
  </si>
  <si>
    <t>P00714</t>
  </si>
  <si>
    <t>6/29/2025</t>
  </si>
  <si>
    <t>P00715</t>
  </si>
  <si>
    <t>Sathya Sharma</t>
  </si>
  <si>
    <t>P00716</t>
  </si>
  <si>
    <t>P00717</t>
  </si>
  <si>
    <t>5/20/2024</t>
  </si>
  <si>
    <t>P00718</t>
  </si>
  <si>
    <t>P00719</t>
  </si>
  <si>
    <t>2/19/2025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</si>
  <si>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</si>
  <si>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</si>
  <si>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</si>
  <si>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</si>
  <si>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</si>
  <si>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</si>
  <si>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</si>
  <si>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</si>
  <si>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</si>
  <si>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8/18/2025</t>
  </si>
  <si>
    <t>P00729</t>
  </si>
  <si>
    <t>P00730</t>
  </si>
  <si>
    <t>P00731</t>
  </si>
  <si>
    <t>P00732</t>
  </si>
  <si>
    <t>P00733</t>
  </si>
  <si>
    <t>P00734</t>
  </si>
  <si>
    <t>7/27/2025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</si>
  <si>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</si>
  <si>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</si>
  <si>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</si>
  <si>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</si>
  <si>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</si>
  <si>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</si>
  <si>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</si>
  <si>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</si>
  <si>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</si>
  <si>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5/21/2024</t>
  </si>
  <si>
    <t>P00744</t>
  </si>
  <si>
    <t>P00745</t>
  </si>
  <si>
    <t>P00746</t>
  </si>
  <si>
    <t>P00747</t>
  </si>
  <si>
    <t>P00748</t>
  </si>
  <si>
    <t>P00749</t>
  </si>
  <si>
    <t>P00750</t>
  </si>
  <si>
    <t>Rohan Iyer</t>
  </si>
  <si>
    <t>P00751</t>
  </si>
  <si>
    <t>P00752</t>
  </si>
  <si>
    <t>P00753</t>
  </si>
  <si>
    <t>P00754</t>
  </si>
  <si>
    <t>P00755</t>
  </si>
  <si>
    <t>P00756</t>
  </si>
  <si>
    <t>P00757</t>
  </si>
  <si>
    <t>2/14/2025</t>
  </si>
  <si>
    <t>P00758</t>
  </si>
  <si>
    <t>9/22/2025</t>
  </si>
  <si>
    <t>P00759</t>
  </si>
  <si>
    <t>8/23/2025</t>
  </si>
  <si>
    <t>P00760</t>
  </si>
  <si>
    <t>P00761</t>
  </si>
  <si>
    <t>P00762</t>
  </si>
  <si>
    <t>P00763</t>
  </si>
  <si>
    <t>P00764</t>
  </si>
  <si>
    <t>P00765</t>
  </si>
  <si>
    <t>P00766</t>
  </si>
  <si>
    <t>7/25/2025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</si>
  <si>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</si>
  <si>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</si>
  <si>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</si>
  <si>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</si>
  <si>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</si>
  <si>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</si>
  <si>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</si>
  <si>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</si>
  <si>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</si>
  <si>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</si>
  <si>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</si>
  <si>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12/25/2025</t>
  </si>
  <si>
    <t>P00778</t>
  </si>
  <si>
    <t>P00779</t>
  </si>
  <si>
    <t>3/27/2025</t>
  </si>
  <si>
    <t>P00780</t>
  </si>
  <si>
    <t>P00781</t>
  </si>
  <si>
    <t>7/21/2024</t>
  </si>
  <si>
    <t>P00782</t>
  </si>
  <si>
    <t>P00783</t>
  </si>
  <si>
    <t>P00784</t>
  </si>
  <si>
    <t>P00785</t>
  </si>
  <si>
    <t>P00786</t>
  </si>
  <si>
    <t>9/21/2024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</si>
  <si>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</si>
  <si>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</si>
  <si>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</si>
  <si>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</si>
  <si>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</si>
  <si>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</si>
  <si>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</si>
  <si>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</si>
  <si>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</si>
  <si>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</si>
  <si>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Karthik Nair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</si>
  <si>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</si>
  <si>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</si>
  <si>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</si>
  <si>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</si>
  <si>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</si>
  <si>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</si>
  <si>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</si>
  <si>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</si>
  <si>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9/28/2024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</si>
  <si>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</si>
  <si>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</si>
  <si>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</si>
  <si>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</si>
  <si>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</si>
  <si>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</si>
  <si>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</si>
  <si>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</si>
  <si>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</si>
  <si>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</si>
  <si>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5/22/2024</t>
  </si>
  <si>
    <t>P00815</t>
  </si>
  <si>
    <t>P00816</t>
  </si>
  <si>
    <t>P00817</t>
  </si>
  <si>
    <t>P00818</t>
  </si>
  <si>
    <t>Kavya Iyer</t>
  </si>
  <si>
    <t>P00819</t>
  </si>
  <si>
    <t>P00820</t>
  </si>
  <si>
    <t>P00821</t>
  </si>
  <si>
    <t>P00822</t>
  </si>
  <si>
    <t>P00823</t>
  </si>
  <si>
    <t>1/20/2025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</si>
  <si>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</si>
  <si>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</si>
  <si>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</si>
  <si>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</si>
  <si>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</si>
  <si>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</si>
  <si>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</si>
  <si>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</si>
  <si>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</si>
  <si>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</si>
  <si>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</si>
  <si>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</si>
  <si>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</si>
  <si>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</si>
  <si>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</si>
  <si>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</si>
  <si>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9/23/2024</t>
  </si>
  <si>
    <t>P00840</t>
  </si>
  <si>
    <t>P00841</t>
  </si>
  <si>
    <t>P00842</t>
  </si>
  <si>
    <t>P00843</t>
  </si>
  <si>
    <t>P00844</t>
  </si>
  <si>
    <t>P00845</t>
  </si>
  <si>
    <t>2/24/2025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</si>
  <si>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</si>
  <si>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</si>
  <si>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</si>
  <si>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</si>
  <si>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</si>
  <si>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</si>
  <si>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</si>
  <si>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</si>
  <si>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3/18/2025</t>
  </si>
  <si>
    <t>P00854</t>
  </si>
  <si>
    <t>P00855</t>
  </si>
  <si>
    <t>9/27/2025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</si>
  <si>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</si>
  <si>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</si>
  <si>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</si>
  <si>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</si>
  <si>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</si>
  <si>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</si>
  <si>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</si>
  <si>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</si>
  <si>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</si>
  <si>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</si>
  <si>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</si>
  <si>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</si>
  <si>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</si>
  <si>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</si>
  <si>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4/26/2025</t>
  </si>
  <si>
    <t>P00870</t>
  </si>
  <si>
    <t>P00871</t>
  </si>
  <si>
    <t>P00872</t>
  </si>
  <si>
    <t>P00873</t>
  </si>
  <si>
    <t>P00874</t>
  </si>
  <si>
    <t>8/20/2024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</si>
  <si>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</si>
  <si>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</si>
  <si>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</si>
  <si>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</si>
  <si>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</si>
  <si>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</si>
  <si>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</si>
  <si>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</si>
  <si>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12/19/2025</t>
  </si>
  <si>
    <t>P00883</t>
  </si>
  <si>
    <t>P00884</t>
  </si>
  <si>
    <t>P00885</t>
  </si>
  <si>
    <t>P00886</t>
  </si>
  <si>
    <t>P00887</t>
  </si>
  <si>
    <t>P00888</t>
  </si>
  <si>
    <t>12/21/2025</t>
  </si>
  <si>
    <t>P00889</t>
  </si>
  <si>
    <t>P00890</t>
  </si>
  <si>
    <t>P00891</t>
  </si>
  <si>
    <t>P00892</t>
  </si>
  <si>
    <t>9/21/2025</t>
  </si>
  <si>
    <t>P00893</t>
  </si>
  <si>
    <t>4/19/2025</t>
  </si>
  <si>
    <t>P00894</t>
  </si>
  <si>
    <t>P00895</t>
  </si>
  <si>
    <t>P00896</t>
  </si>
  <si>
    <t>Nisha Sharma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</si>
  <si>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</si>
  <si>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</si>
  <si>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</si>
  <si>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</si>
  <si>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</si>
  <si>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</si>
  <si>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</si>
  <si>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</si>
  <si>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</si>
  <si>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</si>
  <si>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</si>
  <si>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</si>
  <si>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</si>
  <si>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</si>
  <si>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</si>
  <si>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</si>
  <si>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</si>
  <si>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</si>
  <si>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</si>
  <si>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</si>
  <si>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</si>
  <si>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</si>
  <si>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</si>
  <si>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</si>
  <si>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</si>
  <si>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</si>
  <si>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</si>
  <si>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</si>
  <si>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</si>
  <si>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2/13/2025</t>
  </si>
  <si>
    <t>P00926</t>
  </si>
  <si>
    <t>P00927</t>
  </si>
  <si>
    <t>P00928</t>
  </si>
  <si>
    <t>6/26/2024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</si>
  <si>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</si>
  <si>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</si>
  <si>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</si>
  <si>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</si>
  <si>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</si>
  <si>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</si>
  <si>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</si>
  <si>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</si>
  <si>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</si>
  <si>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</si>
  <si>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</si>
  <si>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</si>
  <si>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</si>
  <si>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</si>
  <si>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</si>
  <si>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3/19/2024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</si>
  <si>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</si>
  <si>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</si>
  <si>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</si>
  <si>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</si>
  <si>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</si>
  <si>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</si>
  <si>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</si>
  <si>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</si>
  <si>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</si>
  <si>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</si>
  <si>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</si>
  <si>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</si>
  <si>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3/16/2024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</si>
  <si>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</si>
  <si>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</si>
  <si>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</si>
  <si>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</si>
  <si>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</si>
  <si>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</si>
  <si>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</si>
  <si>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</si>
  <si>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</si>
  <si>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</si>
  <si>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</si>
  <si>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</si>
  <si>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</si>
  <si>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</si>
  <si>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10/29/2025</t>
  </si>
  <si>
    <t>P00970</t>
  </si>
  <si>
    <t>P00971</t>
  </si>
  <si>
    <t>10/20/2024</t>
  </si>
  <si>
    <t>P00972</t>
  </si>
  <si>
    <t>P00973</t>
  </si>
  <si>
    <t>P00974</t>
  </si>
  <si>
    <t>12/13/2025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</si>
  <si>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</si>
  <si>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</si>
  <si>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</si>
  <si>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</si>
  <si>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</si>
  <si>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</si>
  <si>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</si>
  <si>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</si>
  <si>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</si>
  <si>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</si>
  <si>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</si>
  <si>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</si>
  <si>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</si>
  <si>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</si>
  <si>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</si>
  <si>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</si>
  <si>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</si>
  <si>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</si>
  <si>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4/13/2024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</si>
  <si>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</si>
  <si>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</si>
  <si>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</si>
  <si>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</si>
  <si>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</si>
  <si>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</si>
  <si>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</si>
  <si>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</si>
  <si>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Age group</t>
  </si>
  <si>
    <t>Admission Month</t>
  </si>
  <si>
    <t>Total amount billed amount</t>
  </si>
  <si>
    <t>Total patient records</t>
  </si>
  <si>
    <t>Average bill</t>
  </si>
  <si>
    <t>hightest bill</t>
  </si>
  <si>
    <t>Lowest bill</t>
  </si>
  <si>
    <t>Avg lenght of stay</t>
  </si>
  <si>
    <t>Sum of Total_Bill_INR</t>
  </si>
  <si>
    <t>Grand Total</t>
  </si>
  <si>
    <t>Count of Patient_ID</t>
  </si>
  <si>
    <t>Average of Total_Bill_INR2</t>
  </si>
  <si>
    <t>Average of Length_of_Stay_Days</t>
  </si>
  <si>
    <t>Average of Total_Bill_INR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</si>
</sst>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4" fontId="0" fillId="0" borderId="0" xfId="0" applyNumberFormat="1"/>
    <xf numFmtId="14" fontId="0" fillId="0" borderId="0" xfId="0" applyNumberFormat="1"/>
    <xf numFmtId="165" fontId="1" fillId="0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0" fillId="0" borderId="0" xfId="0" applyNumberFormat="1"/>
    <xf numFmtId="0" fontId="1" fillId="0" borderId="2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164" fontId="0" fillId="0" borderId="3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1" xfId="0" applyNumberFormat="1" applyBorder="1"/>
    <xf numFmtId="17" fontId="0" fillId="0" borderId="0" xfId="0" applyNumberFormat="1"/>
    <xf numFmtId="0" fontId="1" fillId="0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7" fontId="3" fillId="2" borderId="5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4">
    <dxf>
      <numFmt numFmtId="22" formatCode="mmm\-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164" formatCode="&quot;₹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dataset 2.xlsx]Monthly Trend!PivotTable10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Trend'!$A$4:$A$28</c:f>
              <c:strCache>
                <c:ptCount val="24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</c:strCache>
            </c:strRef>
          </c:cat>
          <c:val>
            <c:numRef>
              <c:f>'Monthly Trend'!$B$4:$B$28</c:f>
              <c:numCache>
                <c:formatCode>"₹"\ #,##0.00</c:formatCode>
                <c:ptCount val="24"/>
                <c:pt idx="0">
                  <c:v>2268410.7300000009</c:v>
                </c:pt>
                <c:pt idx="1">
                  <c:v>2677900.98</c:v>
                </c:pt>
                <c:pt idx="2">
                  <c:v>2860299.49</c:v>
                </c:pt>
                <c:pt idx="3">
                  <c:v>2588216.12</c:v>
                </c:pt>
                <c:pt idx="4">
                  <c:v>2583292.3500000006</c:v>
                </c:pt>
                <c:pt idx="5">
                  <c:v>2313660.65</c:v>
                </c:pt>
                <c:pt idx="6">
                  <c:v>2560983.0500000003</c:v>
                </c:pt>
                <c:pt idx="7">
                  <c:v>2276730.1</c:v>
                </c:pt>
                <c:pt idx="8">
                  <c:v>3030408.0100000007</c:v>
                </c:pt>
                <c:pt idx="9">
                  <c:v>2619764.23</c:v>
                </c:pt>
                <c:pt idx="10">
                  <c:v>3136232.9700000007</c:v>
                </c:pt>
                <c:pt idx="11">
                  <c:v>2158047.5600000005</c:v>
                </c:pt>
                <c:pt idx="12">
                  <c:v>2578177.0400000005</c:v>
                </c:pt>
                <c:pt idx="13">
                  <c:v>2579648.16</c:v>
                </c:pt>
                <c:pt idx="14">
                  <c:v>1900651.4999999998</c:v>
                </c:pt>
                <c:pt idx="15">
                  <c:v>2188060.87</c:v>
                </c:pt>
                <c:pt idx="16">
                  <c:v>3137409.93</c:v>
                </c:pt>
                <c:pt idx="17">
                  <c:v>3070945.48</c:v>
                </c:pt>
                <c:pt idx="18">
                  <c:v>2349558.5599999996</c:v>
                </c:pt>
                <c:pt idx="19">
                  <c:v>2668863.1399999997</c:v>
                </c:pt>
                <c:pt idx="20">
                  <c:v>2325132.560000001</c:v>
                </c:pt>
                <c:pt idx="21">
                  <c:v>2422903.6899999995</c:v>
                </c:pt>
                <c:pt idx="22">
                  <c:v>2319808.7499999995</c:v>
                </c:pt>
                <c:pt idx="23">
                  <c:v>2327852.42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6-4BE1-BA88-A52E2D78D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657928"/>
        <c:axId val="1944661000"/>
      </c:lineChart>
      <c:catAx>
        <c:axId val="194465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661000"/>
        <c:crosses val="autoZero"/>
        <c:auto val="1"/>
        <c:lblAlgn val="ctr"/>
        <c:lblOffset val="100"/>
        <c:noMultiLvlLbl val="0"/>
      </c:catAx>
      <c:valAx>
        <c:axId val="194466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65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57150</xdr:rowOff>
    </xdr:from>
    <xdr:to>
      <xdr:col>10</xdr:col>
      <xdr:colOff>323850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012AD-5D93-BBAF-FBB3-C7EA7F27D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3.500013541663" createdVersion="8" refreshedVersion="8" minRefreshableVersion="3" recordCount="1000" xr:uid="{72CE42B5-6BC7-4D3F-AF8C-DCE3A1E9044D}">
  <cacheSource type="worksheet">
    <worksheetSource ref="A1:Y1001" sheet="Cleaned dataset"/>
  </cacheSource>
  <cacheFields count="25">
    <cacheField name="Patient_ID" numFmtId="0">
      <sharedItems/>
    </cacheField>
    <cacheField name="Patient_Name" numFmtId="0">
      <sharedItems/>
    </cacheField>
    <cacheField name="Age" numFmtId="0">
      <sharedItems containsSemiMixedTypes="0" containsString="0" containsNumber="1" containsInteger="1" minValue="1" maxValue="90"/>
    </cacheField>
    <cacheField name="Gender" numFmtId="0">
      <sharedItems/>
    </cacheField>
    <cacheField name="City" numFmtId="0">
      <sharedItems/>
    </cacheField>
    <cacheField name="Hospital" numFmtId="0">
      <sharedItems count="6">
        <s v="City Care Hospital"/>
        <s v="Sunrise Multispeciality"/>
        <s v="Community General Hospital"/>
        <s v="Metro Health Institute"/>
        <s v="Apollo Medical Centre"/>
        <s v="Green Valley Hospital"/>
      </sharedItems>
    </cacheField>
    <cacheField name="Department" numFmtId="0">
      <sharedItems count="8">
        <s v="Orthopedics"/>
        <s v="Cardiology"/>
        <s v="Emergency"/>
        <s v="Oncology"/>
        <s v="Pediatrics"/>
        <s v="Dermatology"/>
        <s v="Neurology"/>
        <s v="General Medicine"/>
      </sharedItems>
    </cacheField>
    <cacheField name="Medical_Condition" numFmtId="0">
      <sharedItems/>
    </cacheField>
    <cacheField name="Admission_Type" numFmtId="0">
      <sharedItems/>
    </cacheField>
    <cacheField name="Admission_Date" numFmtId="14">
      <sharedItems containsSemiMixedTypes="0" containsNonDate="0" containsDate="1" containsString="0" minDate="2024-01-01T00:00:00" maxDate="2026-01-01T00:00:00"/>
    </cacheField>
    <cacheField name="Discharge_Date" numFmtId="14">
      <sharedItems containsSemiMixedTypes="0" containsNonDate="0" containsDate="1" containsString="0" minDate="2024-01-03T00:00:00" maxDate="2026-07-02T00:00:00"/>
    </cacheField>
    <cacheField name="Length_of_Stay_Days" numFmtId="0">
      <sharedItems containsSemiMixedTypes="0" containsString="0" containsNumber="1" containsInteger="1" minValue="1" maxValue="16"/>
    </cacheField>
    <cacheField name="Insurance_Type" numFmtId="0">
      <sharedItems count="5">
        <s v="Other"/>
        <s v="Self-Pay"/>
        <s v="Private Insurance"/>
        <s v="Government Scheme"/>
        <s v="Employer Insurance"/>
      </sharedItems>
    </cacheField>
    <cacheField name="Test_or_Procedure" numFmtId="0">
      <sharedItems/>
    </cacheField>
    <cacheField name="Total_Bill_INR" numFmtId="164">
      <sharedItems containsSemiMixedTypes="0" containsString="0" containsNumber="1" minValue="12376.63" maxValue="201468.87"/>
    </cacheField>
    <cacheField name="Satisfaction_Score" numFmtId="0">
      <sharedItems containsSemiMixedTypes="0" containsString="0" containsNumber="1" containsInteger="1" minValue="1" maxValue="5"/>
    </cacheField>
    <cacheField name="Discharge_Disposition" numFmtId="0">
      <sharedItems/>
    </cacheField>
    <cacheField name="Age group" numFmtId="14">
      <sharedItems/>
    </cacheField>
    <cacheField name="Admission Month" numFmtId="17">
      <sharedItems containsSemiMixedTypes="0" containsNonDate="0" containsDate="1" containsString="0" minDate="2024-01-01T00:00:00" maxDate="2025-12-02T00:00:00" count="24">
        <d v="2024-01-01T00:00:00"/>
        <d v="2025-12-01T00:00:00"/>
        <d v="2024-02-01T00:00:00"/>
        <d v="2024-08-01T00:00:00"/>
        <d v="2025-05-01T00:00:00"/>
        <d v="2025-04-01T00:00:00"/>
        <d v="2024-04-01T00:00:00"/>
        <d v="2025-09-01T00:00:00"/>
        <d v="2024-12-01T00:00:00"/>
        <d v="2024-06-01T00:00:00"/>
        <d v="2025-06-01T00:00:00"/>
        <d v="2025-11-01T00:00:00"/>
        <d v="2024-07-01T00:00:00"/>
        <d v="2024-09-01T00:00:00"/>
        <d v="2025-03-01T00:00:00"/>
        <d v="2025-02-01T00:00:00"/>
        <d v="2025-07-01T00:00:00"/>
        <d v="2025-10-01T00:00:00"/>
        <d v="2024-03-01T00:00:00"/>
        <d v="2025-08-01T00:00:00"/>
        <d v="2024-10-01T00:00:00"/>
        <d v="2024-11-01T00:00:00"/>
        <d v="2025-01-01T00:00:00"/>
        <d v="2024-05-01T00:00:00"/>
      </sharedItems>
    </cacheField>
    <cacheField name="Total amount billed amount" numFmtId="0">
      <sharedItems containsString="0" containsBlank="1" containsNumber="1" minValue="60942958.340000033" maxValue="60942958.340000033"/>
    </cacheField>
    <cacheField name="Total patient records" numFmtId="0">
      <sharedItems containsString="0" containsBlank="1" containsNumber="1" containsInteger="1" minValue="1000" maxValue="1000"/>
    </cacheField>
    <cacheField name="Average bill" numFmtId="0">
      <sharedItems containsString="0" containsBlank="1" containsNumber="1" minValue="60942.958340000034" maxValue="60942.958340000034"/>
    </cacheField>
    <cacheField name="hightest bill" numFmtId="0">
      <sharedItems containsString="0" containsBlank="1" containsNumber="1" minValue="201468.87" maxValue="201468.87"/>
    </cacheField>
    <cacheField name="Lowest bill" numFmtId="0">
      <sharedItems containsString="0" containsBlank="1" containsNumber="1" minValue="12376.63" maxValue="12376.63"/>
    </cacheField>
    <cacheField name="Avg lenght of stay" numFmtId="0">
      <sharedItems containsString="0" containsBlank="1" containsNumber="1" minValue="3.9980000000000002" maxValue="3.998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0001"/>
    <s v="Aarav R"/>
    <n v="82"/>
    <s v="Female"/>
    <s v="Coimbatore"/>
    <x v="0"/>
    <x v="0"/>
    <s v="Skin Infection"/>
    <s v="Urgent"/>
    <d v="2024-01-26T00:00:00"/>
    <d v="2024-01-28T00:00:00"/>
    <n v="2"/>
    <x v="0"/>
    <s v="Blood Test"/>
    <n v="18346.53"/>
    <n v="4"/>
    <s v="Referred"/>
    <s v="66+"/>
    <x v="0"/>
    <n v="60942958.340000033"/>
    <n v="1000"/>
    <n v="60942.958340000034"/>
    <n v="201468.87"/>
    <n v="12376.63"/>
    <n v="3.9980000000000002"/>
  </r>
  <r>
    <s v="P00002"/>
    <s v="Kavya R"/>
    <n v="84"/>
    <s v="Other"/>
    <s v="Bengaluru"/>
    <x v="1"/>
    <x v="1"/>
    <s v="Asthma"/>
    <s v="Emergency"/>
    <d v="2025-12-07T00:00:00"/>
    <d v="2025-07-14T00:00:00"/>
    <n v="2"/>
    <x v="1"/>
    <s v="None"/>
    <n v="94838.25"/>
    <n v="3"/>
    <s v="Transferred"/>
    <s v="66+"/>
    <x v="1"/>
    <m/>
    <m/>
    <m/>
    <m/>
    <m/>
    <m/>
  </r>
  <r>
    <s v="P00003"/>
    <s v="Ishita Nair"/>
    <n v="78"/>
    <s v="Male"/>
    <s v="Salem"/>
    <x v="0"/>
    <x v="2"/>
    <s v="Hypertension"/>
    <s v="Urgent"/>
    <d v="2024-02-14T00:00:00"/>
    <d v="2024-02-18T00:00:00"/>
    <n v="4"/>
    <x v="2"/>
    <s v="Blood Test"/>
    <n v="52298.97"/>
    <n v="5"/>
    <s v="Referred"/>
    <s v="66+"/>
    <x v="2"/>
    <m/>
    <m/>
    <m/>
    <m/>
    <m/>
    <m/>
  </r>
  <r>
    <s v="P00004"/>
    <s v="Aditya Sharma"/>
    <n v="38"/>
    <s v="Female"/>
    <s v="Kochi"/>
    <x v="2"/>
    <x v="3"/>
    <s v="Asthma"/>
    <s v="Emergency"/>
    <d v="2024-08-26T00:00:00"/>
    <d v="2024-08-29T00:00:00"/>
    <n v="3"/>
    <x v="3"/>
    <s v="CT Scan"/>
    <n v="54185.93"/>
    <n v="3"/>
    <s v="Left Against Medical Advice"/>
    <s v="36-50"/>
    <x v="3"/>
    <m/>
    <m/>
    <m/>
    <m/>
    <m/>
    <m/>
  </r>
  <r>
    <s v="P00005"/>
    <s v="Aditya Iyer"/>
    <n v="35"/>
    <s v="Other"/>
    <s v="Salem"/>
    <x v="2"/>
    <x v="1"/>
    <s v="Heart Disease"/>
    <s v="Elective"/>
    <d v="2025-05-12T00:00:00"/>
    <d v="2025-07-12T00:00:00"/>
    <n v="2"/>
    <x v="3"/>
    <s v="Ultrasound"/>
    <n v="138550.78"/>
    <n v="4"/>
    <s v="Left Against Medical Advice"/>
    <s v="18-35"/>
    <x v="4"/>
    <m/>
    <m/>
    <m/>
    <m/>
    <m/>
    <m/>
  </r>
  <r>
    <s v="P00006"/>
    <s v="Meera Iyer"/>
    <n v="51"/>
    <s v="Other"/>
    <s v="Hyderabad"/>
    <x v="3"/>
    <x v="4"/>
    <s v="No Chronic Condition"/>
    <s v="Elective"/>
    <d v="2025-04-14T00:00:00"/>
    <d v="2025-04-16T00:00:00"/>
    <n v="2"/>
    <x v="2"/>
    <s v="None"/>
    <n v="43275.67"/>
    <n v="4"/>
    <s v="Home"/>
    <s v="51-65"/>
    <x v="5"/>
    <m/>
    <m/>
    <m/>
    <m/>
    <m/>
    <m/>
  </r>
  <r>
    <s v="P00007"/>
    <s v="Rahul Devi"/>
    <n v="15"/>
    <s v="Female"/>
    <s v="Kochi"/>
    <x v="4"/>
    <x v="0"/>
    <s v="Pneumonia"/>
    <s v="Urgent"/>
    <d v="2025-04-10T00:00:00"/>
    <d v="2025-10-13T00:00:00"/>
    <n v="9"/>
    <x v="2"/>
    <s v="Ultrasound"/>
    <n v="49822.76"/>
    <n v="5"/>
    <s v="Transferred"/>
    <s v="Under 18"/>
    <x v="5"/>
    <m/>
    <m/>
    <m/>
    <m/>
    <m/>
    <m/>
  </r>
  <r>
    <s v="P00008"/>
    <s v="Arjun Devi"/>
    <n v="83"/>
    <s v="Male"/>
    <s v="Kochi"/>
    <x v="3"/>
    <x v="4"/>
    <s v="Skin Infection"/>
    <s v="Emergency"/>
    <d v="2024-04-24T00:00:00"/>
    <d v="2024-04-27T00:00:00"/>
    <n v="3"/>
    <x v="3"/>
    <s v="MRI"/>
    <n v="67623.240000000005"/>
    <n v="4"/>
    <s v="Referred"/>
    <s v="66+"/>
    <x v="6"/>
    <m/>
    <m/>
    <m/>
    <m/>
    <m/>
    <m/>
  </r>
  <r>
    <s v="P00009"/>
    <s v="Manoj Sharma"/>
    <n v="70"/>
    <s v="Other"/>
    <s v="Hyderabad"/>
    <x v="2"/>
    <x v="0"/>
    <s v="Hypertension"/>
    <s v="Elective"/>
    <d v="2024-01-01T00:00:00"/>
    <d v="2024-02-01T00:00:00"/>
    <n v="1"/>
    <x v="0"/>
    <s v="X-Ray"/>
    <n v="65429.25"/>
    <n v="5"/>
    <s v="Transferred"/>
    <s v="66+"/>
    <x v="0"/>
    <m/>
    <m/>
    <m/>
    <m/>
    <m/>
    <m/>
  </r>
  <r>
    <s v="P00010"/>
    <s v="Arjun Iyer"/>
    <n v="68"/>
    <s v="Other"/>
    <s v="Coimbatore"/>
    <x v="4"/>
    <x v="2"/>
    <s v="Migraine"/>
    <s v="Elective"/>
    <d v="2025-09-03T00:00:00"/>
    <d v="2025-03-15T00:00:00"/>
    <n v="6"/>
    <x v="2"/>
    <s v="ECG"/>
    <n v="43981.31"/>
    <n v="4"/>
    <s v="Referred"/>
    <s v="66+"/>
    <x v="7"/>
    <m/>
    <m/>
    <m/>
    <m/>
    <m/>
    <m/>
  </r>
  <r>
    <s v="P00011"/>
    <s v="Deepa Singh"/>
    <n v="76"/>
    <s v="Female"/>
    <s v="Coimbatore"/>
    <x v="1"/>
    <x v="4"/>
    <s v="Kidney Disease"/>
    <s v="Elective"/>
    <d v="2024-08-01T00:00:00"/>
    <d v="2024-10-01T00:00:00"/>
    <n v="2"/>
    <x v="3"/>
    <s v="Blood Test"/>
    <n v="27639.29"/>
    <n v="3"/>
    <s v="Home"/>
    <s v="66+"/>
    <x v="3"/>
    <m/>
    <m/>
    <m/>
    <m/>
    <m/>
    <m/>
  </r>
  <r>
    <s v="P00012"/>
    <s v="Arjun Iyer"/>
    <n v="85"/>
    <s v="Male"/>
    <s v="Coimbatore"/>
    <x v="0"/>
    <x v="1"/>
    <s v="Hypertension"/>
    <s v="Urgent"/>
    <d v="2024-12-28T00:00:00"/>
    <d v="2024-12-31T00:00:00"/>
    <n v="3"/>
    <x v="4"/>
    <s v="X-Ray"/>
    <n v="30474.31"/>
    <n v="5"/>
    <s v="Left Against Medical Advice"/>
    <s v="66+"/>
    <x v="8"/>
    <m/>
    <m/>
    <m/>
    <m/>
    <m/>
    <m/>
  </r>
  <r>
    <s v="P00013"/>
    <s v="Aarav R"/>
    <n v="24"/>
    <s v="Male"/>
    <s v="Coimbatore"/>
    <x v="0"/>
    <x v="0"/>
    <s v="Diabetes"/>
    <s v="Elective"/>
    <d v="2025-04-18T00:00:00"/>
    <d v="2025-04-27T00:00:00"/>
    <n v="9"/>
    <x v="4"/>
    <s v="CT Scan"/>
    <n v="74508.22"/>
    <n v="4"/>
    <s v="Referred"/>
    <s v="18-35"/>
    <x v="5"/>
    <m/>
    <m/>
    <m/>
    <m/>
    <m/>
    <m/>
  </r>
  <r>
    <s v="P00014"/>
    <s v="Manoj Singh"/>
    <n v="52"/>
    <s v="Female"/>
    <s v="Hyderabad"/>
    <x v="0"/>
    <x v="5"/>
    <s v="Fracture"/>
    <s v="Elective"/>
    <d v="2024-06-17T00:00:00"/>
    <d v="2024-06-18T00:00:00"/>
    <n v="1"/>
    <x v="3"/>
    <s v="Blood Test"/>
    <n v="42879.55"/>
    <n v="5"/>
    <s v="Home"/>
    <s v="51-65"/>
    <x v="9"/>
    <m/>
    <m/>
    <m/>
    <m/>
    <m/>
    <m/>
  </r>
  <r>
    <s v="P00015"/>
    <s v="Ishita R"/>
    <n v="41"/>
    <s v="Female"/>
    <s v="Coimbatore"/>
    <x v="1"/>
    <x v="6"/>
    <s v="Diabetes"/>
    <s v="Emergency"/>
    <d v="2024-02-21T00:00:00"/>
    <d v="2024-02-25T00:00:00"/>
    <n v="4"/>
    <x v="0"/>
    <s v="X-Ray"/>
    <n v="104486.33"/>
    <n v="3"/>
    <s v="Home"/>
    <s v="36-50"/>
    <x v="2"/>
    <m/>
    <m/>
    <m/>
    <m/>
    <m/>
    <m/>
  </r>
  <r>
    <s v="P00016"/>
    <s v="Priya Reddy"/>
    <n v="80"/>
    <s v="Female"/>
    <s v="Hyderabad"/>
    <x v="2"/>
    <x v="4"/>
    <s v="Heart Disease"/>
    <s v="Urgent"/>
    <d v="2025-05-03T00:00:00"/>
    <d v="2025-10-03T00:00:00"/>
    <n v="5"/>
    <x v="1"/>
    <s v="CT Scan"/>
    <n v="60890"/>
    <n v="3"/>
    <s v="Transferred"/>
    <s v="66+"/>
    <x v="4"/>
    <m/>
    <m/>
    <m/>
    <m/>
    <m/>
    <m/>
  </r>
  <r>
    <s v="P00017"/>
    <s v="Sathya Nair"/>
    <n v="10"/>
    <s v="Female"/>
    <s v="Madurai"/>
    <x v="0"/>
    <x v="4"/>
    <s v="Asthma"/>
    <s v="Elective"/>
    <d v="2025-04-14T00:00:00"/>
    <d v="2025-04-15T00:00:00"/>
    <n v="1"/>
    <x v="0"/>
    <s v="Ultrasound"/>
    <n v="80127.929999999993"/>
    <n v="5"/>
    <s v="Transferred"/>
    <s v="Under 18"/>
    <x v="5"/>
    <m/>
    <m/>
    <m/>
    <m/>
    <m/>
    <m/>
  </r>
  <r>
    <s v="P00018"/>
    <s v="Manoj Sharma"/>
    <n v="79"/>
    <s v="Other"/>
    <s v="Madurai"/>
    <x v="5"/>
    <x v="0"/>
    <s v="Asthma"/>
    <s v="Urgent"/>
    <d v="2025-06-25T00:00:00"/>
    <d v="2025-01-07T00:00:00"/>
    <n v="6"/>
    <x v="3"/>
    <s v="Ultrasound"/>
    <n v="31306.01"/>
    <n v="5"/>
    <s v="Transferred"/>
    <s v="66+"/>
    <x v="10"/>
    <m/>
    <m/>
    <m/>
    <m/>
    <m/>
    <m/>
  </r>
  <r>
    <s v="P00019"/>
    <s v="Kavya Sharma"/>
    <n v="27"/>
    <s v="Other"/>
    <s v="Madurai"/>
    <x v="0"/>
    <x v="1"/>
    <s v="Hypertension"/>
    <s v="Urgent"/>
    <d v="2025-11-10T00:00:00"/>
    <d v="2025-10-15T00:00:00"/>
    <n v="4"/>
    <x v="4"/>
    <s v="ECG"/>
    <n v="113481.28"/>
    <n v="2"/>
    <s v="Left Against Medical Advice"/>
    <s v="18-35"/>
    <x v="11"/>
    <m/>
    <m/>
    <m/>
    <m/>
    <m/>
    <m/>
  </r>
  <r>
    <s v="P00020"/>
    <s v="Vivaan Nair"/>
    <n v="72"/>
    <s v="Female"/>
    <s v="Coimbatore"/>
    <x v="2"/>
    <x v="2"/>
    <s v="Asthma"/>
    <s v="Emergency"/>
    <d v="2024-04-24T00:00:00"/>
    <d v="2024-04-27T00:00:00"/>
    <n v="3"/>
    <x v="2"/>
    <s v="MRI"/>
    <n v="15053.51"/>
    <n v="4"/>
    <s v="Left Against Medical Advice"/>
    <s v="66+"/>
    <x v="6"/>
    <m/>
    <m/>
    <m/>
    <m/>
    <m/>
    <m/>
  </r>
  <r>
    <s v="P00021"/>
    <s v="Nisha Iyer"/>
    <n v="80"/>
    <s v="Other"/>
    <s v="Madurai"/>
    <x v="0"/>
    <x v="6"/>
    <s v="Pneumonia"/>
    <s v="Urgent"/>
    <d v="2024-07-06T00:00:00"/>
    <d v="2024-06-19T00:00:00"/>
    <n v="12"/>
    <x v="2"/>
    <s v="CT Scan"/>
    <n v="32157.06"/>
    <n v="4"/>
    <s v="Home"/>
    <s v="66+"/>
    <x v="12"/>
    <m/>
    <m/>
    <m/>
    <m/>
    <m/>
    <m/>
  </r>
  <r>
    <s v="P00022"/>
    <s v="Kavya Devi"/>
    <n v="61"/>
    <s v="Female"/>
    <s v="Bengaluru"/>
    <x v="5"/>
    <x v="7"/>
    <s v="Heart Disease"/>
    <s v="Elective"/>
    <d v="2024-07-23T00:00:00"/>
    <d v="2024-07-26T00:00:00"/>
    <n v="3"/>
    <x v="0"/>
    <s v="CT Scan"/>
    <n v="13727.5"/>
    <n v="3"/>
    <s v="Transferred"/>
    <s v="51-65"/>
    <x v="12"/>
    <m/>
    <m/>
    <m/>
    <m/>
    <m/>
    <m/>
  </r>
  <r>
    <s v="P00023"/>
    <s v="Nisha R"/>
    <n v="4"/>
    <s v="Female"/>
    <s v="Pune"/>
    <x v="3"/>
    <x v="1"/>
    <s v="Hypertension"/>
    <s v="Emergency"/>
    <d v="2024-09-24T00:00:00"/>
    <d v="2024-09-29T00:00:00"/>
    <n v="5"/>
    <x v="1"/>
    <s v="Blood Test"/>
    <n v="83942.18"/>
    <n v="5"/>
    <s v="Left Against Medical Advice"/>
    <s v="Under 18"/>
    <x v="13"/>
    <m/>
    <m/>
    <m/>
    <m/>
    <m/>
    <m/>
  </r>
  <r>
    <s v="P00024"/>
    <s v="Kavya Nair"/>
    <n v="1"/>
    <s v="Other"/>
    <s v="Bengaluru"/>
    <x v="2"/>
    <x v="7"/>
    <s v="Migraine"/>
    <s v="Elective"/>
    <d v="2025-05-07T00:00:00"/>
    <d v="2025-12-07T00:00:00"/>
    <n v="7"/>
    <x v="0"/>
    <s v="MRI"/>
    <n v="43484.71"/>
    <n v="5"/>
    <s v="Left Against Medical Advice"/>
    <s v="Under 18"/>
    <x v="4"/>
    <m/>
    <m/>
    <m/>
    <m/>
    <m/>
    <m/>
  </r>
  <r>
    <s v="P00025"/>
    <s v="Manoj Kumar"/>
    <n v="42"/>
    <s v="Male"/>
    <s v="Madurai"/>
    <x v="5"/>
    <x v="2"/>
    <s v="Asthma"/>
    <s v="Emergency"/>
    <d v="2025-12-14T00:00:00"/>
    <d v="2025-12-18T00:00:00"/>
    <n v="4"/>
    <x v="4"/>
    <s v="None"/>
    <n v="56932.59"/>
    <n v="3"/>
    <s v="Transferred"/>
    <s v="36-50"/>
    <x v="1"/>
    <m/>
    <m/>
    <m/>
    <m/>
    <m/>
    <m/>
  </r>
  <r>
    <s v="P00026"/>
    <s v="Aditya Iyer"/>
    <n v="60"/>
    <s v="Male"/>
    <s v="Madurai"/>
    <x v="0"/>
    <x v="6"/>
    <s v="Hypertension"/>
    <s v="Emergency"/>
    <d v="2025-03-28T00:00:00"/>
    <d v="2025-03-30T00:00:00"/>
    <n v="2"/>
    <x v="3"/>
    <s v="Blood Test"/>
    <n v="58806.71"/>
    <n v="4"/>
    <s v="Home"/>
    <s v="51-65"/>
    <x v="14"/>
    <m/>
    <m/>
    <m/>
    <m/>
    <m/>
    <m/>
  </r>
  <r>
    <s v="P00027"/>
    <s v="Aarav R"/>
    <n v="32"/>
    <s v="Male"/>
    <s v="Pune"/>
    <x v="0"/>
    <x v="7"/>
    <s v="Pneumonia"/>
    <s v="Emergency"/>
    <d v="2025-09-17T00:00:00"/>
    <d v="2025-09-20T00:00:00"/>
    <n v="3"/>
    <x v="0"/>
    <s v="CT Scan"/>
    <n v="48089.53"/>
    <n v="3"/>
    <s v="Home"/>
    <s v="18-35"/>
    <x v="7"/>
    <m/>
    <m/>
    <m/>
    <m/>
    <m/>
    <m/>
  </r>
  <r>
    <s v="P00028"/>
    <s v="Manoj Singh"/>
    <n v="72"/>
    <s v="Female"/>
    <s v="Hyderabad"/>
    <x v="2"/>
    <x v="3"/>
    <s v="Kidney Disease"/>
    <s v="Elective"/>
    <d v="2024-04-05T00:00:00"/>
    <d v="2024-05-05T00:00:00"/>
    <n v="1"/>
    <x v="4"/>
    <s v="MRI"/>
    <n v="104788.18"/>
    <n v="4"/>
    <s v="Referred"/>
    <s v="66+"/>
    <x v="6"/>
    <m/>
    <m/>
    <m/>
    <m/>
    <m/>
    <m/>
  </r>
  <r>
    <s v="P00029"/>
    <s v="Manoj R"/>
    <n v="82"/>
    <s v="Male"/>
    <s v="Hyderabad"/>
    <x v="0"/>
    <x v="0"/>
    <s v="Fracture"/>
    <s v="Emergency"/>
    <d v="2025-06-17T00:00:00"/>
    <d v="2025-06-22T00:00:00"/>
    <n v="5"/>
    <x v="4"/>
    <s v="Ultrasound"/>
    <n v="29118.03"/>
    <n v="4"/>
    <s v="Referred"/>
    <s v="66+"/>
    <x v="10"/>
    <m/>
    <m/>
    <m/>
    <m/>
    <m/>
    <m/>
  </r>
  <r>
    <s v="P00030"/>
    <s v="Aarav Reddy"/>
    <n v="28"/>
    <s v="Female"/>
    <s v="Delhi"/>
    <x v="4"/>
    <x v="1"/>
    <s v="Heart Disease"/>
    <s v="Elective"/>
    <d v="2025-02-28T00:00:00"/>
    <d v="2025-03-03T00:00:00"/>
    <n v="3"/>
    <x v="1"/>
    <s v="None"/>
    <n v="112880.16"/>
    <n v="5"/>
    <s v="Left Against Medical Advice"/>
    <s v="18-35"/>
    <x v="15"/>
    <m/>
    <m/>
    <m/>
    <m/>
    <m/>
    <m/>
  </r>
  <r>
    <s v="P00031"/>
    <s v="Sanjay Singh"/>
    <n v="54"/>
    <s v="Other"/>
    <s v="Hyderabad"/>
    <x v="3"/>
    <x v="2"/>
    <s v="Migraine"/>
    <s v="Urgent"/>
    <d v="2025-07-13T00:00:00"/>
    <d v="2025-07-15T00:00:00"/>
    <n v="2"/>
    <x v="2"/>
    <s v="CT Scan"/>
    <n v="60827.77"/>
    <n v="5"/>
    <s v="Home"/>
    <s v="51-65"/>
    <x v="16"/>
    <m/>
    <m/>
    <m/>
    <m/>
    <m/>
    <m/>
  </r>
  <r>
    <s v="P00032"/>
    <s v="Priya Reddy"/>
    <n v="11"/>
    <s v="Other"/>
    <s v="Madurai"/>
    <x v="4"/>
    <x v="5"/>
    <s v="Migraine"/>
    <s v="Elective"/>
    <d v="2025-03-14T00:00:00"/>
    <d v="2025-03-16T00:00:00"/>
    <n v="2"/>
    <x v="2"/>
    <s v="Ultrasound"/>
    <n v="36637.54"/>
    <n v="5"/>
    <s v="Home"/>
    <s v="Under 18"/>
    <x v="14"/>
    <m/>
    <m/>
    <m/>
    <m/>
    <m/>
    <m/>
  </r>
  <r>
    <s v="P00033"/>
    <s v="Rohan Singh"/>
    <n v="45"/>
    <s v="Female"/>
    <s v="Bengaluru"/>
    <x v="3"/>
    <x v="1"/>
    <s v="Heart Disease"/>
    <s v="Emergency"/>
    <d v="2025-10-27T00:00:00"/>
    <d v="2025-04-11T00:00:00"/>
    <n v="8"/>
    <x v="4"/>
    <s v="Ultrasound"/>
    <n v="40438.800000000003"/>
    <n v="3"/>
    <s v="Transferred"/>
    <s v="36-50"/>
    <x v="17"/>
    <m/>
    <m/>
    <m/>
    <m/>
    <m/>
    <m/>
  </r>
  <r>
    <s v="P00034"/>
    <s v="Divya Iyer"/>
    <n v="48"/>
    <s v="Female"/>
    <s v="Bengaluru"/>
    <x v="3"/>
    <x v="4"/>
    <s v="No Chronic Condition"/>
    <s v="Urgent"/>
    <d v="2025-12-09T00:00:00"/>
    <d v="2025-09-14T00:00:00"/>
    <n v="2"/>
    <x v="3"/>
    <s v="Blood Test"/>
    <n v="61446.35"/>
    <n v="5"/>
    <s v="Transferred"/>
    <s v="36-50"/>
    <x v="1"/>
    <m/>
    <m/>
    <m/>
    <m/>
    <m/>
    <m/>
  </r>
  <r>
    <s v="P00035"/>
    <s v="Aarav Reddy"/>
    <n v="88"/>
    <s v="Other"/>
    <s v="Delhi"/>
    <x v="4"/>
    <x v="2"/>
    <s v="Migraine"/>
    <s v="Elective"/>
    <d v="2024-03-05T00:00:00"/>
    <d v="2024-11-05T00:00:00"/>
    <n v="8"/>
    <x v="1"/>
    <s v="Ultrasound"/>
    <n v="21292.3"/>
    <n v="4"/>
    <s v="Left Against Medical Advice"/>
    <s v="66+"/>
    <x v="18"/>
    <m/>
    <m/>
    <m/>
    <m/>
    <m/>
    <m/>
  </r>
  <r>
    <s v="P00036"/>
    <s v="Priya Nair"/>
    <n v="20"/>
    <s v="Male"/>
    <s v="Coimbatore"/>
    <x v="4"/>
    <x v="5"/>
    <s v="Kidney Disease"/>
    <s v="Elective"/>
    <d v="2024-06-29T00:00:00"/>
    <d v="2024-03-07T00:00:00"/>
    <n v="4"/>
    <x v="4"/>
    <s v="X-Ray"/>
    <n v="43796.94"/>
    <n v="5"/>
    <s v="Left Against Medical Advice"/>
    <s v="18-35"/>
    <x v="9"/>
    <m/>
    <m/>
    <m/>
    <m/>
    <m/>
    <m/>
  </r>
  <r>
    <s v="P00037"/>
    <s v="Priya Devi"/>
    <n v="73"/>
    <s v="Other"/>
    <s v="Kochi"/>
    <x v="4"/>
    <x v="3"/>
    <s v="Asthma"/>
    <s v="Urgent"/>
    <d v="2025-11-15T00:00:00"/>
    <d v="2025-11-18T00:00:00"/>
    <n v="3"/>
    <x v="3"/>
    <s v="Blood Test"/>
    <n v="72307.25"/>
    <n v="3"/>
    <s v="Referred"/>
    <s v="66+"/>
    <x v="11"/>
    <m/>
    <m/>
    <m/>
    <m/>
    <m/>
    <m/>
  </r>
  <r>
    <s v="P00038"/>
    <s v="Sathya Reddy"/>
    <n v="53"/>
    <s v="Male"/>
    <s v="Coimbatore"/>
    <x v="5"/>
    <x v="5"/>
    <s v="Kidney Disease"/>
    <s v="Urgent"/>
    <d v="2025-07-22T00:00:00"/>
    <d v="2025-07-28T00:00:00"/>
    <n v="6"/>
    <x v="0"/>
    <s v="MRI"/>
    <n v="69884.100000000006"/>
    <n v="2"/>
    <s v="Left Against Medical Advice"/>
    <s v="51-65"/>
    <x v="16"/>
    <m/>
    <m/>
    <m/>
    <m/>
    <m/>
    <m/>
  </r>
  <r>
    <s v="P00039"/>
    <s v="Kavya R"/>
    <n v="71"/>
    <s v="Other"/>
    <s v="Kochi"/>
    <x v="2"/>
    <x v="4"/>
    <s v="Fracture"/>
    <s v="Emergency"/>
    <d v="2024-12-18T00:00:00"/>
    <d v="2024-12-21T00:00:00"/>
    <n v="3"/>
    <x v="3"/>
    <s v="X-Ray"/>
    <n v="28829.279999999999"/>
    <n v="5"/>
    <s v="Left Against Medical Advice"/>
    <s v="66+"/>
    <x v="8"/>
    <m/>
    <m/>
    <m/>
    <m/>
    <m/>
    <m/>
  </r>
  <r>
    <s v="P00040"/>
    <s v="Aarav Sharma"/>
    <n v="36"/>
    <s v="Other"/>
    <s v="Madurai"/>
    <x v="4"/>
    <x v="7"/>
    <s v="Fracture"/>
    <s v="Emergency"/>
    <d v="2025-08-26T00:00:00"/>
    <d v="2025-08-31T00:00:00"/>
    <n v="5"/>
    <x v="0"/>
    <s v="MRI"/>
    <n v="28606.27"/>
    <n v="3"/>
    <s v="Referred"/>
    <s v="36-50"/>
    <x v="19"/>
    <m/>
    <m/>
    <m/>
    <m/>
    <m/>
    <m/>
  </r>
  <r>
    <s v="P00041"/>
    <s v="Lakshmi R"/>
    <n v="82"/>
    <s v="Male"/>
    <s v="Bengaluru"/>
    <x v="1"/>
    <x v="5"/>
    <s v="Migraine"/>
    <s v="Elective"/>
    <d v="2024-04-15T00:00:00"/>
    <d v="2024-04-20T00:00:00"/>
    <n v="5"/>
    <x v="2"/>
    <s v="ECG"/>
    <n v="25458.55"/>
    <n v="2"/>
    <s v="Home"/>
    <s v="66+"/>
    <x v="6"/>
    <m/>
    <m/>
    <m/>
    <m/>
    <m/>
    <m/>
  </r>
  <r>
    <s v="P00042"/>
    <s v="Rahul Reddy"/>
    <n v="20"/>
    <s v="Female"/>
    <s v="Delhi"/>
    <x v="1"/>
    <x v="2"/>
    <s v="No Chronic Condition"/>
    <s v="Elective"/>
    <d v="2025-07-30T00:00:00"/>
    <d v="2025-07-31T00:00:00"/>
    <n v="1"/>
    <x v="0"/>
    <s v="CT Scan"/>
    <n v="55517.26"/>
    <n v="4"/>
    <s v="Transferred"/>
    <s v="18-35"/>
    <x v="16"/>
    <m/>
    <m/>
    <m/>
    <m/>
    <m/>
    <m/>
  </r>
  <r>
    <s v="P00043"/>
    <s v="Aditya Sharma"/>
    <n v="73"/>
    <s v="Other"/>
    <s v="Chennai"/>
    <x v="1"/>
    <x v="4"/>
    <s v="Hypertension"/>
    <s v="Elective"/>
    <d v="2024-02-03T00:00:00"/>
    <d v="2024-10-03T00:00:00"/>
    <n v="8"/>
    <x v="0"/>
    <s v="CT Scan"/>
    <n v="29331.46"/>
    <n v="3"/>
    <s v="Transferred"/>
    <s v="66+"/>
    <x v="2"/>
    <m/>
    <m/>
    <m/>
    <m/>
    <m/>
    <m/>
  </r>
  <r>
    <s v="P00044"/>
    <s v="Deepa Iyer"/>
    <n v="5"/>
    <s v="Female"/>
    <s v="Pune"/>
    <x v="4"/>
    <x v="0"/>
    <s v="Heart Disease"/>
    <s v="Urgent"/>
    <d v="2024-10-22T00:00:00"/>
    <d v="2024-10-24T00:00:00"/>
    <n v="2"/>
    <x v="3"/>
    <s v="Ultrasound"/>
    <n v="79445.509999999995"/>
    <n v="5"/>
    <s v="Referred"/>
    <s v="Under 18"/>
    <x v="20"/>
    <m/>
    <m/>
    <m/>
    <m/>
    <m/>
    <m/>
  </r>
  <r>
    <s v="P00045"/>
    <s v="Divya Devi"/>
    <n v="35"/>
    <s v="Female"/>
    <s v="Kochi"/>
    <x v="3"/>
    <x v="4"/>
    <s v="Kidney Disease"/>
    <s v="Elective"/>
    <d v="2024-03-14T00:00:00"/>
    <d v="2024-03-15T00:00:00"/>
    <n v="1"/>
    <x v="4"/>
    <s v="Blood Test"/>
    <n v="21077.82"/>
    <n v="4"/>
    <s v="Home"/>
    <s v="18-35"/>
    <x v="18"/>
    <m/>
    <m/>
    <m/>
    <m/>
    <m/>
    <m/>
  </r>
  <r>
    <s v="P00046"/>
    <s v="Rahul Singh"/>
    <n v="56"/>
    <s v="Other"/>
    <s v="Madurai"/>
    <x v="0"/>
    <x v="1"/>
    <s v="Fracture"/>
    <s v="Urgent"/>
    <d v="2024-11-26T00:00:00"/>
    <d v="2024-11-28T00:00:00"/>
    <n v="2"/>
    <x v="4"/>
    <s v="Ultrasound"/>
    <n v="102011.68"/>
    <n v="3"/>
    <s v="Left Against Medical Advice"/>
    <s v="51-65"/>
    <x v="21"/>
    <m/>
    <m/>
    <m/>
    <m/>
    <m/>
    <m/>
  </r>
  <r>
    <s v="P00047"/>
    <s v="Divya Kumar"/>
    <n v="12"/>
    <s v="Male"/>
    <s v="Delhi"/>
    <x v="4"/>
    <x v="6"/>
    <s v="Migraine"/>
    <s v="Elective"/>
    <d v="2024-12-22T00:00:00"/>
    <d v="2024-12-25T00:00:00"/>
    <n v="3"/>
    <x v="1"/>
    <s v="MRI"/>
    <n v="69211.179999999993"/>
    <n v="4"/>
    <s v="Home"/>
    <s v="Under 18"/>
    <x v="8"/>
    <m/>
    <m/>
    <m/>
    <m/>
    <m/>
    <m/>
  </r>
  <r>
    <s v="P00048"/>
    <s v="Manoj Sharma"/>
    <n v="52"/>
    <s v="Other"/>
    <s v="Madurai"/>
    <x v="1"/>
    <x v="5"/>
    <s v="Kidney Disease"/>
    <s v="Urgent"/>
    <d v="2024-02-01T00:00:00"/>
    <d v="2024-03-01T00:00:00"/>
    <n v="1"/>
    <x v="4"/>
    <s v="Blood Test"/>
    <n v="67479.31"/>
    <n v="3"/>
    <s v="Home"/>
    <s v="51-65"/>
    <x v="2"/>
    <m/>
    <m/>
    <m/>
    <m/>
    <m/>
    <m/>
  </r>
  <r>
    <s v="P00049"/>
    <s v="Arjun Singh"/>
    <n v="81"/>
    <s v="Other"/>
    <s v="Bengaluru"/>
    <x v="2"/>
    <x v="2"/>
    <s v="Hypertension"/>
    <s v="Emergency"/>
    <d v="2024-02-09T00:00:00"/>
    <d v="2024-03-09T00:00:00"/>
    <n v="1"/>
    <x v="4"/>
    <s v="Ultrasound"/>
    <n v="28403.15"/>
    <n v="5"/>
    <s v="Transferred"/>
    <s v="66+"/>
    <x v="2"/>
    <m/>
    <m/>
    <m/>
    <m/>
    <m/>
    <m/>
  </r>
  <r>
    <s v="P00050"/>
    <s v="Ishita Sharma"/>
    <n v="66"/>
    <s v="Other"/>
    <s v="Bengaluru"/>
    <x v="5"/>
    <x v="7"/>
    <s v="Kidney Disease"/>
    <s v="Elective"/>
    <d v="2024-06-10T00:00:00"/>
    <d v="2024-10-16T00:00:00"/>
    <n v="10"/>
    <x v="1"/>
    <s v="None"/>
    <n v="65302.94"/>
    <n v="4"/>
    <s v="Transferred"/>
    <s v="66+"/>
    <x v="9"/>
    <m/>
    <m/>
    <m/>
    <m/>
    <m/>
    <m/>
  </r>
  <r>
    <s v="P00051"/>
    <s v="Manoj Reddy"/>
    <n v="1"/>
    <s v="Male"/>
    <s v="Delhi"/>
    <x v="5"/>
    <x v="6"/>
    <s v="Kidney Disease"/>
    <s v="Emergency"/>
    <d v="2024-01-11T00:00:00"/>
    <d v="2024-06-11T00:00:00"/>
    <n v="5"/>
    <x v="3"/>
    <s v="ECG"/>
    <n v="77519.12"/>
    <n v="4"/>
    <s v="Left Against Medical Advice"/>
    <s v="Under 18"/>
    <x v="0"/>
    <m/>
    <m/>
    <m/>
    <m/>
    <m/>
    <m/>
  </r>
  <r>
    <s v="P00052"/>
    <s v="Rohan Singh"/>
    <n v="30"/>
    <s v="Male"/>
    <s v="Chennai"/>
    <x v="0"/>
    <x v="2"/>
    <s v="Pneumonia"/>
    <s v="Urgent"/>
    <d v="2024-02-14T00:00:00"/>
    <d v="2024-02-21T00:00:00"/>
    <n v="7"/>
    <x v="0"/>
    <s v="MRI"/>
    <n v="84154.22"/>
    <n v="5"/>
    <s v="Home"/>
    <s v="18-35"/>
    <x v="2"/>
    <m/>
    <m/>
    <m/>
    <m/>
    <m/>
    <m/>
  </r>
  <r>
    <s v="P00053"/>
    <s v="Ishita Reddy"/>
    <n v="57"/>
    <s v="Female"/>
    <s v="Bengaluru"/>
    <x v="5"/>
    <x v="0"/>
    <s v="Kidney Disease"/>
    <s v="Urgent"/>
    <d v="2025-06-22T00:00:00"/>
    <d v="2025-04-07T00:00:00"/>
    <n v="12"/>
    <x v="0"/>
    <s v="CT Scan"/>
    <n v="86314.18"/>
    <n v="3"/>
    <s v="Transferred"/>
    <s v="51-65"/>
    <x v="10"/>
    <m/>
    <m/>
    <m/>
    <m/>
    <m/>
    <m/>
  </r>
  <r>
    <s v="P00054"/>
    <s v="Arjun Singh"/>
    <n v="81"/>
    <s v="Other"/>
    <s v="Hyderabad"/>
    <x v="2"/>
    <x v="7"/>
    <s v="Hypertension"/>
    <s v="Elective"/>
    <d v="2025-05-14T00:00:00"/>
    <d v="2025-05-19T00:00:00"/>
    <n v="5"/>
    <x v="2"/>
    <s v="Blood Test"/>
    <n v="43679.92"/>
    <n v="2"/>
    <s v="Transferred"/>
    <s v="66+"/>
    <x v="4"/>
    <m/>
    <m/>
    <m/>
    <m/>
    <m/>
    <m/>
  </r>
  <r>
    <s v="P00055"/>
    <s v="Sanjay R"/>
    <n v="8"/>
    <s v="Male"/>
    <s v="Salem"/>
    <x v="1"/>
    <x v="2"/>
    <s v="No Chronic Condition"/>
    <s v="Urgent"/>
    <d v="2025-02-01T00:00:00"/>
    <d v="2025-05-01T00:00:00"/>
    <n v="3"/>
    <x v="3"/>
    <s v="CT Scan"/>
    <n v="61771.43"/>
    <n v="3"/>
    <s v="Referred"/>
    <s v="Under 18"/>
    <x v="15"/>
    <m/>
    <m/>
    <m/>
    <m/>
    <m/>
    <m/>
  </r>
  <r>
    <s v="P00056"/>
    <s v="Pooja Nair"/>
    <n v="30"/>
    <s v="Male"/>
    <s v="Salem"/>
    <x v="5"/>
    <x v="5"/>
    <s v="Fracture"/>
    <s v="Urgent"/>
    <d v="2025-10-15T00:00:00"/>
    <d v="2025-10-19T00:00:00"/>
    <n v="4"/>
    <x v="4"/>
    <s v="Ultrasound"/>
    <n v="61465.59"/>
    <n v="3"/>
    <s v="Transferred"/>
    <s v="18-35"/>
    <x v="17"/>
    <m/>
    <m/>
    <m/>
    <m/>
    <m/>
    <m/>
  </r>
  <r>
    <s v="P00057"/>
    <s v="Divya Devi"/>
    <n v="59"/>
    <s v="Male"/>
    <s v="Chennai"/>
    <x v="3"/>
    <x v="4"/>
    <s v="Fracture"/>
    <s v="Urgent"/>
    <d v="2024-07-22T00:00:00"/>
    <d v="2024-07-25T00:00:00"/>
    <n v="3"/>
    <x v="2"/>
    <s v="ECG"/>
    <n v="13601.59"/>
    <n v="5"/>
    <s v="Left Against Medical Advice"/>
    <s v="51-65"/>
    <x v="12"/>
    <m/>
    <m/>
    <m/>
    <m/>
    <m/>
    <m/>
  </r>
  <r>
    <s v="P00058"/>
    <s v="Vivaan Devi"/>
    <n v="37"/>
    <s v="Female"/>
    <s v="Delhi"/>
    <x v="4"/>
    <x v="4"/>
    <s v="Asthma"/>
    <s v="Urgent"/>
    <d v="2025-09-13T00:00:00"/>
    <d v="2025-09-15T00:00:00"/>
    <n v="2"/>
    <x v="1"/>
    <s v="Ultrasound"/>
    <n v="57862.11"/>
    <n v="5"/>
    <s v="Referred"/>
    <s v="36-50"/>
    <x v="7"/>
    <m/>
    <m/>
    <m/>
    <m/>
    <m/>
    <m/>
  </r>
  <r>
    <s v="P00059"/>
    <s v="Lakshmi Devi"/>
    <n v="12"/>
    <s v="Male"/>
    <s v="Mumbai"/>
    <x v="4"/>
    <x v="3"/>
    <s v="Skin Infection"/>
    <s v="Elective"/>
    <d v="2024-11-30T00:00:00"/>
    <d v="2024-03-12T00:00:00"/>
    <n v="3"/>
    <x v="2"/>
    <s v="X-Ray"/>
    <n v="70285.179999999993"/>
    <n v="3"/>
    <s v="Referred"/>
    <s v="Under 18"/>
    <x v="21"/>
    <m/>
    <m/>
    <m/>
    <m/>
    <m/>
    <m/>
  </r>
  <r>
    <s v="P00060"/>
    <s v="Priya Reddy"/>
    <n v="87"/>
    <s v="Other"/>
    <s v="Mumbai"/>
    <x v="4"/>
    <x v="1"/>
    <s v="Fracture"/>
    <s v="Urgent"/>
    <d v="2025-11-21T00:00:00"/>
    <d v="2025-11-24T00:00:00"/>
    <n v="3"/>
    <x v="3"/>
    <s v="CT Scan"/>
    <n v="82347.899999999994"/>
    <n v="4"/>
    <s v="Home"/>
    <s v="66+"/>
    <x v="11"/>
    <m/>
    <m/>
    <m/>
    <m/>
    <m/>
    <m/>
  </r>
  <r>
    <s v="P00061"/>
    <s v="Vivaan Kumar"/>
    <n v="80"/>
    <s v="Other"/>
    <s v="Madurai"/>
    <x v="1"/>
    <x v="5"/>
    <s v="Fracture"/>
    <s v="Emergency"/>
    <d v="2024-01-12T00:00:00"/>
    <d v="2024-03-12T00:00:00"/>
    <n v="2"/>
    <x v="2"/>
    <s v="X-Ray"/>
    <n v="59394.48"/>
    <n v="2"/>
    <s v="Referred"/>
    <s v="66+"/>
    <x v="0"/>
    <m/>
    <m/>
    <m/>
    <m/>
    <m/>
    <m/>
  </r>
  <r>
    <s v="P00062"/>
    <s v="Priya Kumar"/>
    <n v="50"/>
    <s v="Male"/>
    <s v="Mumbai"/>
    <x v="0"/>
    <x v="6"/>
    <s v="Pneumonia"/>
    <s v="Elective"/>
    <d v="2025-01-14T00:00:00"/>
    <d v="2025-01-18T00:00:00"/>
    <n v="4"/>
    <x v="4"/>
    <s v="X-Ray"/>
    <n v="116647.5"/>
    <n v="4"/>
    <s v="Transferred"/>
    <s v="36-50"/>
    <x v="22"/>
    <m/>
    <m/>
    <m/>
    <m/>
    <m/>
    <m/>
  </r>
  <r>
    <s v="P00063"/>
    <s v="Ishita Kumar"/>
    <n v="13"/>
    <s v="Other"/>
    <s v="Chennai"/>
    <x v="5"/>
    <x v="0"/>
    <s v="Kidney Disease"/>
    <s v="Emergency"/>
    <d v="2025-11-01T00:00:00"/>
    <d v="2025-12-01T00:00:00"/>
    <n v="1"/>
    <x v="3"/>
    <s v="None"/>
    <n v="18692.16"/>
    <n v="3"/>
    <s v="Referred"/>
    <s v="Under 18"/>
    <x v="11"/>
    <m/>
    <m/>
    <m/>
    <m/>
    <m/>
    <m/>
  </r>
  <r>
    <s v="P00064"/>
    <s v="Rohan Sharma"/>
    <n v="9"/>
    <s v="Other"/>
    <s v="Kochi"/>
    <x v="5"/>
    <x v="3"/>
    <s v="Asthma"/>
    <s v="Emergency"/>
    <d v="2024-07-31T00:00:00"/>
    <d v="2024-02-08T00:00:00"/>
    <n v="2"/>
    <x v="2"/>
    <s v="Ultrasound"/>
    <n v="120801.92"/>
    <n v="3"/>
    <s v="Home"/>
    <s v="Under 18"/>
    <x v="12"/>
    <m/>
    <m/>
    <m/>
    <m/>
    <m/>
    <m/>
  </r>
  <r>
    <s v="P00065"/>
    <s v="Arjun R"/>
    <n v="17"/>
    <s v="Female"/>
    <s v="Delhi"/>
    <x v="1"/>
    <x v="4"/>
    <s v="Diabetes"/>
    <s v="Elective"/>
    <d v="2025-01-01T00:00:00"/>
    <d v="2025-06-01T00:00:00"/>
    <n v="5"/>
    <x v="0"/>
    <s v="ECG"/>
    <n v="21253.37"/>
    <n v="4"/>
    <s v="Home"/>
    <s v="Under 18"/>
    <x v="22"/>
    <m/>
    <m/>
    <m/>
    <m/>
    <m/>
    <m/>
  </r>
  <r>
    <s v="P00066"/>
    <s v="Lakshmi Reddy"/>
    <n v="58"/>
    <s v="Other"/>
    <s v="Pune"/>
    <x v="2"/>
    <x v="4"/>
    <s v="Kidney Disease"/>
    <s v="Emergency"/>
    <d v="2024-08-14T00:00:00"/>
    <d v="2024-08-15T00:00:00"/>
    <n v="1"/>
    <x v="4"/>
    <s v="Ultrasound"/>
    <n v="58963.87"/>
    <n v="1"/>
    <s v="Left Against Medical Advice"/>
    <s v="51-65"/>
    <x v="3"/>
    <m/>
    <m/>
    <m/>
    <m/>
    <m/>
    <m/>
  </r>
  <r>
    <s v="P00067"/>
    <s v="Ishita Reddy"/>
    <n v="10"/>
    <s v="Female"/>
    <s v="Bengaluru"/>
    <x v="2"/>
    <x v="3"/>
    <s v="Pneumonia"/>
    <s v="Emergency"/>
    <d v="2024-11-25T00:00:00"/>
    <d v="2024-11-26T00:00:00"/>
    <n v="1"/>
    <x v="0"/>
    <s v="Ultrasound"/>
    <n v="141929.73000000001"/>
    <n v="4"/>
    <s v="Referred"/>
    <s v="Under 18"/>
    <x v="21"/>
    <m/>
    <m/>
    <m/>
    <m/>
    <m/>
    <m/>
  </r>
  <r>
    <s v="P00068"/>
    <s v="Priya Nair"/>
    <n v="56"/>
    <s v="Male"/>
    <s v="Hyderabad"/>
    <x v="2"/>
    <x v="2"/>
    <s v="Hypertension"/>
    <s v="Elective"/>
    <d v="2024-08-21T00:00:00"/>
    <d v="2024-08-24T00:00:00"/>
    <n v="3"/>
    <x v="2"/>
    <s v="Blood Test"/>
    <n v="34816.03"/>
    <n v="3"/>
    <s v="Home"/>
    <s v="51-65"/>
    <x v="3"/>
    <m/>
    <m/>
    <m/>
    <m/>
    <m/>
    <m/>
  </r>
  <r>
    <s v="P00069"/>
    <s v="Nisha Nair"/>
    <n v="12"/>
    <s v="Male"/>
    <s v="Pune"/>
    <x v="2"/>
    <x v="1"/>
    <s v="No Chronic Condition"/>
    <s v="Emergency"/>
    <d v="2024-08-04T00:00:00"/>
    <d v="2024-04-15T00:00:00"/>
    <n v="7"/>
    <x v="1"/>
    <s v="ECG"/>
    <n v="139568.43"/>
    <n v="4"/>
    <s v="Transferred"/>
    <s v="Under 18"/>
    <x v="3"/>
    <m/>
    <m/>
    <m/>
    <m/>
    <m/>
    <m/>
  </r>
  <r>
    <s v="P00070"/>
    <s v="Arjun Devi"/>
    <n v="46"/>
    <s v="Female"/>
    <s v="Salem"/>
    <x v="0"/>
    <x v="7"/>
    <s v="Hypertension"/>
    <s v="Elective"/>
    <d v="2025-08-14T00:00:00"/>
    <d v="2025-08-16T00:00:00"/>
    <n v="2"/>
    <x v="0"/>
    <s v="None"/>
    <n v="37558.32"/>
    <n v="4"/>
    <s v="Home"/>
    <s v="36-50"/>
    <x v="19"/>
    <m/>
    <m/>
    <m/>
    <m/>
    <m/>
    <m/>
  </r>
  <r>
    <s v="P00071"/>
    <s v="Rohan Reddy"/>
    <n v="78"/>
    <s v="Other"/>
    <s v="Bengaluru"/>
    <x v="0"/>
    <x v="4"/>
    <s v="Migraine"/>
    <s v="Urgent"/>
    <d v="2025-11-12T00:00:00"/>
    <d v="2025-12-12T00:00:00"/>
    <n v="1"/>
    <x v="2"/>
    <s v="Blood Test"/>
    <n v="37624.71"/>
    <n v="3"/>
    <s v="Referred"/>
    <s v="66+"/>
    <x v="11"/>
    <m/>
    <m/>
    <m/>
    <m/>
    <m/>
    <m/>
  </r>
  <r>
    <s v="P00072"/>
    <s v="Ishita Kumar"/>
    <n v="49"/>
    <s v="Male"/>
    <s v="Bengaluru"/>
    <x v="5"/>
    <x v="3"/>
    <s v="No Chronic Condition"/>
    <s v="Elective"/>
    <d v="2025-09-04T00:00:00"/>
    <d v="2025-10-04T00:00:00"/>
    <n v="1"/>
    <x v="4"/>
    <s v="CT Scan"/>
    <n v="110771.49"/>
    <n v="3"/>
    <s v="Left Against Medical Advice"/>
    <s v="36-50"/>
    <x v="7"/>
    <m/>
    <m/>
    <m/>
    <m/>
    <m/>
    <m/>
  </r>
  <r>
    <s v="P00073"/>
    <s v="Vivaan Iyer"/>
    <n v="54"/>
    <s v="Male"/>
    <s v="Pune"/>
    <x v="3"/>
    <x v="4"/>
    <s v="No Chronic Condition"/>
    <s v="Emergency"/>
    <d v="2024-08-08T00:00:00"/>
    <d v="2024-09-08T00:00:00"/>
    <n v="1"/>
    <x v="2"/>
    <s v="X-Ray"/>
    <n v="47524.19"/>
    <n v="4"/>
    <s v="Transferred"/>
    <s v="51-65"/>
    <x v="3"/>
    <m/>
    <m/>
    <m/>
    <m/>
    <m/>
    <m/>
  </r>
  <r>
    <s v="P00074"/>
    <s v="Meera R"/>
    <n v="28"/>
    <s v="Female"/>
    <s v="Pune"/>
    <x v="2"/>
    <x v="2"/>
    <s v="Skin Infection"/>
    <s v="Emergency"/>
    <d v="2024-09-18T00:00:00"/>
    <d v="2024-09-25T00:00:00"/>
    <n v="7"/>
    <x v="4"/>
    <s v="Blood Test"/>
    <n v="63368"/>
    <n v="4"/>
    <s v="Left Against Medical Advice"/>
    <s v="18-35"/>
    <x v="13"/>
    <m/>
    <m/>
    <m/>
    <m/>
    <m/>
    <m/>
  </r>
  <r>
    <s v="P00075"/>
    <s v="Kavya Sharma"/>
    <n v="10"/>
    <s v="Male"/>
    <s v="Salem"/>
    <x v="1"/>
    <x v="2"/>
    <s v="Fracture"/>
    <s v="Urgent"/>
    <d v="2025-12-08T00:00:00"/>
    <d v="2025-08-17T00:00:00"/>
    <n v="5"/>
    <x v="1"/>
    <s v="Blood Test"/>
    <n v="20407.66"/>
    <n v="1"/>
    <s v="Left Against Medical Advice"/>
    <s v="Under 18"/>
    <x v="1"/>
    <m/>
    <m/>
    <m/>
    <m/>
    <m/>
    <m/>
  </r>
  <r>
    <s v="P00076"/>
    <s v="Aditya R"/>
    <n v="14"/>
    <s v="Female"/>
    <s v="Kochi"/>
    <x v="3"/>
    <x v="4"/>
    <s v="Migraine"/>
    <s v="Emergency"/>
    <d v="2025-03-22T00:00:00"/>
    <d v="2025-03-25T00:00:00"/>
    <n v="3"/>
    <x v="1"/>
    <s v="MRI"/>
    <n v="28174.76"/>
    <n v="5"/>
    <s v="Referred"/>
    <s v="Under 18"/>
    <x v="14"/>
    <m/>
    <m/>
    <m/>
    <m/>
    <m/>
    <m/>
  </r>
  <r>
    <s v="P00077"/>
    <s v="Pooja Singh"/>
    <n v="31"/>
    <s v="Female"/>
    <s v="Salem"/>
    <x v="2"/>
    <x v="0"/>
    <s v="Asthma"/>
    <s v="Urgent"/>
    <d v="2024-05-29T00:00:00"/>
    <d v="2024-05-31T00:00:00"/>
    <n v="2"/>
    <x v="0"/>
    <s v="MRI"/>
    <n v="81444.33"/>
    <n v="4"/>
    <s v="Transferred"/>
    <s v="18-35"/>
    <x v="23"/>
    <m/>
    <m/>
    <m/>
    <m/>
    <m/>
    <m/>
  </r>
  <r>
    <s v="P00078"/>
    <s v="Ananya Singh"/>
    <n v="20"/>
    <s v="Male"/>
    <s v="Delhi"/>
    <x v="4"/>
    <x v="4"/>
    <s v="No Chronic Condition"/>
    <s v="Emergency"/>
    <d v="2024-10-03T00:00:00"/>
    <d v="2024-03-13T00:00:00"/>
    <n v="3"/>
    <x v="1"/>
    <s v="None"/>
    <n v="16100.56"/>
    <n v="4"/>
    <s v="Transferred"/>
    <s v="18-35"/>
    <x v="20"/>
    <m/>
    <m/>
    <m/>
    <m/>
    <m/>
    <m/>
  </r>
  <r>
    <s v="P00079"/>
    <s v="Ishita Singh"/>
    <n v="10"/>
    <s v="Other"/>
    <s v="Kochi"/>
    <x v="0"/>
    <x v="1"/>
    <s v="Kidney Disease"/>
    <s v="Emergency"/>
    <d v="2024-02-04T00:00:00"/>
    <d v="2024-07-04T00:00:00"/>
    <n v="5"/>
    <x v="4"/>
    <s v="Blood Test"/>
    <n v="134348.63"/>
    <n v="3"/>
    <s v="Transferred"/>
    <s v="Under 18"/>
    <x v="2"/>
    <m/>
    <m/>
    <m/>
    <m/>
    <m/>
    <m/>
  </r>
  <r>
    <s v="P00080"/>
    <s v="Meera Devi"/>
    <n v="11"/>
    <s v="Other"/>
    <s v="Pune"/>
    <x v="1"/>
    <x v="5"/>
    <s v="Skin Infection"/>
    <s v="Elective"/>
    <d v="2025-10-23T00:00:00"/>
    <d v="2025-10-24T00:00:00"/>
    <n v="1"/>
    <x v="0"/>
    <s v="Blood Test"/>
    <n v="50160.61"/>
    <n v="3"/>
    <s v="Transferred"/>
    <s v="Under 18"/>
    <x v="17"/>
    <m/>
    <m/>
    <m/>
    <m/>
    <m/>
    <m/>
  </r>
  <r>
    <s v="P00081"/>
    <s v="Ananya Reddy"/>
    <n v="9"/>
    <s v="Male"/>
    <s v="Hyderabad"/>
    <x v="3"/>
    <x v="6"/>
    <s v="Migraine"/>
    <s v="Urgent"/>
    <d v="2024-06-04T00:00:00"/>
    <d v="2024-12-04T00:00:00"/>
    <n v="6"/>
    <x v="2"/>
    <s v="MRI"/>
    <n v="32260.02"/>
    <n v="5"/>
    <s v="Left Against Medical Advice"/>
    <s v="Under 18"/>
    <x v="9"/>
    <m/>
    <m/>
    <m/>
    <m/>
    <m/>
    <m/>
  </r>
  <r>
    <s v="P00082"/>
    <s v="Ananya Sharma"/>
    <n v="83"/>
    <s v="Male"/>
    <s v="Coimbatore"/>
    <x v="5"/>
    <x v="0"/>
    <s v="Pneumonia"/>
    <s v="Elective"/>
    <d v="2024-10-05T00:00:00"/>
    <d v="2024-05-17T00:00:00"/>
    <n v="7"/>
    <x v="3"/>
    <s v="X-Ray"/>
    <n v="49119.66"/>
    <n v="1"/>
    <s v="Referred"/>
    <s v="66+"/>
    <x v="20"/>
    <m/>
    <m/>
    <m/>
    <m/>
    <m/>
    <m/>
  </r>
  <r>
    <s v="P00083"/>
    <s v="Rohan Sharma"/>
    <n v="20"/>
    <s v="Female"/>
    <s v="Hyderabad"/>
    <x v="2"/>
    <x v="1"/>
    <s v="Migraine"/>
    <s v="Urgent"/>
    <d v="2024-10-29T00:00:00"/>
    <d v="2024-02-11T00:00:00"/>
    <n v="4"/>
    <x v="3"/>
    <s v="Ultrasound"/>
    <n v="133432.38"/>
    <n v="4"/>
    <s v="Left Against Medical Advice"/>
    <s v="18-35"/>
    <x v="20"/>
    <m/>
    <m/>
    <m/>
    <m/>
    <m/>
    <m/>
  </r>
  <r>
    <s v="P00084"/>
    <s v="Lakshmi Iyer"/>
    <n v="6"/>
    <s v="Male"/>
    <s v="Mumbai"/>
    <x v="2"/>
    <x v="4"/>
    <s v="Kidney Disease"/>
    <s v="Urgent"/>
    <d v="2025-08-01T00:00:00"/>
    <d v="2025-01-15T00:00:00"/>
    <n v="7"/>
    <x v="4"/>
    <s v="CT Scan"/>
    <n v="29082.21"/>
    <n v="3"/>
    <s v="Transferred"/>
    <s v="Under 18"/>
    <x v="19"/>
    <m/>
    <m/>
    <m/>
    <m/>
    <m/>
    <m/>
  </r>
  <r>
    <s v="P00085"/>
    <s v="Arjun Devi"/>
    <n v="49"/>
    <s v="Other"/>
    <s v="Bengaluru"/>
    <x v="0"/>
    <x v="3"/>
    <s v="Skin Infection"/>
    <s v="Elective"/>
    <d v="2025-06-24T00:00:00"/>
    <d v="2025-06-26T00:00:00"/>
    <n v="2"/>
    <x v="4"/>
    <s v="ECG"/>
    <n v="147595.23000000001"/>
    <n v="4"/>
    <s v="Referred"/>
    <s v="36-50"/>
    <x v="10"/>
    <m/>
    <m/>
    <m/>
    <m/>
    <m/>
    <m/>
  </r>
  <r>
    <s v="P00086"/>
    <s v="Divya R"/>
    <n v="56"/>
    <s v="Female"/>
    <s v="Mumbai"/>
    <x v="0"/>
    <x v="2"/>
    <s v="Diabetes"/>
    <s v="Emergency"/>
    <d v="2024-08-15T00:00:00"/>
    <d v="2024-08-28T00:00:00"/>
    <n v="13"/>
    <x v="1"/>
    <s v="Blood Test"/>
    <n v="51176.42"/>
    <n v="4"/>
    <s v="Transferred"/>
    <s v="51-65"/>
    <x v="3"/>
    <m/>
    <m/>
    <m/>
    <m/>
    <m/>
    <m/>
  </r>
  <r>
    <s v="P00087"/>
    <s v="Aarav Devi"/>
    <n v="19"/>
    <s v="Female"/>
    <s v="Coimbatore"/>
    <x v="0"/>
    <x v="5"/>
    <s v="Kidney Disease"/>
    <s v="Urgent"/>
    <d v="2024-09-02T00:00:00"/>
    <d v="2024-02-19T00:00:00"/>
    <n v="10"/>
    <x v="0"/>
    <s v="ECG"/>
    <n v="71150.53"/>
    <n v="5"/>
    <s v="Left Against Medical Advice"/>
    <s v="18-35"/>
    <x v="13"/>
    <m/>
    <m/>
    <m/>
    <m/>
    <m/>
    <m/>
  </r>
  <r>
    <s v="P00088"/>
    <s v="Ishita Kumar"/>
    <n v="15"/>
    <s v="Male"/>
    <s v="Kochi"/>
    <x v="3"/>
    <x v="5"/>
    <s v="Hypertension"/>
    <s v="Emergency"/>
    <d v="2024-08-31T00:00:00"/>
    <d v="2024-01-09T00:00:00"/>
    <n v="1"/>
    <x v="3"/>
    <s v="MRI"/>
    <n v="20092.63"/>
    <n v="5"/>
    <s v="Left Against Medical Advice"/>
    <s v="Under 18"/>
    <x v="3"/>
    <m/>
    <m/>
    <m/>
    <m/>
    <m/>
    <m/>
  </r>
  <r>
    <s v="P00089"/>
    <s v="Rahul Kumar"/>
    <n v="1"/>
    <s v="Other"/>
    <s v="Pune"/>
    <x v="1"/>
    <x v="0"/>
    <s v="Skin Infection"/>
    <s v="Emergency"/>
    <d v="2024-12-27T00:00:00"/>
    <d v="2025-01-01T00:00:00"/>
    <n v="5"/>
    <x v="4"/>
    <s v="MRI"/>
    <n v="83149.78"/>
    <n v="2"/>
    <s v="Transferred"/>
    <s v="Under 18"/>
    <x v="8"/>
    <m/>
    <m/>
    <m/>
    <m/>
    <m/>
    <m/>
  </r>
  <r>
    <s v="P00090"/>
    <s v="Vivaan Nair"/>
    <n v="3"/>
    <s v="Male"/>
    <s v="Kochi"/>
    <x v="5"/>
    <x v="0"/>
    <s v="No Chronic Condition"/>
    <s v="Urgent"/>
    <d v="2024-10-03T00:00:00"/>
    <d v="2024-12-03T00:00:00"/>
    <n v="2"/>
    <x v="3"/>
    <s v="None"/>
    <n v="65668.649999999994"/>
    <n v="4"/>
    <s v="Left Against Medical Advice"/>
    <s v="Under 18"/>
    <x v="20"/>
    <m/>
    <m/>
    <m/>
    <m/>
    <m/>
    <m/>
  </r>
  <r>
    <s v="P00091"/>
    <s v="Vivaan Nair"/>
    <n v="90"/>
    <s v="Male"/>
    <s v="Madurai"/>
    <x v="3"/>
    <x v="4"/>
    <s v="Heart Disease"/>
    <s v="Elective"/>
    <d v="2025-08-10T00:00:00"/>
    <d v="2025-10-16T00:00:00"/>
    <n v="8"/>
    <x v="0"/>
    <s v="CT Scan"/>
    <n v="18997.32"/>
    <n v="3"/>
    <s v="Transferred"/>
    <s v="66+"/>
    <x v="19"/>
    <m/>
    <m/>
    <m/>
    <m/>
    <m/>
    <m/>
  </r>
  <r>
    <s v="P00092"/>
    <s v="Pooja Reddy"/>
    <n v="5"/>
    <s v="Other"/>
    <s v="Mumbai"/>
    <x v="0"/>
    <x v="3"/>
    <s v="Fracture"/>
    <s v="Elective"/>
    <d v="2024-07-14T00:00:00"/>
    <d v="2024-07-17T00:00:00"/>
    <n v="3"/>
    <x v="4"/>
    <s v="MRI"/>
    <n v="32288.28"/>
    <n v="5"/>
    <s v="Transferred"/>
    <s v="Under 18"/>
    <x v="12"/>
    <m/>
    <m/>
    <m/>
    <m/>
    <m/>
    <m/>
  </r>
  <r>
    <s v="P00093"/>
    <s v="Ananya Devi"/>
    <n v="11"/>
    <s v="Other"/>
    <s v="Delhi"/>
    <x v="3"/>
    <x v="6"/>
    <s v="Skin Infection"/>
    <s v="Urgent"/>
    <d v="2025-10-03T00:00:00"/>
    <d v="2025-03-13T00:00:00"/>
    <n v="3"/>
    <x v="4"/>
    <s v="X-Ray"/>
    <n v="43222.18"/>
    <n v="4"/>
    <s v="Left Against Medical Advice"/>
    <s v="Under 18"/>
    <x v="17"/>
    <m/>
    <m/>
    <m/>
    <m/>
    <m/>
    <m/>
  </r>
  <r>
    <s v="P00094"/>
    <s v="Rohan Singh"/>
    <n v="45"/>
    <s v="Male"/>
    <s v="Chennai"/>
    <x v="0"/>
    <x v="3"/>
    <s v="Skin Infection"/>
    <s v="Emergency"/>
    <d v="2024-02-13T00:00:00"/>
    <d v="2024-02-14T00:00:00"/>
    <n v="1"/>
    <x v="3"/>
    <s v="None"/>
    <n v="127672.38"/>
    <n v="5"/>
    <s v="Transferred"/>
    <s v="36-50"/>
    <x v="2"/>
    <m/>
    <m/>
    <m/>
    <m/>
    <m/>
    <m/>
  </r>
  <r>
    <s v="P00095"/>
    <s v="Meera Reddy"/>
    <n v="47"/>
    <s v="Male"/>
    <s v="Mumbai"/>
    <x v="2"/>
    <x v="3"/>
    <s v="Migraine"/>
    <s v="Elective"/>
    <d v="2025-03-08T00:00:00"/>
    <d v="2025-08-08T00:00:00"/>
    <n v="5"/>
    <x v="3"/>
    <s v="Blood Test"/>
    <n v="56361.95"/>
    <n v="3"/>
    <s v="Home"/>
    <s v="36-50"/>
    <x v="14"/>
    <m/>
    <m/>
    <m/>
    <m/>
    <m/>
    <m/>
  </r>
  <r>
    <s v="P00096"/>
    <s v="Lakshmi Iyer"/>
    <n v="24"/>
    <s v="Male"/>
    <s v="Bengaluru"/>
    <x v="0"/>
    <x v="7"/>
    <s v="No Chronic Condition"/>
    <s v="Emergency"/>
    <d v="2025-06-14T00:00:00"/>
    <d v="2025-06-22T00:00:00"/>
    <n v="8"/>
    <x v="4"/>
    <s v="X-Ray"/>
    <n v="41058.89"/>
    <n v="5"/>
    <s v="Left Against Medical Advice"/>
    <s v="18-35"/>
    <x v="10"/>
    <m/>
    <m/>
    <m/>
    <m/>
    <m/>
    <m/>
  </r>
  <r>
    <s v="P00097"/>
    <s v="Sanjay Nair"/>
    <n v="12"/>
    <s v="Other"/>
    <s v="Kochi"/>
    <x v="0"/>
    <x v="4"/>
    <s v="Fracture"/>
    <s v="Emergency"/>
    <d v="2024-11-23T00:00:00"/>
    <d v="2024-11-26T00:00:00"/>
    <n v="3"/>
    <x v="3"/>
    <s v="None"/>
    <n v="74149.429999999993"/>
    <n v="5"/>
    <s v="Referred"/>
    <s v="Under 18"/>
    <x v="21"/>
    <m/>
    <m/>
    <m/>
    <m/>
    <m/>
    <m/>
  </r>
  <r>
    <s v="P00098"/>
    <s v="Lakshmi Reddy"/>
    <n v="31"/>
    <s v="Male"/>
    <s v="Pune"/>
    <x v="3"/>
    <x v="6"/>
    <s v="No Chronic Condition"/>
    <s v="Emergency"/>
    <d v="2024-01-27T00:00:00"/>
    <d v="2024-01-31T00:00:00"/>
    <n v="4"/>
    <x v="3"/>
    <s v="MRI"/>
    <n v="96389.7"/>
    <n v="4"/>
    <s v="Home"/>
    <s v="18-35"/>
    <x v="0"/>
    <m/>
    <m/>
    <m/>
    <m/>
    <m/>
    <m/>
  </r>
  <r>
    <s v="P00099"/>
    <s v="Arjun Sharma"/>
    <n v="58"/>
    <s v="Male"/>
    <s v="Madurai"/>
    <x v="0"/>
    <x v="6"/>
    <s v="Asthma"/>
    <s v="Emergency"/>
    <d v="2025-11-27T00:00:00"/>
    <d v="2025-11-30T00:00:00"/>
    <n v="3"/>
    <x v="1"/>
    <s v="Ultrasound"/>
    <n v="88018.25"/>
    <n v="2"/>
    <s v="Referred"/>
    <s v="51-65"/>
    <x v="11"/>
    <m/>
    <m/>
    <m/>
    <m/>
    <m/>
    <m/>
  </r>
  <r>
    <s v="P00100"/>
    <s v="Aditya Sharma"/>
    <n v="45"/>
    <s v="Other"/>
    <s v="Salem"/>
    <x v="3"/>
    <x v="4"/>
    <s v="Asthma"/>
    <s v="Emergency"/>
    <d v="2024-10-17T00:00:00"/>
    <d v="2024-10-19T00:00:00"/>
    <n v="2"/>
    <x v="3"/>
    <s v="Ultrasound"/>
    <n v="57626.63"/>
    <n v="4"/>
    <s v="Transferred"/>
    <s v="36-50"/>
    <x v="20"/>
    <m/>
    <m/>
    <m/>
    <m/>
    <m/>
    <m/>
  </r>
  <r>
    <s v="P00101"/>
    <s v="Aarav Singh"/>
    <n v="73"/>
    <s v="Female"/>
    <s v="Kochi"/>
    <x v="5"/>
    <x v="4"/>
    <s v="Heart Disease"/>
    <s v="Urgent"/>
    <d v="2024-01-30T00:00:00"/>
    <d v="2024-01-31T00:00:00"/>
    <n v="1"/>
    <x v="1"/>
    <s v="CT Scan"/>
    <n v="67988.009999999995"/>
    <n v="4"/>
    <s v="Referred"/>
    <s v="66+"/>
    <x v="0"/>
    <m/>
    <m/>
    <m/>
    <m/>
    <m/>
    <m/>
  </r>
  <r>
    <s v="P00102"/>
    <s v="Kavya Nair"/>
    <n v="88"/>
    <s v="Male"/>
    <s v="Pune"/>
    <x v="0"/>
    <x v="7"/>
    <s v="Migraine"/>
    <s v="Elective"/>
    <d v="2024-10-31T00:00:00"/>
    <d v="2024-03-11T00:00:00"/>
    <n v="3"/>
    <x v="0"/>
    <s v="ECG"/>
    <n v="56286.2"/>
    <n v="3"/>
    <s v="Home"/>
    <s v="66+"/>
    <x v="20"/>
    <m/>
    <m/>
    <m/>
    <m/>
    <m/>
    <m/>
  </r>
  <r>
    <s v="P00103"/>
    <s v="Ishita Reddy"/>
    <n v="41"/>
    <s v="Female"/>
    <s v="Coimbatore"/>
    <x v="0"/>
    <x v="0"/>
    <s v="Diabetes"/>
    <s v="Elective"/>
    <d v="2025-04-22T00:00:00"/>
    <d v="2025-04-24T00:00:00"/>
    <n v="2"/>
    <x v="0"/>
    <s v="Ultrasound"/>
    <n v="33185.480000000003"/>
    <n v="4"/>
    <s v="Transferred"/>
    <s v="36-50"/>
    <x v="5"/>
    <m/>
    <m/>
    <m/>
    <m/>
    <m/>
    <m/>
  </r>
  <r>
    <s v="P00104"/>
    <s v="Pooja Iyer"/>
    <n v="25"/>
    <s v="Female"/>
    <s v="Coimbatore"/>
    <x v="3"/>
    <x v="5"/>
    <s v="Diabetes"/>
    <s v="Elective"/>
    <d v="2025-05-25T00:00:00"/>
    <d v="2025-05-29T00:00:00"/>
    <n v="4"/>
    <x v="2"/>
    <s v="Blood Test"/>
    <n v="18573.580000000002"/>
    <n v="4"/>
    <s v="Transferred"/>
    <s v="18-35"/>
    <x v="4"/>
    <m/>
    <m/>
    <m/>
    <m/>
    <m/>
    <m/>
  </r>
  <r>
    <s v="P00105"/>
    <s v="Meera Reddy"/>
    <n v="64"/>
    <s v="Other"/>
    <s v="Mumbai"/>
    <x v="4"/>
    <x v="0"/>
    <s v="Pneumonia"/>
    <s v="Elective"/>
    <d v="2025-10-31T00:00:00"/>
    <d v="2025-04-11T00:00:00"/>
    <n v="4"/>
    <x v="2"/>
    <s v="ECG"/>
    <n v="21777.25"/>
    <n v="3"/>
    <s v="Referred"/>
    <s v="51-65"/>
    <x v="17"/>
    <m/>
    <m/>
    <m/>
    <m/>
    <m/>
    <m/>
  </r>
  <r>
    <s v="P00106"/>
    <s v="Arjun Reddy"/>
    <n v="47"/>
    <s v="Other"/>
    <s v="Mumbai"/>
    <x v="5"/>
    <x v="4"/>
    <s v="No Chronic Condition"/>
    <s v="Urgent"/>
    <d v="2024-10-22T00:00:00"/>
    <d v="2024-10-25T00:00:00"/>
    <n v="3"/>
    <x v="1"/>
    <s v="None"/>
    <n v="61669.1"/>
    <n v="2"/>
    <s v="Referred"/>
    <s v="36-50"/>
    <x v="20"/>
    <m/>
    <m/>
    <m/>
    <m/>
    <m/>
    <m/>
  </r>
  <r>
    <s v="P00107"/>
    <s v="Rahul Sharma"/>
    <n v="26"/>
    <s v="Other"/>
    <s v="Mumbai"/>
    <x v="3"/>
    <x v="6"/>
    <s v="Migraine"/>
    <s v="Elective"/>
    <d v="2025-05-06T00:00:00"/>
    <d v="2025-09-06T00:00:00"/>
    <n v="4"/>
    <x v="3"/>
    <s v="CT Scan"/>
    <n v="117867.65"/>
    <n v="3"/>
    <s v="Transferred"/>
    <s v="18-35"/>
    <x v="4"/>
    <m/>
    <m/>
    <m/>
    <m/>
    <m/>
    <m/>
  </r>
  <r>
    <s v="P00108"/>
    <s v="Arjun Reddy"/>
    <n v="76"/>
    <s v="Male"/>
    <s v="Salem"/>
    <x v="5"/>
    <x v="4"/>
    <s v="Kidney Disease"/>
    <s v="Urgent"/>
    <d v="2025-03-06T00:00:00"/>
    <d v="2025-07-06T00:00:00"/>
    <n v="4"/>
    <x v="2"/>
    <s v="ECG"/>
    <n v="71549.66"/>
    <n v="4"/>
    <s v="Left Against Medical Advice"/>
    <s v="66+"/>
    <x v="14"/>
    <m/>
    <m/>
    <m/>
    <m/>
    <m/>
    <m/>
  </r>
  <r>
    <s v="P00109"/>
    <s v="Divya Sharma"/>
    <n v="34"/>
    <s v="Other"/>
    <s v="Coimbatore"/>
    <x v="4"/>
    <x v="5"/>
    <s v="Asthma"/>
    <s v="Urgent"/>
    <d v="2025-08-15T00:00:00"/>
    <d v="2025-08-17T00:00:00"/>
    <n v="2"/>
    <x v="2"/>
    <s v="X-Ray"/>
    <n v="50268.959999999999"/>
    <n v="5"/>
    <s v="Home"/>
    <s v="18-35"/>
    <x v="19"/>
    <m/>
    <m/>
    <m/>
    <m/>
    <m/>
    <m/>
  </r>
  <r>
    <s v="P00110"/>
    <s v="Manoj Nair"/>
    <n v="57"/>
    <s v="Male"/>
    <s v="Delhi"/>
    <x v="3"/>
    <x v="5"/>
    <s v="Diabetes"/>
    <s v="Elective"/>
    <d v="2025-04-03T00:00:00"/>
    <d v="2025-07-03T00:00:00"/>
    <n v="3"/>
    <x v="1"/>
    <s v="X-Ray"/>
    <n v="63521.59"/>
    <n v="4"/>
    <s v="Left Against Medical Advice"/>
    <s v="51-65"/>
    <x v="5"/>
    <m/>
    <m/>
    <m/>
    <m/>
    <m/>
    <m/>
  </r>
  <r>
    <s v="P00111"/>
    <s v="Priya Devi"/>
    <n v="69"/>
    <s v="Male"/>
    <s v="Coimbatore"/>
    <x v="5"/>
    <x v="4"/>
    <s v="No Chronic Condition"/>
    <s v="Elective"/>
    <d v="2025-07-13T00:00:00"/>
    <d v="2025-07-19T00:00:00"/>
    <n v="6"/>
    <x v="3"/>
    <s v="Ultrasound"/>
    <n v="47345.15"/>
    <n v="5"/>
    <s v="Left Against Medical Advice"/>
    <s v="66+"/>
    <x v="16"/>
    <m/>
    <m/>
    <m/>
    <m/>
    <m/>
    <m/>
  </r>
  <r>
    <s v="P00112"/>
    <s v="Rohan Devi"/>
    <n v="41"/>
    <s v="Male"/>
    <s v="Chennai"/>
    <x v="5"/>
    <x v="2"/>
    <s v="Pneumonia"/>
    <s v="Urgent"/>
    <d v="2024-12-23T00:00:00"/>
    <d v="2024-12-25T00:00:00"/>
    <n v="2"/>
    <x v="2"/>
    <s v="MRI"/>
    <n v="71741.55"/>
    <n v="5"/>
    <s v="Left Against Medical Advice"/>
    <s v="36-50"/>
    <x v="8"/>
    <m/>
    <m/>
    <m/>
    <m/>
    <m/>
    <m/>
  </r>
  <r>
    <s v="P00113"/>
    <s v="Sathya Iyer"/>
    <n v="84"/>
    <s v="Male"/>
    <s v="Chennai"/>
    <x v="2"/>
    <x v="4"/>
    <s v="Asthma"/>
    <s v="Urgent"/>
    <d v="2025-05-05T00:00:00"/>
    <d v="2025-07-05T00:00:00"/>
    <n v="2"/>
    <x v="3"/>
    <s v="Ultrasound"/>
    <n v="19973.54"/>
    <n v="5"/>
    <s v="Referred"/>
    <s v="66+"/>
    <x v="4"/>
    <m/>
    <m/>
    <m/>
    <m/>
    <m/>
    <m/>
  </r>
  <r>
    <s v="P00114"/>
    <s v="Ananya Nair"/>
    <n v="7"/>
    <s v="Female"/>
    <s v="Madurai"/>
    <x v="2"/>
    <x v="2"/>
    <s v="Kidney Disease"/>
    <s v="Emergency"/>
    <d v="2025-02-27T00:00:00"/>
    <d v="2025-03-03T00:00:00"/>
    <n v="4"/>
    <x v="2"/>
    <s v="Ultrasound"/>
    <n v="46853.74"/>
    <n v="3"/>
    <s v="Referred"/>
    <s v="Under 18"/>
    <x v="15"/>
    <m/>
    <m/>
    <m/>
    <m/>
    <m/>
    <m/>
  </r>
  <r>
    <s v="P00115"/>
    <s v="Ananya Kumar"/>
    <n v="69"/>
    <s v="Other"/>
    <s v="Chennai"/>
    <x v="5"/>
    <x v="1"/>
    <s v="Pneumonia"/>
    <s v="Urgent"/>
    <d v="2024-08-02T00:00:00"/>
    <d v="2024-11-02T00:00:00"/>
    <n v="3"/>
    <x v="0"/>
    <s v="Blood Test"/>
    <n v="95082.69"/>
    <n v="5"/>
    <s v="Transferred"/>
    <s v="66+"/>
    <x v="3"/>
    <m/>
    <m/>
    <m/>
    <m/>
    <m/>
    <m/>
  </r>
  <r>
    <s v="P00116"/>
    <s v="Sanjay Singh"/>
    <n v="37"/>
    <s v="Male"/>
    <s v="Madurai"/>
    <x v="2"/>
    <x v="6"/>
    <s v="Skin Infection"/>
    <s v="Emergency"/>
    <d v="2025-10-18T00:00:00"/>
    <d v="2025-10-22T00:00:00"/>
    <n v="4"/>
    <x v="2"/>
    <s v="Ultrasound"/>
    <n v="63409.73"/>
    <n v="2"/>
    <s v="Transferred"/>
    <s v="36-50"/>
    <x v="17"/>
    <m/>
    <m/>
    <m/>
    <m/>
    <m/>
    <m/>
  </r>
  <r>
    <s v="P00117"/>
    <s v="Arjun Sharma"/>
    <n v="38"/>
    <s v="Other"/>
    <s v="Hyderabad"/>
    <x v="1"/>
    <x v="2"/>
    <s v="Pneumonia"/>
    <s v="Elective"/>
    <d v="2025-11-21T00:00:00"/>
    <d v="2025-11-22T00:00:00"/>
    <n v="1"/>
    <x v="3"/>
    <s v="Blood Test"/>
    <n v="49615.49"/>
    <n v="2"/>
    <s v="Transferred"/>
    <s v="36-50"/>
    <x v="11"/>
    <m/>
    <m/>
    <m/>
    <m/>
    <m/>
    <m/>
  </r>
  <r>
    <s v="P00118"/>
    <s v="Ananya R"/>
    <n v="50"/>
    <s v="Female"/>
    <s v="Madurai"/>
    <x v="5"/>
    <x v="1"/>
    <s v="Hypertension"/>
    <s v="Urgent"/>
    <d v="2025-02-04T00:00:00"/>
    <d v="2025-08-04T00:00:00"/>
    <n v="6"/>
    <x v="3"/>
    <s v="X-Ray"/>
    <n v="61777.120000000003"/>
    <n v="4"/>
    <s v="Referred"/>
    <s v="36-50"/>
    <x v="15"/>
    <m/>
    <m/>
    <m/>
    <m/>
    <m/>
    <m/>
  </r>
  <r>
    <s v="P00119"/>
    <s v="Aditya Singh"/>
    <n v="62"/>
    <s v="Female"/>
    <s v="Kochi"/>
    <x v="2"/>
    <x v="7"/>
    <s v="Heart Disease"/>
    <s v="Elective"/>
    <d v="2025-10-04T00:00:00"/>
    <d v="2025-04-17T00:00:00"/>
    <n v="7"/>
    <x v="2"/>
    <s v="ECG"/>
    <n v="61664.959999999999"/>
    <n v="4"/>
    <s v="Home"/>
    <s v="51-65"/>
    <x v="17"/>
    <m/>
    <m/>
    <m/>
    <m/>
    <m/>
    <m/>
  </r>
  <r>
    <s v="P00120"/>
    <s v="Lakshmi R"/>
    <n v="8"/>
    <s v="Other"/>
    <s v="Kochi"/>
    <x v="1"/>
    <x v="3"/>
    <s v="Skin Infection"/>
    <s v="Emergency"/>
    <d v="2025-01-06T00:00:00"/>
    <d v="2025-06-06T00:00:00"/>
    <n v="5"/>
    <x v="4"/>
    <s v="X-Ray"/>
    <n v="80200.66"/>
    <n v="5"/>
    <s v="Left Against Medical Advice"/>
    <s v="Under 18"/>
    <x v="22"/>
    <m/>
    <m/>
    <m/>
    <m/>
    <m/>
    <m/>
  </r>
  <r>
    <s v="P00121"/>
    <s v="Aditya Kumar"/>
    <n v="59"/>
    <s v="Other"/>
    <s v="Pune"/>
    <x v="5"/>
    <x v="1"/>
    <s v="Pneumonia"/>
    <s v="Urgent"/>
    <d v="2024-02-29T00:00:00"/>
    <d v="2024-04-03T00:00:00"/>
    <n v="4"/>
    <x v="2"/>
    <s v="ECG"/>
    <n v="36773.43"/>
    <n v="3"/>
    <s v="Home"/>
    <s v="51-65"/>
    <x v="2"/>
    <m/>
    <m/>
    <m/>
    <m/>
    <m/>
    <m/>
  </r>
  <r>
    <s v="P00122"/>
    <s v="Divya Reddy"/>
    <n v="9"/>
    <s v="Male"/>
    <s v="Bengaluru"/>
    <x v="2"/>
    <x v="2"/>
    <s v="Migraine"/>
    <s v="Urgent"/>
    <d v="2024-02-02T00:00:00"/>
    <d v="2024-05-02T00:00:00"/>
    <n v="3"/>
    <x v="0"/>
    <s v="X-Ray"/>
    <n v="84478.53"/>
    <n v="4"/>
    <s v="Transferred"/>
    <s v="Under 18"/>
    <x v="2"/>
    <m/>
    <m/>
    <m/>
    <m/>
    <m/>
    <m/>
  </r>
  <r>
    <s v="P00123"/>
    <s v="Pooja Reddy"/>
    <n v="16"/>
    <s v="Female"/>
    <s v="Kochi"/>
    <x v="1"/>
    <x v="7"/>
    <s v="Diabetes"/>
    <s v="Emergency"/>
    <d v="2025-04-07T00:00:00"/>
    <d v="2025-08-07T00:00:00"/>
    <n v="4"/>
    <x v="3"/>
    <s v="CT Scan"/>
    <n v="67201.100000000006"/>
    <n v="5"/>
    <s v="Transferred"/>
    <s v="Under 18"/>
    <x v="5"/>
    <m/>
    <m/>
    <m/>
    <m/>
    <m/>
    <m/>
  </r>
  <r>
    <s v="P00124"/>
    <s v="Ishita Kumar"/>
    <n v="20"/>
    <s v="Male"/>
    <s v="Coimbatore"/>
    <x v="2"/>
    <x v="1"/>
    <s v="Heart Disease"/>
    <s v="Emergency"/>
    <d v="2024-12-07T00:00:00"/>
    <d v="2024-07-18T00:00:00"/>
    <n v="6"/>
    <x v="4"/>
    <s v="CT Scan"/>
    <n v="34908.53"/>
    <n v="1"/>
    <s v="Referred"/>
    <s v="18-35"/>
    <x v="8"/>
    <m/>
    <m/>
    <m/>
    <m/>
    <m/>
    <m/>
  </r>
  <r>
    <s v="P00125"/>
    <s v="Ananya Sharma"/>
    <n v="70"/>
    <s v="Female"/>
    <s v="Kochi"/>
    <x v="0"/>
    <x v="3"/>
    <s v="No Chronic Condition"/>
    <s v="Elective"/>
    <d v="2024-02-27T00:00:00"/>
    <d v="2024-02-03T00:00:00"/>
    <n v="4"/>
    <x v="1"/>
    <s v="MRI"/>
    <n v="100460.13"/>
    <n v="4"/>
    <s v="Home"/>
    <s v="66+"/>
    <x v="2"/>
    <m/>
    <m/>
    <m/>
    <m/>
    <m/>
    <m/>
  </r>
  <r>
    <s v="P00126"/>
    <s v="Kavya Reddy"/>
    <n v="72"/>
    <s v="Other"/>
    <s v="Pune"/>
    <x v="0"/>
    <x v="1"/>
    <s v="Migraine"/>
    <s v="Elective"/>
    <d v="2024-06-28T00:00:00"/>
    <d v="2024-04-07T00:00:00"/>
    <n v="6"/>
    <x v="4"/>
    <s v="X-Ray"/>
    <n v="145664.21"/>
    <n v="5"/>
    <s v="Left Against Medical Advice"/>
    <s v="66+"/>
    <x v="9"/>
    <m/>
    <m/>
    <m/>
    <m/>
    <m/>
    <m/>
  </r>
  <r>
    <s v="P00127"/>
    <s v="Divya Iyer"/>
    <n v="31"/>
    <s v="Female"/>
    <s v="Madurai"/>
    <x v="0"/>
    <x v="1"/>
    <s v="Skin Infection"/>
    <s v="Elective"/>
    <d v="2024-03-11T00:00:00"/>
    <d v="2024-04-11T00:00:00"/>
    <n v="1"/>
    <x v="2"/>
    <s v="CT Scan"/>
    <n v="66341.570000000007"/>
    <n v="4"/>
    <s v="Transferred"/>
    <s v="18-35"/>
    <x v="18"/>
    <m/>
    <m/>
    <m/>
    <m/>
    <m/>
    <m/>
  </r>
  <r>
    <s v="P00128"/>
    <s v="Manoj Iyer"/>
    <n v="12"/>
    <s v="Other"/>
    <s v="Delhi"/>
    <x v="0"/>
    <x v="1"/>
    <s v="Hypertension"/>
    <s v="Elective"/>
    <d v="2024-07-14T00:00:00"/>
    <d v="2024-07-16T00:00:00"/>
    <n v="2"/>
    <x v="1"/>
    <s v="Blood Test"/>
    <n v="48525.77"/>
    <n v="5"/>
    <s v="Referred"/>
    <s v="Under 18"/>
    <x v="12"/>
    <m/>
    <m/>
    <m/>
    <m/>
    <m/>
    <m/>
  </r>
  <r>
    <s v="P00129"/>
    <s v="Ananya Reddy"/>
    <n v="25"/>
    <s v="Other"/>
    <s v="Delhi"/>
    <x v="3"/>
    <x v="7"/>
    <s v="Pneumonia"/>
    <s v="Urgent"/>
    <d v="2024-04-30T00:00:00"/>
    <d v="2024-02-05T00:00:00"/>
    <n v="2"/>
    <x v="1"/>
    <s v="MRI"/>
    <n v="78804.23"/>
    <n v="4"/>
    <s v="Transferred"/>
    <s v="18-35"/>
    <x v="6"/>
    <m/>
    <m/>
    <m/>
    <m/>
    <m/>
    <m/>
  </r>
  <r>
    <s v="P00130"/>
    <s v="Nisha Kumar"/>
    <n v="47"/>
    <s v="Other"/>
    <s v="Salem"/>
    <x v="0"/>
    <x v="5"/>
    <s v="Migraine"/>
    <s v="Urgent"/>
    <d v="2025-05-24T00:00:00"/>
    <d v="2025-05-25T00:00:00"/>
    <n v="1"/>
    <x v="3"/>
    <s v="Blood Test"/>
    <n v="78746.13"/>
    <n v="4"/>
    <s v="Transferred"/>
    <s v="36-50"/>
    <x v="4"/>
    <m/>
    <m/>
    <m/>
    <m/>
    <m/>
    <m/>
  </r>
  <r>
    <s v="P00131"/>
    <s v="Kavya Devi"/>
    <n v="71"/>
    <s v="Other"/>
    <s v="Delhi"/>
    <x v="2"/>
    <x v="3"/>
    <s v="Heart Disease"/>
    <s v="Urgent"/>
    <d v="2025-08-16T00:00:00"/>
    <d v="2025-08-19T00:00:00"/>
    <n v="3"/>
    <x v="4"/>
    <s v="CT Scan"/>
    <n v="77471.240000000005"/>
    <n v="4"/>
    <s v="Referred"/>
    <s v="66+"/>
    <x v="19"/>
    <m/>
    <m/>
    <m/>
    <m/>
    <m/>
    <m/>
  </r>
  <r>
    <s v="P00132"/>
    <s v="Vivaan Kumar"/>
    <n v="46"/>
    <s v="Female"/>
    <s v="Pune"/>
    <x v="0"/>
    <x v="1"/>
    <s v="Skin Infection"/>
    <s v="Urgent"/>
    <d v="2024-05-23T00:00:00"/>
    <d v="2024-05-27T00:00:00"/>
    <n v="4"/>
    <x v="3"/>
    <s v="Blood Test"/>
    <n v="28388.84"/>
    <n v="5"/>
    <s v="Referred"/>
    <s v="36-50"/>
    <x v="23"/>
    <m/>
    <m/>
    <m/>
    <m/>
    <m/>
    <m/>
  </r>
  <r>
    <s v="P00133"/>
    <s v="Nisha Kumar"/>
    <n v="2"/>
    <s v="Female"/>
    <s v="Chennai"/>
    <x v="3"/>
    <x v="5"/>
    <s v="Kidney Disease"/>
    <s v="Urgent"/>
    <d v="2025-01-06T00:00:00"/>
    <d v="2025-04-06T00:00:00"/>
    <n v="3"/>
    <x v="1"/>
    <s v="ECG"/>
    <n v="13148.42"/>
    <n v="4"/>
    <s v="Transferred"/>
    <s v="Under 18"/>
    <x v="22"/>
    <m/>
    <m/>
    <m/>
    <m/>
    <m/>
    <m/>
  </r>
  <r>
    <s v="P00134"/>
    <s v="Ishita Devi"/>
    <n v="3"/>
    <s v="Other"/>
    <s v="Mumbai"/>
    <x v="5"/>
    <x v="6"/>
    <s v="Hypertension"/>
    <s v="Elective"/>
    <d v="2025-12-15T00:00:00"/>
    <d v="2025-12-18T00:00:00"/>
    <n v="3"/>
    <x v="2"/>
    <s v="MRI"/>
    <n v="132113.17000000001"/>
    <n v="3"/>
    <s v="Left Against Medical Advice"/>
    <s v="Under 18"/>
    <x v="1"/>
    <m/>
    <m/>
    <m/>
    <m/>
    <m/>
    <m/>
  </r>
  <r>
    <s v="P00135"/>
    <s v="Manoj Singh"/>
    <n v="59"/>
    <s v="Other"/>
    <s v="Chennai"/>
    <x v="2"/>
    <x v="0"/>
    <s v="Diabetes"/>
    <s v="Emergency"/>
    <d v="2024-06-09T00:00:00"/>
    <d v="2024-08-09T00:00:00"/>
    <n v="2"/>
    <x v="3"/>
    <s v="Blood Test"/>
    <n v="18825.54"/>
    <n v="4"/>
    <s v="Left Against Medical Advice"/>
    <s v="51-65"/>
    <x v="9"/>
    <m/>
    <m/>
    <m/>
    <m/>
    <m/>
    <m/>
  </r>
  <r>
    <s v="P00136"/>
    <s v="Deepa Singh"/>
    <n v="56"/>
    <s v="Other"/>
    <s v="Madurai"/>
    <x v="4"/>
    <x v="7"/>
    <s v="Heart Disease"/>
    <s v="Emergency"/>
    <d v="2024-05-12T00:00:00"/>
    <d v="2024-12-19T00:00:00"/>
    <n v="14"/>
    <x v="1"/>
    <s v="ECG"/>
    <n v="97241.16"/>
    <n v="4"/>
    <s v="Home"/>
    <s v="51-65"/>
    <x v="23"/>
    <m/>
    <m/>
    <m/>
    <m/>
    <m/>
    <m/>
  </r>
  <r>
    <s v="P00137"/>
    <s v="Deepa Reddy"/>
    <n v="23"/>
    <s v="Male"/>
    <s v="Kochi"/>
    <x v="5"/>
    <x v="2"/>
    <s v="Hypertension"/>
    <s v="Elective"/>
    <d v="2024-01-17T00:00:00"/>
    <d v="2024-01-22T00:00:00"/>
    <n v="5"/>
    <x v="3"/>
    <s v="None"/>
    <n v="33847.21"/>
    <n v="4"/>
    <s v="Home"/>
    <s v="18-35"/>
    <x v="0"/>
    <m/>
    <m/>
    <m/>
    <m/>
    <m/>
    <m/>
  </r>
  <r>
    <s v="P00138"/>
    <s v="Ishita Reddy"/>
    <n v="65"/>
    <s v="Other"/>
    <s v="Mumbai"/>
    <x v="4"/>
    <x v="0"/>
    <s v="Migraine"/>
    <s v="Urgent"/>
    <d v="2024-12-20T00:00:00"/>
    <d v="2024-12-21T00:00:00"/>
    <n v="1"/>
    <x v="1"/>
    <s v="None"/>
    <n v="56177.32"/>
    <n v="4"/>
    <s v="Left Against Medical Advice"/>
    <s v="51-65"/>
    <x v="8"/>
    <m/>
    <m/>
    <m/>
    <m/>
    <m/>
    <m/>
  </r>
  <r>
    <s v="P00139"/>
    <s v="Aditya R"/>
    <n v="63"/>
    <s v="Female"/>
    <s v="Madurai"/>
    <x v="0"/>
    <x v="0"/>
    <s v="No Chronic Condition"/>
    <s v="Elective"/>
    <d v="2024-12-30T00:00:00"/>
    <d v="2025-05-01T00:00:00"/>
    <n v="6"/>
    <x v="3"/>
    <s v="Ultrasound"/>
    <n v="33562.699999999997"/>
    <n v="3"/>
    <s v="Left Against Medical Advice"/>
    <s v="51-65"/>
    <x v="8"/>
    <m/>
    <m/>
    <m/>
    <m/>
    <m/>
    <m/>
  </r>
  <r>
    <s v="P00140"/>
    <s v="Manoj Reddy"/>
    <n v="41"/>
    <s v="Male"/>
    <s v="Bengaluru"/>
    <x v="4"/>
    <x v="3"/>
    <s v="Fracture"/>
    <s v="Emergency"/>
    <d v="2024-04-19T00:00:00"/>
    <d v="2024-04-20T00:00:00"/>
    <n v="1"/>
    <x v="1"/>
    <s v="ECG"/>
    <n v="24884.62"/>
    <n v="4"/>
    <s v="Home"/>
    <s v="36-50"/>
    <x v="6"/>
    <m/>
    <m/>
    <m/>
    <m/>
    <m/>
    <m/>
  </r>
  <r>
    <s v="P00141"/>
    <s v="Deepa Sharma"/>
    <n v="77"/>
    <s v="Other"/>
    <s v="Pune"/>
    <x v="0"/>
    <x v="0"/>
    <s v="Skin Infection"/>
    <s v="Emergency"/>
    <d v="2024-11-28T00:00:00"/>
    <d v="2024-11-29T00:00:00"/>
    <n v="1"/>
    <x v="1"/>
    <s v="MRI"/>
    <n v="78080.149999999994"/>
    <n v="5"/>
    <s v="Transferred"/>
    <s v="66+"/>
    <x v="21"/>
    <m/>
    <m/>
    <m/>
    <m/>
    <m/>
    <m/>
  </r>
  <r>
    <s v="P00142"/>
    <s v="Lakshmi Iyer"/>
    <n v="64"/>
    <s v="Female"/>
    <s v="Delhi"/>
    <x v="4"/>
    <x v="5"/>
    <s v="Hypertension"/>
    <s v="Emergency"/>
    <d v="2024-05-03T00:00:00"/>
    <d v="2024-08-03T00:00:00"/>
    <n v="3"/>
    <x v="1"/>
    <s v="Blood Test"/>
    <n v="38362.120000000003"/>
    <n v="5"/>
    <s v="Left Against Medical Advice"/>
    <s v="51-65"/>
    <x v="23"/>
    <m/>
    <m/>
    <m/>
    <m/>
    <m/>
    <m/>
  </r>
  <r>
    <s v="P00143"/>
    <s v="Kavya Sharma"/>
    <n v="43"/>
    <s v="Other"/>
    <s v="Pune"/>
    <x v="5"/>
    <x v="6"/>
    <s v="Fracture"/>
    <s v="Elective"/>
    <d v="2025-01-24T00:00:00"/>
    <d v="2025-01-27T00:00:00"/>
    <n v="3"/>
    <x v="4"/>
    <s v="ECG"/>
    <n v="72677.87"/>
    <n v="3"/>
    <s v="Referred"/>
    <s v="36-50"/>
    <x v="22"/>
    <m/>
    <m/>
    <m/>
    <m/>
    <m/>
    <m/>
  </r>
  <r>
    <s v="P00144"/>
    <s v="Manoj Kumar"/>
    <n v="42"/>
    <s v="Male"/>
    <s v="Delhi"/>
    <x v="2"/>
    <x v="7"/>
    <s v="No Chronic Condition"/>
    <s v="Emergency"/>
    <d v="2024-10-14T00:00:00"/>
    <d v="2024-10-17T00:00:00"/>
    <n v="3"/>
    <x v="4"/>
    <s v="None"/>
    <n v="84800.34"/>
    <n v="3"/>
    <s v="Transferred"/>
    <s v="36-50"/>
    <x v="20"/>
    <m/>
    <m/>
    <m/>
    <m/>
    <m/>
    <m/>
  </r>
  <r>
    <s v="P00145"/>
    <s v="Divya R"/>
    <n v="89"/>
    <s v="Female"/>
    <s v="Delhi"/>
    <x v="3"/>
    <x v="7"/>
    <s v="Fracture"/>
    <s v="Elective"/>
    <d v="2025-02-22T00:00:00"/>
    <d v="2025-02-26T00:00:00"/>
    <n v="4"/>
    <x v="0"/>
    <s v="CT Scan"/>
    <n v="60082.400000000001"/>
    <n v="5"/>
    <s v="Left Against Medical Advice"/>
    <s v="66+"/>
    <x v="15"/>
    <m/>
    <m/>
    <m/>
    <m/>
    <m/>
    <m/>
  </r>
  <r>
    <s v="P00146"/>
    <s v="Deepa Reddy"/>
    <n v="70"/>
    <s v="Female"/>
    <s v="Mumbai"/>
    <x v="1"/>
    <x v="7"/>
    <s v="Migraine"/>
    <s v="Emergency"/>
    <d v="2025-03-01T00:00:00"/>
    <d v="2025-08-01T00:00:00"/>
    <n v="5"/>
    <x v="2"/>
    <s v="Blood Test"/>
    <n v="24142.71"/>
    <n v="4"/>
    <s v="Transferred"/>
    <s v="66+"/>
    <x v="14"/>
    <m/>
    <m/>
    <m/>
    <m/>
    <m/>
    <m/>
  </r>
  <r>
    <s v="P00147"/>
    <s v="Deepa Sharma"/>
    <n v="29"/>
    <s v="Other"/>
    <s v="Mumbai"/>
    <x v="4"/>
    <x v="5"/>
    <s v="Migraine"/>
    <s v="Elective"/>
    <d v="2025-06-15T00:00:00"/>
    <d v="2025-06-20T00:00:00"/>
    <n v="5"/>
    <x v="2"/>
    <s v="MRI"/>
    <n v="40552.79"/>
    <n v="5"/>
    <s v="Left Against Medical Advice"/>
    <s v="18-35"/>
    <x v="10"/>
    <m/>
    <m/>
    <m/>
    <m/>
    <m/>
    <m/>
  </r>
  <r>
    <s v="P00148"/>
    <s v="Pooja Singh"/>
    <n v="11"/>
    <s v="Female"/>
    <s v="Mumbai"/>
    <x v="4"/>
    <x v="7"/>
    <s v="Skin Infection"/>
    <s v="Elective"/>
    <d v="2024-05-25T00:00:00"/>
    <d v="2024-05-27T00:00:00"/>
    <n v="2"/>
    <x v="2"/>
    <s v="None"/>
    <n v="47253.599999999999"/>
    <n v="4"/>
    <s v="Home"/>
    <s v="Under 18"/>
    <x v="23"/>
    <m/>
    <m/>
    <m/>
    <m/>
    <m/>
    <m/>
  </r>
  <r>
    <s v="P00149"/>
    <s v="Manoj Reddy"/>
    <n v="3"/>
    <s v="Male"/>
    <s v="Delhi"/>
    <x v="0"/>
    <x v="7"/>
    <s v="Skin Infection"/>
    <s v="Elective"/>
    <d v="2025-10-25T00:00:00"/>
    <d v="2025-10-31T00:00:00"/>
    <n v="6"/>
    <x v="3"/>
    <s v="X-Ray"/>
    <n v="24735.09"/>
    <n v="3"/>
    <s v="Left Against Medical Advice"/>
    <s v="Under 18"/>
    <x v="17"/>
    <m/>
    <m/>
    <m/>
    <m/>
    <m/>
    <m/>
  </r>
  <r>
    <s v="P00150"/>
    <s v="Aditya R"/>
    <n v="51"/>
    <s v="Female"/>
    <s v="Kochi"/>
    <x v="0"/>
    <x v="1"/>
    <s v="Heart Disease"/>
    <s v="Elective"/>
    <d v="2025-09-20T00:00:00"/>
    <d v="2025-09-23T00:00:00"/>
    <n v="3"/>
    <x v="1"/>
    <s v="X-Ray"/>
    <n v="50723.31"/>
    <n v="5"/>
    <s v="Left Against Medical Advice"/>
    <s v="51-65"/>
    <x v="7"/>
    <m/>
    <m/>
    <m/>
    <m/>
    <m/>
    <m/>
  </r>
  <r>
    <s v="P00151"/>
    <s v="Meera Singh"/>
    <n v="15"/>
    <s v="Male"/>
    <s v="Salem"/>
    <x v="0"/>
    <x v="2"/>
    <s v="No Chronic Condition"/>
    <s v="Urgent"/>
    <d v="2025-11-17T00:00:00"/>
    <d v="2025-11-21T00:00:00"/>
    <n v="4"/>
    <x v="1"/>
    <s v="ECG"/>
    <n v="40655.71"/>
    <n v="2"/>
    <s v="Home"/>
    <s v="Under 18"/>
    <x v="11"/>
    <m/>
    <m/>
    <m/>
    <m/>
    <m/>
    <m/>
  </r>
  <r>
    <s v="P00152"/>
    <s v="Divya Reddy"/>
    <n v="87"/>
    <s v="Female"/>
    <s v="Hyderabad"/>
    <x v="1"/>
    <x v="3"/>
    <s v="Asthma"/>
    <s v="Urgent"/>
    <d v="2024-11-16T00:00:00"/>
    <d v="2024-11-18T00:00:00"/>
    <n v="2"/>
    <x v="0"/>
    <s v="Ultrasound"/>
    <n v="77701.84"/>
    <n v="3"/>
    <s v="Referred"/>
    <s v="66+"/>
    <x v="21"/>
    <m/>
    <m/>
    <m/>
    <m/>
    <m/>
    <m/>
  </r>
  <r>
    <s v="P00153"/>
    <s v="Aarav Singh"/>
    <n v="72"/>
    <s v="Female"/>
    <s v="Hyderabad"/>
    <x v="0"/>
    <x v="5"/>
    <s v="No Chronic Condition"/>
    <s v="Elective"/>
    <d v="2025-05-16T00:00:00"/>
    <d v="2025-05-17T00:00:00"/>
    <n v="1"/>
    <x v="0"/>
    <s v="ECG"/>
    <n v="15913.62"/>
    <n v="4"/>
    <s v="Left Against Medical Advice"/>
    <s v="66+"/>
    <x v="4"/>
    <m/>
    <m/>
    <m/>
    <m/>
    <m/>
    <m/>
  </r>
  <r>
    <s v="P00154"/>
    <s v="Vivaan Devi"/>
    <n v="53"/>
    <s v="Other"/>
    <s v="Coimbatore"/>
    <x v="3"/>
    <x v="6"/>
    <s v="Hypertension"/>
    <s v="Elective"/>
    <d v="2025-05-18T00:00:00"/>
    <d v="2025-05-25T00:00:00"/>
    <n v="7"/>
    <x v="3"/>
    <s v="None"/>
    <n v="102088.66"/>
    <n v="3"/>
    <s v="Left Against Medical Advice"/>
    <s v="51-65"/>
    <x v="4"/>
    <m/>
    <m/>
    <m/>
    <m/>
    <m/>
    <m/>
  </r>
  <r>
    <s v="P00155"/>
    <s v="Vivaan Singh"/>
    <n v="73"/>
    <s v="Other"/>
    <s v="Kochi"/>
    <x v="0"/>
    <x v="4"/>
    <s v="Skin Infection"/>
    <s v="Elective"/>
    <d v="2025-05-22T00:00:00"/>
    <d v="2025-05-26T00:00:00"/>
    <n v="4"/>
    <x v="2"/>
    <s v="Ultrasound"/>
    <n v="72099.64"/>
    <n v="4"/>
    <s v="Referred"/>
    <s v="66+"/>
    <x v="4"/>
    <m/>
    <m/>
    <m/>
    <m/>
    <m/>
    <m/>
  </r>
  <r>
    <s v="P00156"/>
    <s v="Deepa Nair"/>
    <n v="39"/>
    <s v="Female"/>
    <s v="Salem"/>
    <x v="2"/>
    <x v="5"/>
    <s v="Hypertension"/>
    <s v="Elective"/>
    <d v="2025-05-04T00:00:00"/>
    <d v="2025-08-04T00:00:00"/>
    <n v="3"/>
    <x v="3"/>
    <s v="ECG"/>
    <n v="68621.11"/>
    <n v="3"/>
    <s v="Referred"/>
    <s v="36-50"/>
    <x v="4"/>
    <m/>
    <m/>
    <m/>
    <m/>
    <m/>
    <m/>
  </r>
  <r>
    <s v="P00157"/>
    <s v="Rahul R"/>
    <n v="27"/>
    <s v="Female"/>
    <s v="Hyderabad"/>
    <x v="1"/>
    <x v="6"/>
    <s v="Migraine"/>
    <s v="Emergency"/>
    <d v="2024-01-03T00:00:00"/>
    <d v="2024-04-03T00:00:00"/>
    <n v="3"/>
    <x v="1"/>
    <s v="None"/>
    <n v="122143.22"/>
    <n v="4"/>
    <s v="Referred"/>
    <s v="18-35"/>
    <x v="0"/>
    <m/>
    <m/>
    <m/>
    <m/>
    <m/>
    <m/>
  </r>
  <r>
    <s v="P00158"/>
    <s v="Nisha Reddy"/>
    <n v="90"/>
    <s v="Female"/>
    <s v="Delhi"/>
    <x v="4"/>
    <x v="2"/>
    <s v="Kidney Disease"/>
    <s v="Urgent"/>
    <d v="2024-12-09T00:00:00"/>
    <d v="2024-09-19T00:00:00"/>
    <n v="7"/>
    <x v="2"/>
    <s v="CT Scan"/>
    <n v="22378.53"/>
    <n v="4"/>
    <s v="Transferred"/>
    <s v="66+"/>
    <x v="8"/>
    <m/>
    <m/>
    <m/>
    <m/>
    <m/>
    <m/>
  </r>
  <r>
    <s v="P00159"/>
    <s v="Divya Iyer"/>
    <n v="89"/>
    <s v="Male"/>
    <s v="Pune"/>
    <x v="0"/>
    <x v="5"/>
    <s v="Migraine"/>
    <s v="Elective"/>
    <d v="2025-10-04T00:00:00"/>
    <d v="2025-04-18T00:00:00"/>
    <n v="8"/>
    <x v="1"/>
    <s v="MRI"/>
    <n v="92572.19"/>
    <n v="5"/>
    <s v="Transferred"/>
    <s v="66+"/>
    <x v="17"/>
    <m/>
    <m/>
    <m/>
    <m/>
    <m/>
    <m/>
  </r>
  <r>
    <s v="P00160"/>
    <s v="Aarav R"/>
    <n v="44"/>
    <s v="Other"/>
    <s v="Hyderabad"/>
    <x v="1"/>
    <x v="3"/>
    <s v="Diabetes"/>
    <s v="Elective"/>
    <d v="2025-08-14T00:00:00"/>
    <d v="2025-08-19T00:00:00"/>
    <n v="5"/>
    <x v="2"/>
    <s v="CT Scan"/>
    <n v="27077.43"/>
    <n v="5"/>
    <s v="Referred"/>
    <s v="36-50"/>
    <x v="19"/>
    <m/>
    <m/>
    <m/>
    <m/>
    <m/>
    <m/>
  </r>
  <r>
    <s v="P00161"/>
    <s v="Meera Sharma"/>
    <n v="89"/>
    <s v="Female"/>
    <s v="Chennai"/>
    <x v="1"/>
    <x v="4"/>
    <s v="Hypertension"/>
    <s v="Urgent"/>
    <d v="2025-10-27T00:00:00"/>
    <d v="2025-10-28T00:00:00"/>
    <n v="1"/>
    <x v="1"/>
    <s v="Ultrasound"/>
    <n v="59784.92"/>
    <n v="3"/>
    <s v="Referred"/>
    <s v="66+"/>
    <x v="17"/>
    <m/>
    <m/>
    <m/>
    <m/>
    <m/>
    <m/>
  </r>
  <r>
    <s v="P00162"/>
    <s v="Pooja Kumar"/>
    <n v="55"/>
    <s v="Other"/>
    <s v="Chennai"/>
    <x v="2"/>
    <x v="0"/>
    <s v="Asthma"/>
    <s v="Elective"/>
    <d v="2024-03-04T00:00:00"/>
    <d v="2024-04-04T00:00:00"/>
    <n v="1"/>
    <x v="2"/>
    <s v="None"/>
    <n v="55338.6"/>
    <n v="4"/>
    <s v="Left Against Medical Advice"/>
    <s v="51-65"/>
    <x v="18"/>
    <m/>
    <m/>
    <m/>
    <m/>
    <m/>
    <m/>
  </r>
  <r>
    <s v="P00163"/>
    <s v="Rohan Reddy"/>
    <n v="89"/>
    <s v="Female"/>
    <s v="Hyderabad"/>
    <x v="2"/>
    <x v="0"/>
    <s v="Hypertension"/>
    <s v="Urgent"/>
    <d v="2025-04-05T00:00:00"/>
    <d v="2025-06-05T00:00:00"/>
    <n v="2"/>
    <x v="3"/>
    <s v="Blood Test"/>
    <n v="34874.660000000003"/>
    <n v="5"/>
    <s v="Home"/>
    <s v="66+"/>
    <x v="5"/>
    <m/>
    <m/>
    <m/>
    <m/>
    <m/>
    <m/>
  </r>
  <r>
    <s v="P00164"/>
    <s v="Arjun Sharma"/>
    <n v="79"/>
    <s v="Other"/>
    <s v="Bengaluru"/>
    <x v="3"/>
    <x v="6"/>
    <s v="Pneumonia"/>
    <s v="Urgent"/>
    <d v="2024-06-17T00:00:00"/>
    <d v="2024-06-20T00:00:00"/>
    <n v="3"/>
    <x v="4"/>
    <s v="MRI"/>
    <n v="91052.02"/>
    <n v="3"/>
    <s v="Left Against Medical Advice"/>
    <s v="66+"/>
    <x v="9"/>
    <m/>
    <m/>
    <m/>
    <m/>
    <m/>
    <m/>
  </r>
  <r>
    <s v="P00165"/>
    <s v="Ananya Iyer"/>
    <n v="41"/>
    <s v="Female"/>
    <s v="Kochi"/>
    <x v="3"/>
    <x v="4"/>
    <s v="Diabetes"/>
    <s v="Urgent"/>
    <d v="2024-10-09T00:00:00"/>
    <d v="2024-09-16T00:00:00"/>
    <n v="6"/>
    <x v="3"/>
    <s v="Ultrasound"/>
    <n v="73896.12"/>
    <n v="4"/>
    <s v="Left Against Medical Advice"/>
    <s v="36-50"/>
    <x v="20"/>
    <m/>
    <m/>
    <m/>
    <m/>
    <m/>
    <m/>
  </r>
  <r>
    <s v="P00166"/>
    <s v="Aarav Nair"/>
    <n v="38"/>
    <s v="Other"/>
    <s v="Mumbai"/>
    <x v="0"/>
    <x v="5"/>
    <s v="No Chronic Condition"/>
    <s v="Elective"/>
    <d v="2024-02-25T00:00:00"/>
    <d v="2024-02-29T00:00:00"/>
    <n v="4"/>
    <x v="0"/>
    <s v="CT Scan"/>
    <n v="17183.88"/>
    <n v="5"/>
    <s v="Transferred"/>
    <s v="36-50"/>
    <x v="2"/>
    <m/>
    <m/>
    <m/>
    <m/>
    <m/>
    <m/>
  </r>
  <r>
    <s v="P00167"/>
    <s v="Nisha Reddy"/>
    <n v="70"/>
    <s v="Other"/>
    <s v="Pune"/>
    <x v="4"/>
    <x v="1"/>
    <s v="Pneumonia"/>
    <s v="Urgent"/>
    <d v="2024-06-25T00:00:00"/>
    <d v="2024-06-27T00:00:00"/>
    <n v="2"/>
    <x v="0"/>
    <s v="ECG"/>
    <n v="86489.2"/>
    <n v="4"/>
    <s v="Referred"/>
    <s v="66+"/>
    <x v="9"/>
    <m/>
    <m/>
    <m/>
    <m/>
    <m/>
    <m/>
  </r>
  <r>
    <s v="P00168"/>
    <s v="Aditya Devi"/>
    <n v="36"/>
    <s v="Female"/>
    <s v="Pune"/>
    <x v="2"/>
    <x v="6"/>
    <s v="Skin Infection"/>
    <s v="Emergency"/>
    <d v="2024-11-13T00:00:00"/>
    <d v="2024-11-17T00:00:00"/>
    <n v="4"/>
    <x v="2"/>
    <s v="X-Ray"/>
    <n v="61946.18"/>
    <n v="5"/>
    <s v="Home"/>
    <s v="36-50"/>
    <x v="21"/>
    <m/>
    <m/>
    <m/>
    <m/>
    <m/>
    <m/>
  </r>
  <r>
    <s v="P00169"/>
    <s v="Lakshmi Nair"/>
    <n v="56"/>
    <s v="Female"/>
    <s v="Kochi"/>
    <x v="3"/>
    <x v="6"/>
    <s v="Hypertension"/>
    <s v="Urgent"/>
    <d v="2025-09-04T00:00:00"/>
    <d v="2025-04-14T00:00:00"/>
    <n v="5"/>
    <x v="1"/>
    <s v="X-Ray"/>
    <n v="17105.509999999998"/>
    <n v="1"/>
    <s v="Transferred"/>
    <s v="51-65"/>
    <x v="7"/>
    <m/>
    <m/>
    <m/>
    <m/>
    <m/>
    <m/>
  </r>
  <r>
    <s v="P00170"/>
    <s v="Deepa R"/>
    <n v="17"/>
    <s v="Other"/>
    <s v="Delhi"/>
    <x v="1"/>
    <x v="1"/>
    <s v="Migraine"/>
    <s v="Urgent"/>
    <d v="2024-02-10T00:00:00"/>
    <d v="2024-10-15T00:00:00"/>
    <n v="13"/>
    <x v="1"/>
    <s v="Blood Test"/>
    <n v="128077.94"/>
    <n v="2"/>
    <s v="Left Against Medical Advice"/>
    <s v="Under 18"/>
    <x v="2"/>
    <m/>
    <m/>
    <m/>
    <m/>
    <m/>
    <m/>
  </r>
  <r>
    <s v="P00171"/>
    <s v="Aarav Iyer"/>
    <n v="73"/>
    <s v="Female"/>
    <s v="Chennai"/>
    <x v="1"/>
    <x v="0"/>
    <s v="Heart Disease"/>
    <s v="Elective"/>
    <d v="2025-11-01T00:00:00"/>
    <d v="2025-01-13T00:00:00"/>
    <n v="2"/>
    <x v="4"/>
    <s v="X-Ray"/>
    <n v="66076.94"/>
    <n v="1"/>
    <s v="Referred"/>
    <s v="66+"/>
    <x v="11"/>
    <m/>
    <m/>
    <m/>
    <m/>
    <m/>
    <m/>
  </r>
  <r>
    <s v="P00172"/>
    <s v="Vivaan Sharma"/>
    <n v="5"/>
    <s v="Other"/>
    <s v="Coimbatore"/>
    <x v="3"/>
    <x v="3"/>
    <s v="Fracture"/>
    <s v="Emergency"/>
    <d v="2025-02-11T00:00:00"/>
    <d v="2025-04-11T00:00:00"/>
    <n v="2"/>
    <x v="4"/>
    <s v="Blood Test"/>
    <n v="123946.04"/>
    <n v="2"/>
    <s v="Left Against Medical Advice"/>
    <s v="Under 18"/>
    <x v="15"/>
    <m/>
    <m/>
    <m/>
    <m/>
    <m/>
    <m/>
  </r>
  <r>
    <s v="P00173"/>
    <s v="Ishita Iyer"/>
    <n v="37"/>
    <s v="Male"/>
    <s v="Delhi"/>
    <x v="5"/>
    <x v="7"/>
    <s v="Fracture"/>
    <s v="Urgent"/>
    <d v="2024-01-12T00:00:00"/>
    <d v="2024-05-12T00:00:00"/>
    <n v="4"/>
    <x v="4"/>
    <s v="None"/>
    <n v="53157.89"/>
    <n v="3"/>
    <s v="Referred"/>
    <s v="36-50"/>
    <x v="0"/>
    <m/>
    <m/>
    <m/>
    <m/>
    <m/>
    <m/>
  </r>
  <r>
    <s v="P00174"/>
    <s v="Ananya R"/>
    <n v="70"/>
    <s v="Female"/>
    <s v="Coimbatore"/>
    <x v="3"/>
    <x v="1"/>
    <s v="Migraine"/>
    <s v="Emergency"/>
    <d v="2024-03-06T00:00:00"/>
    <d v="2024-07-06T00:00:00"/>
    <n v="4"/>
    <x v="4"/>
    <s v="CT Scan"/>
    <n v="21690.09"/>
    <n v="5"/>
    <s v="Home"/>
    <s v="66+"/>
    <x v="18"/>
    <m/>
    <m/>
    <m/>
    <m/>
    <m/>
    <m/>
  </r>
  <r>
    <s v="P00175"/>
    <s v="Deepa R"/>
    <n v="19"/>
    <s v="Other"/>
    <s v="Kochi"/>
    <x v="0"/>
    <x v="2"/>
    <s v="Migraine"/>
    <s v="Urgent"/>
    <d v="2024-10-13T00:00:00"/>
    <d v="2024-10-14T00:00:00"/>
    <n v="1"/>
    <x v="4"/>
    <s v="Blood Test"/>
    <n v="45467.44"/>
    <n v="5"/>
    <s v="Home"/>
    <s v="18-35"/>
    <x v="20"/>
    <m/>
    <m/>
    <m/>
    <m/>
    <m/>
    <m/>
  </r>
  <r>
    <s v="P00176"/>
    <s v="Aditya Iyer"/>
    <n v="56"/>
    <s v="Other"/>
    <s v="Hyderabad"/>
    <x v="3"/>
    <x v="2"/>
    <s v="Migraine"/>
    <s v="Emergency"/>
    <d v="2024-05-13T00:00:00"/>
    <d v="2024-05-15T00:00:00"/>
    <n v="2"/>
    <x v="3"/>
    <s v="Blood Test"/>
    <n v="35218.21"/>
    <n v="3"/>
    <s v="Referred"/>
    <s v="51-65"/>
    <x v="23"/>
    <m/>
    <m/>
    <m/>
    <m/>
    <m/>
    <m/>
  </r>
  <r>
    <s v="P00177"/>
    <s v="Arjun R"/>
    <n v="58"/>
    <s v="Male"/>
    <s v="Hyderabad"/>
    <x v="2"/>
    <x v="7"/>
    <s v="Kidney Disease"/>
    <s v="Elective"/>
    <d v="2024-11-17T00:00:00"/>
    <d v="2024-11-18T00:00:00"/>
    <n v="1"/>
    <x v="0"/>
    <s v="Blood Test"/>
    <n v="34506.46"/>
    <n v="3"/>
    <s v="Referred"/>
    <s v="51-65"/>
    <x v="21"/>
    <m/>
    <m/>
    <m/>
    <m/>
    <m/>
    <m/>
  </r>
  <r>
    <s v="P00178"/>
    <s v="Divya Singh"/>
    <n v="42"/>
    <s v="Female"/>
    <s v="Kochi"/>
    <x v="2"/>
    <x v="1"/>
    <s v="Fracture"/>
    <s v="Urgent"/>
    <d v="2024-03-04T00:00:00"/>
    <d v="2024-05-04T00:00:00"/>
    <n v="2"/>
    <x v="3"/>
    <s v="Blood Test"/>
    <n v="64823.51"/>
    <n v="1"/>
    <s v="Left Against Medical Advice"/>
    <s v="36-50"/>
    <x v="18"/>
    <m/>
    <m/>
    <m/>
    <m/>
    <m/>
    <m/>
  </r>
  <r>
    <s v="P00179"/>
    <s v="Aditya Devi"/>
    <n v="14"/>
    <s v="Female"/>
    <s v="Bengaluru"/>
    <x v="4"/>
    <x v="7"/>
    <s v="Asthma"/>
    <s v="Emergency"/>
    <d v="2024-04-05T00:00:00"/>
    <d v="2024-05-05T00:00:00"/>
    <n v="1"/>
    <x v="3"/>
    <s v="Ultrasound"/>
    <n v="26463.71"/>
    <n v="4"/>
    <s v="Left Against Medical Advice"/>
    <s v="Under 18"/>
    <x v="6"/>
    <m/>
    <m/>
    <m/>
    <m/>
    <m/>
    <m/>
  </r>
  <r>
    <s v="P00180"/>
    <s v="Divya Reddy"/>
    <n v="17"/>
    <s v="Female"/>
    <s v="Hyderabad"/>
    <x v="5"/>
    <x v="6"/>
    <s v="No Chronic Condition"/>
    <s v="Emergency"/>
    <d v="2024-05-12T00:00:00"/>
    <d v="2024-06-12T00:00:00"/>
    <n v="1"/>
    <x v="3"/>
    <s v="MRI"/>
    <n v="80784.479999999996"/>
    <n v="4"/>
    <s v="Transferred"/>
    <s v="Under 18"/>
    <x v="23"/>
    <m/>
    <m/>
    <m/>
    <m/>
    <m/>
    <m/>
  </r>
  <r>
    <s v="P00181"/>
    <s v="Vivaan R"/>
    <n v="58"/>
    <s v="Female"/>
    <s v="Madurai"/>
    <x v="1"/>
    <x v="4"/>
    <s v="Kidney Disease"/>
    <s v="Emergency"/>
    <d v="2024-05-02T00:00:00"/>
    <d v="2024-10-02T00:00:00"/>
    <n v="5"/>
    <x v="4"/>
    <s v="X-Ray"/>
    <n v="42075.43"/>
    <n v="4"/>
    <s v="Referred"/>
    <s v="51-65"/>
    <x v="23"/>
    <m/>
    <m/>
    <m/>
    <m/>
    <m/>
    <m/>
  </r>
  <r>
    <s v="P00182"/>
    <s v="Divya Devi"/>
    <n v="81"/>
    <s v="Other"/>
    <s v="Hyderabad"/>
    <x v="4"/>
    <x v="5"/>
    <s v="Migraine"/>
    <s v="Elective"/>
    <d v="2024-01-20T00:00:00"/>
    <d v="2024-01-28T00:00:00"/>
    <n v="8"/>
    <x v="0"/>
    <s v="X-Ray"/>
    <n v="98281.78"/>
    <n v="4"/>
    <s v="Home"/>
    <s v="66+"/>
    <x v="0"/>
    <m/>
    <m/>
    <m/>
    <m/>
    <m/>
    <m/>
  </r>
  <r>
    <s v="P00183"/>
    <s v="Priya Kumar"/>
    <n v="36"/>
    <s v="Female"/>
    <s v="Coimbatore"/>
    <x v="3"/>
    <x v="7"/>
    <s v="Asthma"/>
    <s v="Elective"/>
    <d v="2025-04-28T00:00:00"/>
    <d v="2025-01-05T00:00:00"/>
    <n v="3"/>
    <x v="1"/>
    <s v="None"/>
    <n v="19309.810000000001"/>
    <n v="4"/>
    <s v="Referred"/>
    <s v="36-50"/>
    <x v="5"/>
    <m/>
    <m/>
    <m/>
    <m/>
    <m/>
    <m/>
  </r>
  <r>
    <s v="P00184"/>
    <s v="Karthik Singh"/>
    <n v="23"/>
    <s v="Female"/>
    <s v="Kochi"/>
    <x v="5"/>
    <x v="1"/>
    <s v="Migraine"/>
    <s v="Emergency"/>
    <d v="2025-08-29T00:00:00"/>
    <d v="2025-07-09T00:00:00"/>
    <n v="9"/>
    <x v="4"/>
    <s v="Blood Test"/>
    <n v="173225.25"/>
    <n v="4"/>
    <s v="Home"/>
    <s v="18-35"/>
    <x v="19"/>
    <m/>
    <m/>
    <m/>
    <m/>
    <m/>
    <m/>
  </r>
  <r>
    <s v="P00185"/>
    <s v="Kavya Kumar"/>
    <n v="8"/>
    <s v="Female"/>
    <s v="Chennai"/>
    <x v="0"/>
    <x v="3"/>
    <s v="No Chronic Condition"/>
    <s v="Urgent"/>
    <d v="2025-08-09T00:00:00"/>
    <d v="2025-09-09T00:00:00"/>
    <n v="1"/>
    <x v="3"/>
    <s v="None"/>
    <n v="35184.75"/>
    <n v="5"/>
    <s v="Home"/>
    <s v="Under 18"/>
    <x v="19"/>
    <m/>
    <m/>
    <m/>
    <m/>
    <m/>
    <m/>
  </r>
  <r>
    <s v="P00186"/>
    <s v="Sanjay Reddy"/>
    <n v="68"/>
    <s v="Male"/>
    <s v="Delhi"/>
    <x v="2"/>
    <x v="0"/>
    <s v="Migraine"/>
    <s v="Elective"/>
    <d v="2024-03-15T00:00:00"/>
    <d v="2024-03-22T00:00:00"/>
    <n v="7"/>
    <x v="3"/>
    <s v="Ultrasound"/>
    <n v="34028.86"/>
    <n v="3"/>
    <s v="Transferred"/>
    <s v="66+"/>
    <x v="18"/>
    <m/>
    <m/>
    <m/>
    <m/>
    <m/>
    <m/>
  </r>
  <r>
    <s v="P00187"/>
    <s v="Deepa Reddy"/>
    <n v="29"/>
    <s v="Other"/>
    <s v="Salem"/>
    <x v="4"/>
    <x v="4"/>
    <s v="Asthma"/>
    <s v="Emergency"/>
    <d v="2025-08-26T00:00:00"/>
    <d v="2025-08-29T00:00:00"/>
    <n v="3"/>
    <x v="0"/>
    <s v="MRI"/>
    <n v="24972.71"/>
    <n v="1"/>
    <s v="Referred"/>
    <s v="18-35"/>
    <x v="19"/>
    <m/>
    <m/>
    <m/>
    <m/>
    <m/>
    <m/>
  </r>
  <r>
    <s v="P00188"/>
    <s v="Aditya Nair"/>
    <n v="82"/>
    <s v="Other"/>
    <s v="Delhi"/>
    <x v="4"/>
    <x v="7"/>
    <s v="Migraine"/>
    <s v="Elective"/>
    <d v="2024-04-16T00:00:00"/>
    <d v="2024-04-17T00:00:00"/>
    <n v="1"/>
    <x v="3"/>
    <s v="X-Ray"/>
    <n v="83713.710000000006"/>
    <n v="3"/>
    <s v="Home"/>
    <s v="66+"/>
    <x v="6"/>
    <m/>
    <m/>
    <m/>
    <m/>
    <m/>
    <m/>
  </r>
  <r>
    <s v="P00189"/>
    <s v="Divya R"/>
    <n v="45"/>
    <s v="Male"/>
    <s v="Delhi"/>
    <x v="3"/>
    <x v="2"/>
    <s v="Kidney Disease"/>
    <s v="Urgent"/>
    <d v="2024-04-20T00:00:00"/>
    <d v="2024-04-27T00:00:00"/>
    <n v="7"/>
    <x v="3"/>
    <s v="X-Ray"/>
    <n v="76369.259999999995"/>
    <n v="4"/>
    <s v="Left Against Medical Advice"/>
    <s v="36-50"/>
    <x v="6"/>
    <m/>
    <m/>
    <m/>
    <m/>
    <m/>
    <m/>
  </r>
  <r>
    <s v="P00190"/>
    <s v="Aditya R"/>
    <n v="10"/>
    <s v="Female"/>
    <s v="Mumbai"/>
    <x v="3"/>
    <x v="0"/>
    <s v="Migraine"/>
    <s v="Urgent"/>
    <d v="2024-10-28T00:00:00"/>
    <d v="2024-10-30T00:00:00"/>
    <n v="2"/>
    <x v="4"/>
    <s v="Ultrasound"/>
    <n v="24417.68"/>
    <n v="4"/>
    <s v="Home"/>
    <s v="Under 18"/>
    <x v="20"/>
    <m/>
    <m/>
    <m/>
    <m/>
    <m/>
    <m/>
  </r>
  <r>
    <s v="P00191"/>
    <s v="Manoj Devi"/>
    <n v="56"/>
    <s v="Other"/>
    <s v="Madurai"/>
    <x v="5"/>
    <x v="7"/>
    <s v="Pneumonia"/>
    <s v="Emergency"/>
    <d v="2024-06-17T00:00:00"/>
    <d v="2024-06-18T00:00:00"/>
    <n v="1"/>
    <x v="2"/>
    <s v="Blood Test"/>
    <n v="62895.360000000001"/>
    <n v="5"/>
    <s v="Left Against Medical Advice"/>
    <s v="51-65"/>
    <x v="9"/>
    <m/>
    <m/>
    <m/>
    <m/>
    <m/>
    <m/>
  </r>
  <r>
    <s v="P00192"/>
    <s v="Ananya R"/>
    <n v="74"/>
    <s v="Other"/>
    <s v="Delhi"/>
    <x v="4"/>
    <x v="5"/>
    <s v="Heart Disease"/>
    <s v="Elective"/>
    <d v="2025-05-17T00:00:00"/>
    <d v="2025-05-18T00:00:00"/>
    <n v="1"/>
    <x v="4"/>
    <s v="CT Scan"/>
    <n v="19080.04"/>
    <n v="3"/>
    <s v="Left Against Medical Advice"/>
    <s v="66+"/>
    <x v="4"/>
    <m/>
    <m/>
    <m/>
    <m/>
    <m/>
    <m/>
  </r>
  <r>
    <s v="P00193"/>
    <s v="Pooja Singh"/>
    <n v="85"/>
    <s v="Male"/>
    <s v="Madurai"/>
    <x v="0"/>
    <x v="2"/>
    <s v="Migraine"/>
    <s v="Elective"/>
    <d v="2024-03-04T00:00:00"/>
    <d v="2024-07-04T00:00:00"/>
    <n v="4"/>
    <x v="0"/>
    <s v="Blood Test"/>
    <n v="25620.55"/>
    <n v="2"/>
    <s v="Referred"/>
    <s v="66+"/>
    <x v="18"/>
    <m/>
    <m/>
    <m/>
    <m/>
    <m/>
    <m/>
  </r>
  <r>
    <s v="P00194"/>
    <s v="Divya Reddy"/>
    <n v="90"/>
    <s v="Other"/>
    <s v="Kochi"/>
    <x v="2"/>
    <x v="2"/>
    <s v="No Chronic Condition"/>
    <s v="Elective"/>
    <d v="2024-09-04T00:00:00"/>
    <d v="2024-04-15T00:00:00"/>
    <n v="6"/>
    <x v="0"/>
    <s v="X-Ray"/>
    <n v="28608.43"/>
    <n v="2"/>
    <s v="Left Against Medical Advice"/>
    <s v="66+"/>
    <x v="13"/>
    <m/>
    <m/>
    <m/>
    <m/>
    <m/>
    <m/>
  </r>
  <r>
    <s v="P00195"/>
    <s v="Sanjay Iyer"/>
    <n v="39"/>
    <s v="Female"/>
    <s v="Coimbatore"/>
    <x v="0"/>
    <x v="6"/>
    <s v="Hypertension"/>
    <s v="Emergency"/>
    <d v="2025-08-02T00:00:00"/>
    <d v="2025-09-02T00:00:00"/>
    <n v="1"/>
    <x v="4"/>
    <s v="Blood Test"/>
    <n v="130409.18"/>
    <n v="5"/>
    <s v="Left Against Medical Advice"/>
    <s v="36-50"/>
    <x v="19"/>
    <m/>
    <m/>
    <m/>
    <m/>
    <m/>
    <m/>
  </r>
  <r>
    <s v="P00196"/>
    <s v="Kavya Devi"/>
    <n v="26"/>
    <s v="Other"/>
    <s v="Kochi"/>
    <x v="1"/>
    <x v="0"/>
    <s v="Hypertension"/>
    <s v="Emergency"/>
    <d v="2024-05-31T00:00:00"/>
    <d v="2024-02-06T00:00:00"/>
    <n v="2"/>
    <x v="0"/>
    <s v="ECG"/>
    <n v="40331.24"/>
    <n v="4"/>
    <s v="Left Against Medical Advice"/>
    <s v="18-35"/>
    <x v="23"/>
    <m/>
    <m/>
    <m/>
    <m/>
    <m/>
    <m/>
  </r>
  <r>
    <s v="P00197"/>
    <s v="Ananya Nair"/>
    <n v="15"/>
    <s v="Male"/>
    <s v="Pune"/>
    <x v="5"/>
    <x v="0"/>
    <s v="Hypertension"/>
    <s v="Elective"/>
    <d v="2024-02-06T00:00:00"/>
    <d v="2024-07-06T00:00:00"/>
    <n v="5"/>
    <x v="4"/>
    <s v="ECG"/>
    <n v="53075.91"/>
    <n v="2"/>
    <s v="Left Against Medical Advice"/>
    <s v="Under 18"/>
    <x v="2"/>
    <m/>
    <m/>
    <m/>
    <m/>
    <m/>
    <m/>
  </r>
  <r>
    <s v="P00198"/>
    <s v="Sathya Kumar"/>
    <n v="5"/>
    <s v="Female"/>
    <s v="Delhi"/>
    <x v="5"/>
    <x v="2"/>
    <s v="Diabetes"/>
    <s v="Elective"/>
    <d v="2024-09-10T00:00:00"/>
    <d v="2024-10-10T00:00:00"/>
    <n v="1"/>
    <x v="2"/>
    <s v="MRI"/>
    <n v="40892.870000000003"/>
    <n v="5"/>
    <s v="Transferred"/>
    <s v="Under 18"/>
    <x v="13"/>
    <m/>
    <m/>
    <m/>
    <m/>
    <m/>
    <m/>
  </r>
  <r>
    <s v="P00199"/>
    <s v="Kavya Devi"/>
    <n v="40"/>
    <s v="Male"/>
    <s v="Pune"/>
    <x v="3"/>
    <x v="7"/>
    <s v="Asthma"/>
    <s v="Urgent"/>
    <d v="2025-05-18T00:00:00"/>
    <d v="2025-05-24T00:00:00"/>
    <n v="6"/>
    <x v="2"/>
    <s v="X-Ray"/>
    <n v="33935.07"/>
    <n v="5"/>
    <s v="Left Against Medical Advice"/>
    <s v="36-50"/>
    <x v="4"/>
    <m/>
    <m/>
    <m/>
    <m/>
    <m/>
    <m/>
  </r>
  <r>
    <s v="P00200"/>
    <s v="Rahul Kumar"/>
    <n v="28"/>
    <s v="Male"/>
    <s v="Hyderabad"/>
    <x v="0"/>
    <x v="6"/>
    <s v="Hypertension"/>
    <s v="Emergency"/>
    <d v="2025-11-05T00:00:00"/>
    <d v="2025-05-23T00:00:00"/>
    <n v="12"/>
    <x v="2"/>
    <s v="X-Ray"/>
    <n v="71858.83"/>
    <n v="3"/>
    <s v="Home"/>
    <s v="18-35"/>
    <x v="11"/>
    <m/>
    <m/>
    <m/>
    <m/>
    <m/>
    <m/>
  </r>
  <r>
    <s v="P00201"/>
    <s v="Aarav Iyer"/>
    <n v="59"/>
    <s v="Female"/>
    <s v="Mumbai"/>
    <x v="1"/>
    <x v="5"/>
    <s v="Skin Infection"/>
    <s v="Urgent"/>
    <d v="2025-04-01T00:00:00"/>
    <d v="2025-06-01T00:00:00"/>
    <n v="2"/>
    <x v="4"/>
    <s v="X-Ray"/>
    <n v="40976.79"/>
    <n v="5"/>
    <s v="Left Against Medical Advice"/>
    <s v="51-65"/>
    <x v="5"/>
    <m/>
    <m/>
    <m/>
    <m/>
    <m/>
    <m/>
  </r>
  <r>
    <s v="P00202"/>
    <s v="Deepa Iyer"/>
    <n v="76"/>
    <s v="Other"/>
    <s v="Coimbatore"/>
    <x v="2"/>
    <x v="0"/>
    <s v="Fracture"/>
    <s v="Emergency"/>
    <d v="2024-12-24T00:00:00"/>
    <d v="2024-12-25T00:00:00"/>
    <n v="1"/>
    <x v="3"/>
    <s v="MRI"/>
    <n v="14003.89"/>
    <n v="2"/>
    <s v="Left Against Medical Advice"/>
    <s v="66+"/>
    <x v="8"/>
    <m/>
    <m/>
    <m/>
    <m/>
    <m/>
    <m/>
  </r>
  <r>
    <s v="P00203"/>
    <s v="Ananya Devi"/>
    <n v="66"/>
    <s v="Female"/>
    <s v="Pune"/>
    <x v="1"/>
    <x v="6"/>
    <s v="No Chronic Condition"/>
    <s v="Elective"/>
    <d v="2025-11-29T00:00:00"/>
    <d v="2025-03-12T00:00:00"/>
    <n v="4"/>
    <x v="4"/>
    <s v="MRI"/>
    <n v="98746.54"/>
    <n v="4"/>
    <s v="Referred"/>
    <s v="66+"/>
    <x v="11"/>
    <m/>
    <m/>
    <m/>
    <m/>
    <m/>
    <m/>
  </r>
  <r>
    <s v="P00204"/>
    <s v="Meera Devi"/>
    <n v="60"/>
    <s v="Male"/>
    <s v="Madurai"/>
    <x v="2"/>
    <x v="0"/>
    <s v="Diabetes"/>
    <s v="Emergency"/>
    <d v="2025-11-24T00:00:00"/>
    <d v="2025-04-12T00:00:00"/>
    <n v="10"/>
    <x v="4"/>
    <s v="Blood Test"/>
    <n v="61675.63"/>
    <n v="4"/>
    <s v="Transferred"/>
    <s v="51-65"/>
    <x v="11"/>
    <m/>
    <m/>
    <m/>
    <m/>
    <m/>
    <m/>
  </r>
  <r>
    <s v="P00205"/>
    <s v="Vivaan Reddy"/>
    <n v="36"/>
    <s v="Other"/>
    <s v="Mumbai"/>
    <x v="2"/>
    <x v="4"/>
    <s v="Heart Disease"/>
    <s v="Emergency"/>
    <d v="2024-11-28T00:00:00"/>
    <d v="2024-11-30T00:00:00"/>
    <n v="2"/>
    <x v="2"/>
    <s v="Ultrasound"/>
    <n v="22944.84"/>
    <n v="5"/>
    <s v="Left Against Medical Advice"/>
    <s v="36-50"/>
    <x v="21"/>
    <m/>
    <m/>
    <m/>
    <m/>
    <m/>
    <m/>
  </r>
  <r>
    <s v="P00206"/>
    <s v="Manoj Singh"/>
    <n v="38"/>
    <s v="Male"/>
    <s v="Mumbai"/>
    <x v="3"/>
    <x v="7"/>
    <s v="Migraine"/>
    <s v="Elective"/>
    <d v="2025-04-03T00:00:00"/>
    <d v="2025-07-03T00:00:00"/>
    <n v="3"/>
    <x v="3"/>
    <s v="None"/>
    <n v="65038.14"/>
    <n v="3"/>
    <s v="Referred"/>
    <s v="36-50"/>
    <x v="5"/>
    <m/>
    <m/>
    <m/>
    <m/>
    <m/>
    <m/>
  </r>
  <r>
    <s v="P00207"/>
    <s v="Ananya Reddy"/>
    <n v="38"/>
    <s v="Female"/>
    <s v="Mumbai"/>
    <x v="5"/>
    <x v="6"/>
    <s v="Migraine"/>
    <s v="Elective"/>
    <d v="2025-04-27T00:00:00"/>
    <d v="2025-04-05T00:00:00"/>
    <n v="7"/>
    <x v="0"/>
    <s v="MRI"/>
    <n v="83684.899999999994"/>
    <n v="3"/>
    <s v="Left Against Medical Advice"/>
    <s v="36-50"/>
    <x v="5"/>
    <m/>
    <m/>
    <m/>
    <m/>
    <m/>
    <m/>
  </r>
  <r>
    <s v="P00208"/>
    <s v="Divya Devi"/>
    <n v="16"/>
    <s v="Male"/>
    <s v="Pune"/>
    <x v="4"/>
    <x v="0"/>
    <s v="Kidney Disease"/>
    <s v="Emergency"/>
    <d v="2024-02-24T00:00:00"/>
    <d v="2024-02-29T00:00:00"/>
    <n v="5"/>
    <x v="3"/>
    <s v="X-Ray"/>
    <n v="76928.100000000006"/>
    <n v="4"/>
    <s v="Transferred"/>
    <s v="Under 18"/>
    <x v="2"/>
    <m/>
    <m/>
    <m/>
    <m/>
    <m/>
    <m/>
  </r>
  <r>
    <s v="P00209"/>
    <s v="Kavya Kumar"/>
    <n v="53"/>
    <s v="Other"/>
    <s v="Chennai"/>
    <x v="1"/>
    <x v="0"/>
    <s v="Kidney Disease"/>
    <s v="Elective"/>
    <d v="2025-04-13T00:00:00"/>
    <d v="2025-04-15T00:00:00"/>
    <n v="2"/>
    <x v="3"/>
    <s v="None"/>
    <n v="36281.949999999997"/>
    <n v="5"/>
    <s v="Referred"/>
    <s v="51-65"/>
    <x v="5"/>
    <m/>
    <m/>
    <m/>
    <m/>
    <m/>
    <m/>
  </r>
  <r>
    <s v="P00210"/>
    <s v="Aarav Kumar"/>
    <n v="74"/>
    <s v="Female"/>
    <s v="Kochi"/>
    <x v="0"/>
    <x v="2"/>
    <s v="Pneumonia"/>
    <s v="Urgent"/>
    <d v="2025-05-16T00:00:00"/>
    <d v="2025-05-17T00:00:00"/>
    <n v="1"/>
    <x v="1"/>
    <s v="Blood Test"/>
    <n v="43318.86"/>
    <n v="4"/>
    <s v="Transferred"/>
    <s v="66+"/>
    <x v="4"/>
    <m/>
    <m/>
    <m/>
    <m/>
    <m/>
    <m/>
  </r>
  <r>
    <s v="P00211"/>
    <s v="Rahul Devi"/>
    <n v="68"/>
    <s v="Female"/>
    <s v="Hyderabad"/>
    <x v="4"/>
    <x v="7"/>
    <s v="Migraine"/>
    <s v="Emergency"/>
    <d v="2024-01-19T00:00:00"/>
    <d v="2024-01-20T00:00:00"/>
    <n v="1"/>
    <x v="1"/>
    <s v="MRI"/>
    <n v="34782.74"/>
    <n v="2"/>
    <s v="Left Against Medical Advice"/>
    <s v="66+"/>
    <x v="0"/>
    <m/>
    <m/>
    <m/>
    <m/>
    <m/>
    <m/>
  </r>
  <r>
    <s v="P00212"/>
    <s v="Sanjay Reddy"/>
    <n v="67"/>
    <s v="Other"/>
    <s v="Chennai"/>
    <x v="0"/>
    <x v="6"/>
    <s v="Migraine"/>
    <s v="Emergency"/>
    <d v="2025-06-20T00:00:00"/>
    <d v="2025-06-23T00:00:00"/>
    <n v="3"/>
    <x v="3"/>
    <s v="X-Ray"/>
    <n v="139036.09"/>
    <n v="5"/>
    <s v="Home"/>
    <s v="66+"/>
    <x v="10"/>
    <m/>
    <m/>
    <m/>
    <m/>
    <m/>
    <m/>
  </r>
  <r>
    <s v="P00213"/>
    <s v="Vivaan Kumar"/>
    <n v="76"/>
    <s v="Other"/>
    <s v="Bengaluru"/>
    <x v="2"/>
    <x v="1"/>
    <s v="Pneumonia"/>
    <s v="Emergency"/>
    <d v="2024-06-22T00:00:00"/>
    <d v="2024-06-25T00:00:00"/>
    <n v="3"/>
    <x v="2"/>
    <s v="Ultrasound"/>
    <n v="108678.42"/>
    <n v="4"/>
    <s v="Home"/>
    <s v="66+"/>
    <x v="9"/>
    <m/>
    <m/>
    <m/>
    <m/>
    <m/>
    <m/>
  </r>
  <r>
    <s v="P00214"/>
    <s v="Arjun Devi"/>
    <n v="54"/>
    <s v="Male"/>
    <s v="Salem"/>
    <x v="3"/>
    <x v="6"/>
    <s v="Heart Disease"/>
    <s v="Urgent"/>
    <d v="2025-01-24T00:00:00"/>
    <d v="2025-01-28T00:00:00"/>
    <n v="4"/>
    <x v="3"/>
    <s v="CT Scan"/>
    <n v="110895.1"/>
    <n v="3"/>
    <s v="Home"/>
    <s v="51-65"/>
    <x v="22"/>
    <m/>
    <m/>
    <m/>
    <m/>
    <m/>
    <m/>
  </r>
  <r>
    <s v="P00215"/>
    <s v="Rahul Iyer"/>
    <n v="66"/>
    <s v="Other"/>
    <s v="Mumbai"/>
    <x v="2"/>
    <x v="5"/>
    <s v="Heart Disease"/>
    <s v="Elective"/>
    <d v="2025-09-24T00:00:00"/>
    <d v="2025-09-26T00:00:00"/>
    <n v="2"/>
    <x v="1"/>
    <s v="X-Ray"/>
    <n v="56457.13"/>
    <n v="5"/>
    <s v="Home"/>
    <s v="66+"/>
    <x v="7"/>
    <m/>
    <m/>
    <m/>
    <m/>
    <m/>
    <m/>
  </r>
  <r>
    <s v="P00216"/>
    <s v="Aditya R"/>
    <n v="71"/>
    <s v="Male"/>
    <s v="Bengaluru"/>
    <x v="5"/>
    <x v="0"/>
    <s v="No Chronic Condition"/>
    <s v="Urgent"/>
    <d v="2024-07-31T00:00:00"/>
    <d v="2024-01-08T00:00:00"/>
    <n v="1"/>
    <x v="3"/>
    <s v="CT Scan"/>
    <n v="60838.6"/>
    <n v="3"/>
    <s v="Transferred"/>
    <s v="66+"/>
    <x v="12"/>
    <m/>
    <m/>
    <m/>
    <m/>
    <m/>
    <m/>
  </r>
  <r>
    <s v="P00217"/>
    <s v="Arjun R"/>
    <n v="34"/>
    <s v="Male"/>
    <s v="Chennai"/>
    <x v="4"/>
    <x v="4"/>
    <s v="Migraine"/>
    <s v="Emergency"/>
    <d v="2024-02-21T00:00:00"/>
    <d v="2024-01-03T00:00:00"/>
    <n v="9"/>
    <x v="3"/>
    <s v="MRI"/>
    <n v="88145.64"/>
    <n v="3"/>
    <s v="Transferred"/>
    <s v="18-35"/>
    <x v="2"/>
    <m/>
    <m/>
    <m/>
    <m/>
    <m/>
    <m/>
  </r>
  <r>
    <s v="P00218"/>
    <s v="Divya Singh"/>
    <n v="57"/>
    <s v="Other"/>
    <s v="Pune"/>
    <x v="2"/>
    <x v="6"/>
    <s v="Hypertension"/>
    <s v="Emergency"/>
    <d v="2024-01-10T00:00:00"/>
    <d v="2024-02-10T00:00:00"/>
    <n v="1"/>
    <x v="2"/>
    <s v="X-Ray"/>
    <n v="85239.72"/>
    <n v="3"/>
    <s v="Home"/>
    <s v="51-65"/>
    <x v="0"/>
    <m/>
    <m/>
    <m/>
    <m/>
    <m/>
    <m/>
  </r>
  <r>
    <s v="P00219"/>
    <s v="Ishita Kumar"/>
    <n v="21"/>
    <s v="Female"/>
    <s v="Hyderabad"/>
    <x v="1"/>
    <x v="5"/>
    <s v="Asthma"/>
    <s v="Elective"/>
    <d v="2025-02-03T00:00:00"/>
    <d v="2025-06-03T00:00:00"/>
    <n v="4"/>
    <x v="2"/>
    <s v="CT Scan"/>
    <n v="56626.59"/>
    <n v="5"/>
    <s v="Left Against Medical Advice"/>
    <s v="18-35"/>
    <x v="15"/>
    <m/>
    <m/>
    <m/>
    <m/>
    <m/>
    <m/>
  </r>
  <r>
    <s v="P00220"/>
    <s v="Ishita R"/>
    <n v="6"/>
    <s v="Female"/>
    <s v="Pune"/>
    <x v="2"/>
    <x v="7"/>
    <s v="Migraine"/>
    <s v="Urgent"/>
    <d v="2024-09-24T00:00:00"/>
    <d v="2024-09-26T00:00:00"/>
    <n v="2"/>
    <x v="3"/>
    <s v="CT Scan"/>
    <n v="49894.28"/>
    <n v="4"/>
    <s v="Transferred"/>
    <s v="Under 18"/>
    <x v="13"/>
    <m/>
    <m/>
    <m/>
    <m/>
    <m/>
    <m/>
  </r>
  <r>
    <s v="P00221"/>
    <s v="Lakshmi Sharma"/>
    <n v="85"/>
    <s v="Other"/>
    <s v="Bengaluru"/>
    <x v="1"/>
    <x v="1"/>
    <s v="Diabetes"/>
    <s v="Elective"/>
    <d v="2025-10-18T00:00:00"/>
    <d v="2025-10-19T00:00:00"/>
    <n v="1"/>
    <x v="3"/>
    <s v="MRI"/>
    <n v="79090.070000000007"/>
    <n v="5"/>
    <s v="Transferred"/>
    <s v="66+"/>
    <x v="17"/>
    <m/>
    <m/>
    <m/>
    <m/>
    <m/>
    <m/>
  </r>
  <r>
    <s v="P00222"/>
    <s v="Pooja R"/>
    <n v="7"/>
    <s v="Other"/>
    <s v="Delhi"/>
    <x v="1"/>
    <x v="7"/>
    <s v="Hypertension"/>
    <s v="Elective"/>
    <d v="2024-08-16T00:00:00"/>
    <d v="2024-08-22T00:00:00"/>
    <n v="6"/>
    <x v="2"/>
    <s v="CT Scan"/>
    <n v="45513.91"/>
    <n v="5"/>
    <s v="Home"/>
    <s v="Under 18"/>
    <x v="3"/>
    <m/>
    <m/>
    <m/>
    <m/>
    <m/>
    <m/>
  </r>
  <r>
    <s v="P00223"/>
    <s v="Pooja Nair"/>
    <n v="14"/>
    <s v="Male"/>
    <s v="Mumbai"/>
    <x v="4"/>
    <x v="4"/>
    <s v="Skin Infection"/>
    <s v="Emergency"/>
    <d v="2025-02-26T00:00:00"/>
    <d v="2025-02-27T00:00:00"/>
    <n v="1"/>
    <x v="4"/>
    <s v="MRI"/>
    <n v="53050.28"/>
    <n v="4"/>
    <s v="Left Against Medical Advice"/>
    <s v="Under 18"/>
    <x v="15"/>
    <m/>
    <m/>
    <m/>
    <m/>
    <m/>
    <m/>
  </r>
  <r>
    <s v="P00224"/>
    <s v="Manoj Nair"/>
    <n v="85"/>
    <s v="Male"/>
    <s v="Bengaluru"/>
    <x v="4"/>
    <x v="1"/>
    <s v="Migraine"/>
    <s v="Emergency"/>
    <d v="2025-08-04T00:00:00"/>
    <d v="2025-09-04T00:00:00"/>
    <n v="1"/>
    <x v="4"/>
    <s v="X-Ray"/>
    <n v="67138.7"/>
    <n v="5"/>
    <s v="Left Against Medical Advice"/>
    <s v="66+"/>
    <x v="19"/>
    <m/>
    <m/>
    <m/>
    <m/>
    <m/>
    <m/>
  </r>
  <r>
    <s v="P00225"/>
    <s v="Kavya R"/>
    <n v="14"/>
    <s v="Male"/>
    <s v="Pune"/>
    <x v="4"/>
    <x v="2"/>
    <s v="Heart Disease"/>
    <s v="Urgent"/>
    <d v="2025-09-17T00:00:00"/>
    <d v="2025-09-18T00:00:00"/>
    <n v="1"/>
    <x v="0"/>
    <s v="Blood Test"/>
    <n v="45364.36"/>
    <n v="5"/>
    <s v="Left Against Medical Advice"/>
    <s v="Under 18"/>
    <x v="7"/>
    <m/>
    <m/>
    <m/>
    <m/>
    <m/>
    <m/>
  </r>
  <r>
    <s v="P00226"/>
    <s v="Rahul Sharma"/>
    <n v="59"/>
    <s v="Other"/>
    <s v="Salem"/>
    <x v="0"/>
    <x v="1"/>
    <s v="Skin Infection"/>
    <s v="Urgent"/>
    <d v="2025-08-26T00:00:00"/>
    <d v="2025-08-27T00:00:00"/>
    <n v="1"/>
    <x v="3"/>
    <s v="Blood Test"/>
    <n v="156937.26"/>
    <n v="4"/>
    <s v="Left Against Medical Advice"/>
    <s v="51-65"/>
    <x v="19"/>
    <m/>
    <m/>
    <m/>
    <m/>
    <m/>
    <m/>
  </r>
  <r>
    <s v="P00227"/>
    <s v="Ananya Singh"/>
    <n v="85"/>
    <s v="Other"/>
    <s v="Hyderabad"/>
    <x v="0"/>
    <x v="7"/>
    <s v="Fracture"/>
    <s v="Elective"/>
    <d v="2025-12-09T00:00:00"/>
    <d v="2025-09-16T00:00:00"/>
    <n v="4"/>
    <x v="0"/>
    <s v="Ultrasound"/>
    <n v="41044.51"/>
    <n v="4"/>
    <s v="Transferred"/>
    <s v="66+"/>
    <x v="1"/>
    <m/>
    <m/>
    <m/>
    <m/>
    <m/>
    <m/>
  </r>
  <r>
    <s v="P00228"/>
    <s v="Meera Sharma"/>
    <n v="90"/>
    <s v="Other"/>
    <s v="Hyderabad"/>
    <x v="3"/>
    <x v="7"/>
    <s v="Heart Disease"/>
    <s v="Urgent"/>
    <d v="2024-11-17T00:00:00"/>
    <d v="2024-11-24T00:00:00"/>
    <n v="7"/>
    <x v="1"/>
    <s v="Ultrasound"/>
    <n v="27309.03"/>
    <n v="5"/>
    <s v="Home"/>
    <s v="66+"/>
    <x v="21"/>
    <m/>
    <m/>
    <m/>
    <m/>
    <m/>
    <m/>
  </r>
  <r>
    <s v="P00229"/>
    <s v="Aarav R"/>
    <n v="46"/>
    <s v="Other"/>
    <s v="Chennai"/>
    <x v="1"/>
    <x v="2"/>
    <s v="Skin Infection"/>
    <s v="Emergency"/>
    <d v="2025-06-05T00:00:00"/>
    <d v="2025-11-05T00:00:00"/>
    <n v="5"/>
    <x v="2"/>
    <s v="Ultrasound"/>
    <n v="32872.74"/>
    <n v="5"/>
    <s v="Home"/>
    <s v="36-50"/>
    <x v="10"/>
    <m/>
    <m/>
    <m/>
    <m/>
    <m/>
    <m/>
  </r>
  <r>
    <s v="P00230"/>
    <s v="Pooja R"/>
    <n v="26"/>
    <s v="Male"/>
    <s v="Salem"/>
    <x v="2"/>
    <x v="1"/>
    <s v="Fracture"/>
    <s v="Urgent"/>
    <d v="2024-06-13T00:00:00"/>
    <d v="2024-06-19T00:00:00"/>
    <n v="6"/>
    <x v="0"/>
    <s v="None"/>
    <n v="45368.39"/>
    <n v="4"/>
    <s v="Referred"/>
    <s v="18-35"/>
    <x v="9"/>
    <m/>
    <m/>
    <m/>
    <m/>
    <m/>
    <m/>
  </r>
  <r>
    <s v="P00231"/>
    <s v="Kavya Kumar"/>
    <n v="83"/>
    <s v="Other"/>
    <s v="Chennai"/>
    <x v="2"/>
    <x v="4"/>
    <s v="Diabetes"/>
    <s v="Elective"/>
    <d v="2025-02-02T00:00:00"/>
    <d v="2025-06-02T00:00:00"/>
    <n v="4"/>
    <x v="3"/>
    <s v="ECG"/>
    <n v="79633.39"/>
    <n v="4"/>
    <s v="Left Against Medical Advice"/>
    <s v="66+"/>
    <x v="15"/>
    <m/>
    <m/>
    <m/>
    <m/>
    <m/>
    <m/>
  </r>
  <r>
    <s v="P00232"/>
    <s v="Aditya Sharma"/>
    <n v="29"/>
    <s v="Other"/>
    <s v="Hyderabad"/>
    <x v="2"/>
    <x v="7"/>
    <s v="Heart Disease"/>
    <s v="Urgent"/>
    <d v="2025-12-22T00:00:00"/>
    <d v="2025-12-28T00:00:00"/>
    <n v="6"/>
    <x v="2"/>
    <s v="CT Scan"/>
    <n v="33474.97"/>
    <n v="3"/>
    <s v="Home"/>
    <s v="18-35"/>
    <x v="1"/>
    <m/>
    <m/>
    <m/>
    <m/>
    <m/>
    <m/>
  </r>
  <r>
    <s v="P00233"/>
    <s v="Rohan Kumar"/>
    <n v="55"/>
    <s v="Male"/>
    <s v="Hyderabad"/>
    <x v="5"/>
    <x v="4"/>
    <s v="Diabetes"/>
    <s v="Urgent"/>
    <d v="2025-07-23T00:00:00"/>
    <d v="2025-07-24T00:00:00"/>
    <n v="1"/>
    <x v="2"/>
    <s v="None"/>
    <n v="36131.08"/>
    <n v="5"/>
    <s v="Transferred"/>
    <s v="51-65"/>
    <x v="16"/>
    <m/>
    <m/>
    <m/>
    <m/>
    <m/>
    <m/>
  </r>
  <r>
    <s v="P00234"/>
    <s v="Sanjay Reddy"/>
    <n v="63"/>
    <s v="Other"/>
    <s v="Kochi"/>
    <x v="3"/>
    <x v="7"/>
    <s v="Asthma"/>
    <s v="Elective"/>
    <d v="2025-07-17T00:00:00"/>
    <d v="2025-07-18T00:00:00"/>
    <n v="1"/>
    <x v="2"/>
    <s v="MRI"/>
    <n v="50004.26"/>
    <n v="5"/>
    <s v="Referred"/>
    <s v="51-65"/>
    <x v="16"/>
    <m/>
    <m/>
    <m/>
    <m/>
    <m/>
    <m/>
  </r>
  <r>
    <s v="P00235"/>
    <s v="Aarav R"/>
    <n v="28"/>
    <s v="Other"/>
    <s v="Mumbai"/>
    <x v="1"/>
    <x v="5"/>
    <s v="Skin Infection"/>
    <s v="Emergency"/>
    <d v="2024-05-12T00:00:00"/>
    <d v="2024-08-12T00:00:00"/>
    <n v="3"/>
    <x v="0"/>
    <s v="ECG"/>
    <n v="72129.25"/>
    <n v="5"/>
    <s v="Referred"/>
    <s v="18-35"/>
    <x v="23"/>
    <m/>
    <m/>
    <m/>
    <m/>
    <m/>
    <m/>
  </r>
  <r>
    <s v="P00236"/>
    <s v="Rahul Nair"/>
    <n v="6"/>
    <s v="Other"/>
    <s v="Kochi"/>
    <x v="3"/>
    <x v="2"/>
    <s v="Fracture"/>
    <s v="Elective"/>
    <d v="2024-11-24T00:00:00"/>
    <d v="2024-10-12T00:00:00"/>
    <n v="16"/>
    <x v="4"/>
    <s v="Blood Test"/>
    <n v="64296.65"/>
    <n v="3"/>
    <s v="Transferred"/>
    <s v="Under 18"/>
    <x v="21"/>
    <m/>
    <m/>
    <m/>
    <m/>
    <m/>
    <m/>
  </r>
  <r>
    <s v="P00237"/>
    <s v="Nisha R"/>
    <n v="84"/>
    <s v="Female"/>
    <s v="Coimbatore"/>
    <x v="3"/>
    <x v="1"/>
    <s v="Hypertension"/>
    <s v="Urgent"/>
    <d v="2024-11-24T00:00:00"/>
    <d v="2024-11-25T00:00:00"/>
    <n v="1"/>
    <x v="4"/>
    <s v="Ultrasound"/>
    <n v="48380.95"/>
    <n v="3"/>
    <s v="Home"/>
    <s v="66+"/>
    <x v="21"/>
    <m/>
    <m/>
    <m/>
    <m/>
    <m/>
    <m/>
  </r>
  <r>
    <s v="P00238"/>
    <s v="Priya Reddy"/>
    <n v="88"/>
    <s v="Female"/>
    <s v="Pune"/>
    <x v="1"/>
    <x v="4"/>
    <s v="Skin Infection"/>
    <s v="Urgent"/>
    <d v="2024-01-25T00:00:00"/>
    <d v="2024-01-26T00:00:00"/>
    <n v="1"/>
    <x v="4"/>
    <s v="CT Scan"/>
    <n v="17142.27"/>
    <n v="5"/>
    <s v="Transferred"/>
    <s v="66+"/>
    <x v="0"/>
    <m/>
    <m/>
    <m/>
    <m/>
    <m/>
    <m/>
  </r>
  <r>
    <s v="P00239"/>
    <s v="Meera R"/>
    <n v="3"/>
    <s v="Male"/>
    <s v="Madurai"/>
    <x v="2"/>
    <x v="0"/>
    <s v="No Chronic Condition"/>
    <s v="Elective"/>
    <d v="2025-11-20T00:00:00"/>
    <d v="2025-11-24T00:00:00"/>
    <n v="4"/>
    <x v="0"/>
    <s v="Blood Test"/>
    <n v="15322.73"/>
    <n v="5"/>
    <s v="Transferred"/>
    <s v="Under 18"/>
    <x v="11"/>
    <m/>
    <m/>
    <m/>
    <m/>
    <m/>
    <m/>
  </r>
  <r>
    <s v="P00240"/>
    <s v="Manoj Devi"/>
    <n v="57"/>
    <s v="Male"/>
    <s v="Hyderabad"/>
    <x v="5"/>
    <x v="7"/>
    <s v="Asthma"/>
    <s v="Urgent"/>
    <d v="2025-08-02T00:00:00"/>
    <d v="2025-09-02T00:00:00"/>
    <n v="1"/>
    <x v="1"/>
    <s v="Blood Test"/>
    <n v="66513.039999999994"/>
    <n v="5"/>
    <s v="Referred"/>
    <s v="51-65"/>
    <x v="19"/>
    <m/>
    <m/>
    <m/>
    <m/>
    <m/>
    <m/>
  </r>
  <r>
    <s v="P00241"/>
    <s v="Meera Iyer"/>
    <n v="16"/>
    <s v="Female"/>
    <s v="Pune"/>
    <x v="2"/>
    <x v="0"/>
    <s v="Fracture"/>
    <s v="Urgent"/>
    <d v="2024-06-01T00:00:00"/>
    <d v="2024-11-01T00:00:00"/>
    <n v="5"/>
    <x v="3"/>
    <s v="X-Ray"/>
    <n v="27333.86"/>
    <n v="5"/>
    <s v="Referred"/>
    <s v="Under 18"/>
    <x v="9"/>
    <m/>
    <m/>
    <m/>
    <m/>
    <m/>
    <m/>
  </r>
  <r>
    <s v="P00242"/>
    <s v="Aditya Devi"/>
    <n v="29"/>
    <s v="Other"/>
    <s v="Bengaluru"/>
    <x v="0"/>
    <x v="1"/>
    <s v="Skin Infection"/>
    <s v="Urgent"/>
    <d v="2024-09-15T00:00:00"/>
    <d v="2024-09-16T00:00:00"/>
    <n v="1"/>
    <x v="0"/>
    <s v="CT Scan"/>
    <n v="77400.86"/>
    <n v="3"/>
    <s v="Transferred"/>
    <s v="18-35"/>
    <x v="13"/>
    <m/>
    <m/>
    <m/>
    <m/>
    <m/>
    <m/>
  </r>
  <r>
    <s v="P00243"/>
    <s v="Ishita Devi"/>
    <n v="46"/>
    <s v="Female"/>
    <s v="Salem"/>
    <x v="0"/>
    <x v="0"/>
    <s v="Heart Disease"/>
    <s v="Urgent"/>
    <d v="2025-11-18T00:00:00"/>
    <d v="2025-11-20T00:00:00"/>
    <n v="2"/>
    <x v="0"/>
    <s v="MRI"/>
    <n v="35198.370000000003"/>
    <n v="4"/>
    <s v="Transferred"/>
    <s v="36-50"/>
    <x v="11"/>
    <m/>
    <m/>
    <m/>
    <m/>
    <m/>
    <m/>
  </r>
  <r>
    <s v="P00244"/>
    <s v="Kavya Singh"/>
    <n v="55"/>
    <s v="Female"/>
    <s v="Delhi"/>
    <x v="1"/>
    <x v="2"/>
    <s v="Fracture"/>
    <s v="Elective"/>
    <d v="2024-05-01T00:00:00"/>
    <d v="2024-07-01T00:00:00"/>
    <n v="2"/>
    <x v="1"/>
    <s v="CT Scan"/>
    <n v="73328.03"/>
    <n v="3"/>
    <s v="Home"/>
    <s v="51-65"/>
    <x v="23"/>
    <m/>
    <m/>
    <m/>
    <m/>
    <m/>
    <m/>
  </r>
  <r>
    <s v="P00245"/>
    <s v="Aditya Kumar"/>
    <n v="23"/>
    <s v="Other"/>
    <s v="Kochi"/>
    <x v="2"/>
    <x v="6"/>
    <s v="Skin Infection"/>
    <s v="Emergency"/>
    <d v="2025-09-13T00:00:00"/>
    <d v="2025-09-23T00:00:00"/>
    <n v="10"/>
    <x v="0"/>
    <s v="ECG"/>
    <n v="61245.67"/>
    <n v="4"/>
    <s v="Left Against Medical Advice"/>
    <s v="18-35"/>
    <x v="7"/>
    <m/>
    <m/>
    <m/>
    <m/>
    <m/>
    <m/>
  </r>
  <r>
    <s v="P00246"/>
    <s v="Deepa Devi"/>
    <n v="76"/>
    <s v="Female"/>
    <s v="Hyderabad"/>
    <x v="1"/>
    <x v="5"/>
    <s v="Asthma"/>
    <s v="Urgent"/>
    <d v="2024-07-02T00:00:00"/>
    <d v="2024-09-02T00:00:00"/>
    <n v="2"/>
    <x v="0"/>
    <s v="Blood Test"/>
    <n v="38704.76"/>
    <n v="3"/>
    <s v="Left Against Medical Advice"/>
    <s v="66+"/>
    <x v="12"/>
    <m/>
    <m/>
    <m/>
    <m/>
    <m/>
    <m/>
  </r>
  <r>
    <s v="P00247"/>
    <s v="Deepa Sharma"/>
    <n v="47"/>
    <s v="Other"/>
    <s v="Delhi"/>
    <x v="5"/>
    <x v="6"/>
    <s v="Skin Infection"/>
    <s v="Emergency"/>
    <d v="2024-11-01T00:00:00"/>
    <d v="2024-01-13T00:00:00"/>
    <n v="2"/>
    <x v="3"/>
    <s v="None"/>
    <n v="29884.48"/>
    <n v="4"/>
    <s v="Left Against Medical Advice"/>
    <s v="36-50"/>
    <x v="21"/>
    <m/>
    <m/>
    <m/>
    <m/>
    <m/>
    <m/>
  </r>
  <r>
    <s v="P00248"/>
    <s v="Kavya R"/>
    <n v="30"/>
    <s v="Female"/>
    <s v="Kochi"/>
    <x v="2"/>
    <x v="3"/>
    <s v="Pneumonia"/>
    <s v="Elective"/>
    <d v="2024-09-27T00:00:00"/>
    <d v="2024-09-29T00:00:00"/>
    <n v="2"/>
    <x v="1"/>
    <s v="ECG"/>
    <n v="74482.820000000007"/>
    <n v="2"/>
    <s v="Referred"/>
    <s v="18-35"/>
    <x v="13"/>
    <m/>
    <m/>
    <m/>
    <m/>
    <m/>
    <m/>
  </r>
  <r>
    <s v="P00249"/>
    <s v="Sathya Reddy"/>
    <n v="49"/>
    <s v="Other"/>
    <s v="Mumbai"/>
    <x v="5"/>
    <x v="0"/>
    <s v="Skin Infection"/>
    <s v="Elective"/>
    <d v="2025-01-22T00:00:00"/>
    <d v="2025-01-27T00:00:00"/>
    <n v="5"/>
    <x v="4"/>
    <s v="ECG"/>
    <n v="30365.81"/>
    <n v="5"/>
    <s v="Home"/>
    <s v="36-50"/>
    <x v="22"/>
    <m/>
    <m/>
    <m/>
    <m/>
    <m/>
    <m/>
  </r>
  <r>
    <s v="P00250"/>
    <s v="Ishita R"/>
    <n v="65"/>
    <s v="Female"/>
    <s v="Coimbatore"/>
    <x v="1"/>
    <x v="4"/>
    <s v="Heart Disease"/>
    <s v="Elective"/>
    <d v="2025-03-26T00:00:00"/>
    <d v="2025-03-28T00:00:00"/>
    <n v="2"/>
    <x v="2"/>
    <s v="CT Scan"/>
    <n v="22967.55"/>
    <n v="3"/>
    <s v="Left Against Medical Advice"/>
    <s v="51-65"/>
    <x v="14"/>
    <m/>
    <m/>
    <m/>
    <m/>
    <m/>
    <m/>
  </r>
  <r>
    <s v="P00251"/>
    <s v="Rohan Kumar"/>
    <n v="62"/>
    <s v="Female"/>
    <s v="Salem"/>
    <x v="0"/>
    <x v="7"/>
    <s v="Diabetes"/>
    <s v="Emergency"/>
    <d v="2025-08-27T00:00:00"/>
    <d v="2025-02-09T00:00:00"/>
    <n v="6"/>
    <x v="3"/>
    <s v="MRI"/>
    <n v="21335.61"/>
    <n v="4"/>
    <s v="Referred"/>
    <s v="51-65"/>
    <x v="19"/>
    <m/>
    <m/>
    <m/>
    <m/>
    <m/>
    <m/>
  </r>
  <r>
    <s v="P00252"/>
    <s v="Lakshmi Singh"/>
    <n v="67"/>
    <s v="Male"/>
    <s v="Hyderabad"/>
    <x v="0"/>
    <x v="4"/>
    <s v="Hypertension"/>
    <s v="Elective"/>
    <d v="2025-05-09T00:00:00"/>
    <d v="2025-10-09T00:00:00"/>
    <n v="5"/>
    <x v="0"/>
    <s v="X-Ray"/>
    <n v="27811.32"/>
    <n v="4"/>
    <s v="Referred"/>
    <s v="66+"/>
    <x v="4"/>
    <m/>
    <m/>
    <m/>
    <m/>
    <m/>
    <m/>
  </r>
  <r>
    <s v="P00253"/>
    <s v="Divya Sharma"/>
    <n v="80"/>
    <s v="Other"/>
    <s v="Bengaluru"/>
    <x v="4"/>
    <x v="5"/>
    <s v="No Chronic Condition"/>
    <s v="Emergency"/>
    <d v="2025-07-06T00:00:00"/>
    <d v="2025-08-06T00:00:00"/>
    <n v="1"/>
    <x v="0"/>
    <s v="None"/>
    <n v="55113.51"/>
    <n v="3"/>
    <s v="Left Against Medical Advice"/>
    <s v="66+"/>
    <x v="16"/>
    <m/>
    <m/>
    <m/>
    <m/>
    <m/>
    <m/>
  </r>
  <r>
    <s v="P00254"/>
    <s v="Rohan Kumar"/>
    <n v="20"/>
    <s v="Other"/>
    <s v="Pune"/>
    <x v="3"/>
    <x v="1"/>
    <s v="Skin Infection"/>
    <s v="Elective"/>
    <d v="2024-08-04T00:00:00"/>
    <d v="2024-12-04T00:00:00"/>
    <n v="4"/>
    <x v="1"/>
    <s v="None"/>
    <n v="63646.93"/>
    <n v="4"/>
    <s v="Home"/>
    <s v="18-35"/>
    <x v="3"/>
    <m/>
    <m/>
    <m/>
    <m/>
    <m/>
    <m/>
  </r>
  <r>
    <s v="P00255"/>
    <s v="Sathya R"/>
    <n v="90"/>
    <s v="Other"/>
    <s v="Madurai"/>
    <x v="3"/>
    <x v="0"/>
    <s v="Pneumonia"/>
    <s v="Urgent"/>
    <d v="2025-03-15T00:00:00"/>
    <d v="2025-03-23T00:00:00"/>
    <n v="8"/>
    <x v="4"/>
    <s v="MRI"/>
    <n v="27216.83"/>
    <n v="4"/>
    <s v="Referred"/>
    <s v="66+"/>
    <x v="14"/>
    <m/>
    <m/>
    <m/>
    <m/>
    <m/>
    <m/>
  </r>
  <r>
    <s v="P00256"/>
    <s v="Meera R"/>
    <n v="1"/>
    <s v="Other"/>
    <s v="Hyderabad"/>
    <x v="1"/>
    <x v="2"/>
    <s v="Heart Disease"/>
    <s v="Urgent"/>
    <d v="2024-08-01T00:00:00"/>
    <d v="2024-12-01T00:00:00"/>
    <n v="4"/>
    <x v="0"/>
    <s v="MRI"/>
    <n v="62206.97"/>
    <n v="3"/>
    <s v="Transferred"/>
    <s v="Under 18"/>
    <x v="3"/>
    <m/>
    <m/>
    <m/>
    <m/>
    <m/>
    <m/>
  </r>
  <r>
    <s v="P00257"/>
    <s v="Lakshmi Sharma"/>
    <n v="69"/>
    <s v="Male"/>
    <s v="Mumbai"/>
    <x v="3"/>
    <x v="2"/>
    <s v="Heart Disease"/>
    <s v="Urgent"/>
    <d v="2025-01-08T00:00:00"/>
    <d v="2025-06-08T00:00:00"/>
    <n v="5"/>
    <x v="4"/>
    <s v="MRI"/>
    <n v="42165.66"/>
    <n v="5"/>
    <s v="Transferred"/>
    <s v="66+"/>
    <x v="22"/>
    <m/>
    <m/>
    <m/>
    <m/>
    <m/>
    <m/>
  </r>
  <r>
    <s v="P00258"/>
    <s v="Sanjay R"/>
    <n v="74"/>
    <s v="Male"/>
    <s v="Coimbatore"/>
    <x v="3"/>
    <x v="0"/>
    <s v="Heart Disease"/>
    <s v="Elective"/>
    <d v="2025-12-23T00:00:00"/>
    <d v="2025-12-30T00:00:00"/>
    <n v="7"/>
    <x v="1"/>
    <s v="None"/>
    <n v="44601.43"/>
    <n v="4"/>
    <s v="Home"/>
    <s v="66+"/>
    <x v="1"/>
    <m/>
    <m/>
    <m/>
    <m/>
    <m/>
    <m/>
  </r>
  <r>
    <s v="P00259"/>
    <s v="Sathya Nair"/>
    <n v="21"/>
    <s v="Male"/>
    <s v="Bengaluru"/>
    <x v="3"/>
    <x v="5"/>
    <s v="No Chronic Condition"/>
    <s v="Emergency"/>
    <d v="2025-10-13T00:00:00"/>
    <d v="2025-10-22T00:00:00"/>
    <n v="9"/>
    <x v="4"/>
    <s v="CT Scan"/>
    <n v="54728.19"/>
    <n v="2"/>
    <s v="Transferred"/>
    <s v="18-35"/>
    <x v="17"/>
    <m/>
    <m/>
    <m/>
    <m/>
    <m/>
    <m/>
  </r>
  <r>
    <s v="P00260"/>
    <s v="Rahul Iyer"/>
    <n v="77"/>
    <s v="Female"/>
    <s v="Salem"/>
    <x v="0"/>
    <x v="4"/>
    <s v="Heart Disease"/>
    <s v="Urgent"/>
    <d v="2024-06-28T00:00:00"/>
    <d v="2024-02-07T00:00:00"/>
    <n v="4"/>
    <x v="2"/>
    <s v="MRI"/>
    <n v="14453.48"/>
    <n v="4"/>
    <s v="Referred"/>
    <s v="66+"/>
    <x v="9"/>
    <m/>
    <m/>
    <m/>
    <m/>
    <m/>
    <m/>
  </r>
  <r>
    <s v="P00261"/>
    <s v="Aditya Devi"/>
    <n v="84"/>
    <s v="Female"/>
    <s v="Kochi"/>
    <x v="3"/>
    <x v="7"/>
    <s v="Skin Infection"/>
    <s v="Elective"/>
    <d v="2024-10-06T00:00:00"/>
    <d v="2024-06-13T00:00:00"/>
    <n v="3"/>
    <x v="1"/>
    <s v="None"/>
    <n v="13121.76"/>
    <n v="5"/>
    <s v="Transferred"/>
    <s v="66+"/>
    <x v="20"/>
    <m/>
    <m/>
    <m/>
    <m/>
    <m/>
    <m/>
  </r>
  <r>
    <s v="P00262"/>
    <s v="Arjun Devi"/>
    <n v="29"/>
    <s v="Other"/>
    <s v="Kochi"/>
    <x v="3"/>
    <x v="0"/>
    <s v="Skin Infection"/>
    <s v="Elective"/>
    <d v="2024-07-18T00:00:00"/>
    <d v="2024-07-20T00:00:00"/>
    <n v="2"/>
    <x v="4"/>
    <s v="CT Scan"/>
    <n v="17284.18"/>
    <n v="3"/>
    <s v="Left Against Medical Advice"/>
    <s v="18-35"/>
    <x v="12"/>
    <m/>
    <m/>
    <m/>
    <m/>
    <m/>
    <m/>
  </r>
  <r>
    <s v="P00263"/>
    <s v="Sathya Iyer"/>
    <n v="32"/>
    <s v="Male"/>
    <s v="Mumbai"/>
    <x v="1"/>
    <x v="1"/>
    <s v="Kidney Disease"/>
    <s v="Elective"/>
    <d v="2025-04-14T00:00:00"/>
    <d v="2025-04-18T00:00:00"/>
    <n v="4"/>
    <x v="0"/>
    <s v="ECG"/>
    <n v="25830.720000000001"/>
    <n v="4"/>
    <s v="Home"/>
    <s v="18-35"/>
    <x v="5"/>
    <m/>
    <m/>
    <m/>
    <m/>
    <m/>
    <m/>
  </r>
  <r>
    <s v="P00264"/>
    <s v="Karthik Devi"/>
    <n v="90"/>
    <s v="Male"/>
    <s v="Hyderabad"/>
    <x v="2"/>
    <x v="3"/>
    <s v="Hypertension"/>
    <s v="Urgent"/>
    <d v="2024-11-09T00:00:00"/>
    <d v="2024-12-09T00:00:00"/>
    <n v="1"/>
    <x v="3"/>
    <s v="CT Scan"/>
    <n v="71409.31"/>
    <n v="3"/>
    <s v="Referred"/>
    <s v="66+"/>
    <x v="21"/>
    <m/>
    <m/>
    <m/>
    <m/>
    <m/>
    <m/>
  </r>
  <r>
    <s v="P00265"/>
    <s v="Arjun R"/>
    <n v="31"/>
    <s v="Other"/>
    <s v="Delhi"/>
    <x v="3"/>
    <x v="7"/>
    <s v="No Chronic Condition"/>
    <s v="Emergency"/>
    <d v="2024-04-09T00:00:00"/>
    <d v="2024-06-09T00:00:00"/>
    <n v="2"/>
    <x v="0"/>
    <s v="Blood Test"/>
    <n v="37990"/>
    <n v="5"/>
    <s v="Left Against Medical Advice"/>
    <s v="18-35"/>
    <x v="6"/>
    <m/>
    <m/>
    <m/>
    <m/>
    <m/>
    <m/>
  </r>
  <r>
    <s v="P00266"/>
    <s v="Rahul Devi"/>
    <n v="48"/>
    <s v="Other"/>
    <s v="Pune"/>
    <x v="0"/>
    <x v="4"/>
    <s v="Kidney Disease"/>
    <s v="Urgent"/>
    <d v="2024-11-18T00:00:00"/>
    <d v="2024-02-12T00:00:00"/>
    <n v="14"/>
    <x v="3"/>
    <s v="Blood Test"/>
    <n v="31687.06"/>
    <n v="5"/>
    <s v="Left Against Medical Advice"/>
    <s v="36-50"/>
    <x v="21"/>
    <m/>
    <m/>
    <m/>
    <m/>
    <m/>
    <m/>
  </r>
  <r>
    <s v="P00267"/>
    <s v="Aarav Kumar"/>
    <n v="62"/>
    <s v="Other"/>
    <s v="Coimbatore"/>
    <x v="1"/>
    <x v="6"/>
    <s v="Kidney Disease"/>
    <s v="Urgent"/>
    <d v="2024-03-02T00:00:00"/>
    <d v="2024-06-02T00:00:00"/>
    <n v="3"/>
    <x v="2"/>
    <s v="MRI"/>
    <n v="152280.01999999999"/>
    <n v="4"/>
    <s v="Transferred"/>
    <s v="51-65"/>
    <x v="18"/>
    <m/>
    <m/>
    <m/>
    <m/>
    <m/>
    <m/>
  </r>
  <r>
    <s v="P00268"/>
    <s v="Meera Nair"/>
    <n v="79"/>
    <s v="Male"/>
    <s v="Pune"/>
    <x v="5"/>
    <x v="3"/>
    <s v="Migraine"/>
    <s v="Elective"/>
    <d v="2024-10-07T00:00:00"/>
    <d v="2024-12-07T00:00:00"/>
    <n v="2"/>
    <x v="3"/>
    <s v="ECG"/>
    <n v="40211.980000000003"/>
    <n v="4"/>
    <s v="Referred"/>
    <s v="66+"/>
    <x v="20"/>
    <m/>
    <m/>
    <m/>
    <m/>
    <m/>
    <m/>
  </r>
  <r>
    <s v="P00269"/>
    <s v="Rohan Singh"/>
    <n v="74"/>
    <s v="Other"/>
    <s v="Chennai"/>
    <x v="0"/>
    <x v="2"/>
    <s v="Pneumonia"/>
    <s v="Elective"/>
    <d v="2024-08-22T00:00:00"/>
    <d v="2024-08-29T00:00:00"/>
    <n v="7"/>
    <x v="4"/>
    <s v="X-Ray"/>
    <n v="26312.61"/>
    <n v="5"/>
    <s v="Transferred"/>
    <s v="66+"/>
    <x v="3"/>
    <m/>
    <m/>
    <m/>
    <m/>
    <m/>
    <m/>
  </r>
  <r>
    <s v="P00270"/>
    <s v="Pooja Nair"/>
    <n v="63"/>
    <s v="Male"/>
    <s v="Madurai"/>
    <x v="5"/>
    <x v="7"/>
    <s v="Fracture"/>
    <s v="Elective"/>
    <d v="2024-09-13T00:00:00"/>
    <d v="2024-09-14T00:00:00"/>
    <n v="1"/>
    <x v="0"/>
    <s v="ECG"/>
    <n v="46787.38"/>
    <n v="4"/>
    <s v="Transferred"/>
    <s v="51-65"/>
    <x v="13"/>
    <m/>
    <m/>
    <m/>
    <m/>
    <m/>
    <m/>
  </r>
  <r>
    <s v="P00271"/>
    <s v="Sanjay Devi"/>
    <n v="45"/>
    <s v="Female"/>
    <s v="Mumbai"/>
    <x v="5"/>
    <x v="7"/>
    <s v="No Chronic Condition"/>
    <s v="Urgent"/>
    <d v="2025-02-25T00:00:00"/>
    <d v="2025-02-28T00:00:00"/>
    <n v="3"/>
    <x v="0"/>
    <s v="CT Scan"/>
    <n v="54040.3"/>
    <n v="4"/>
    <s v="Left Against Medical Advice"/>
    <s v="36-50"/>
    <x v="15"/>
    <m/>
    <m/>
    <m/>
    <m/>
    <m/>
    <m/>
  </r>
  <r>
    <s v="P00272"/>
    <s v="Aditya R"/>
    <n v="11"/>
    <s v="Male"/>
    <s v="Hyderabad"/>
    <x v="5"/>
    <x v="6"/>
    <s v="Migraine"/>
    <s v="Emergency"/>
    <d v="2025-09-20T00:00:00"/>
    <d v="2025-09-24T00:00:00"/>
    <n v="4"/>
    <x v="1"/>
    <s v="MRI"/>
    <n v="74933.23"/>
    <n v="4"/>
    <s v="Transferred"/>
    <s v="Under 18"/>
    <x v="7"/>
    <m/>
    <m/>
    <m/>
    <m/>
    <m/>
    <m/>
  </r>
  <r>
    <s v="P00273"/>
    <s v="Aarav Sharma"/>
    <n v="35"/>
    <s v="Other"/>
    <s v="Coimbatore"/>
    <x v="2"/>
    <x v="3"/>
    <s v="No Chronic Condition"/>
    <s v="Elective"/>
    <d v="2025-10-22T00:00:00"/>
    <d v="2025-10-24T00:00:00"/>
    <n v="2"/>
    <x v="2"/>
    <s v="X-Ray"/>
    <n v="80308.429999999993"/>
    <n v="3"/>
    <s v="Referred"/>
    <s v="18-35"/>
    <x v="17"/>
    <m/>
    <m/>
    <m/>
    <m/>
    <m/>
    <m/>
  </r>
  <r>
    <s v="P00274"/>
    <s v="Divya Devi"/>
    <n v="51"/>
    <s v="Female"/>
    <s v="Coimbatore"/>
    <x v="0"/>
    <x v="0"/>
    <s v="Hypertension"/>
    <s v="Urgent"/>
    <d v="2024-07-04T00:00:00"/>
    <d v="2024-08-04T00:00:00"/>
    <n v="1"/>
    <x v="1"/>
    <s v="CT Scan"/>
    <n v="31159.02"/>
    <n v="3"/>
    <s v="Referred"/>
    <s v="51-65"/>
    <x v="12"/>
    <m/>
    <m/>
    <m/>
    <m/>
    <m/>
    <m/>
  </r>
  <r>
    <s v="P00275"/>
    <s v="Manoj Singh"/>
    <n v="17"/>
    <s v="Other"/>
    <s v="Hyderabad"/>
    <x v="2"/>
    <x v="3"/>
    <s v="Kidney Disease"/>
    <s v="Urgent"/>
    <d v="2024-06-23T00:00:00"/>
    <d v="2024-06-24T00:00:00"/>
    <n v="1"/>
    <x v="3"/>
    <s v="ECG"/>
    <n v="91463.73"/>
    <n v="5"/>
    <s v="Left Against Medical Advice"/>
    <s v="Under 18"/>
    <x v="9"/>
    <m/>
    <m/>
    <m/>
    <m/>
    <m/>
    <m/>
  </r>
  <r>
    <s v="P00276"/>
    <s v="Aditya Singh"/>
    <n v="81"/>
    <s v="Other"/>
    <s v="Madurai"/>
    <x v="5"/>
    <x v="4"/>
    <s v="Migraine"/>
    <s v="Elective"/>
    <d v="2025-10-13T00:00:00"/>
    <d v="2025-10-16T00:00:00"/>
    <n v="3"/>
    <x v="1"/>
    <s v="X-Ray"/>
    <n v="47160.57"/>
    <n v="3"/>
    <s v="Transferred"/>
    <s v="66+"/>
    <x v="17"/>
    <m/>
    <m/>
    <m/>
    <m/>
    <m/>
    <m/>
  </r>
  <r>
    <s v="P00277"/>
    <s v="Nisha Devi"/>
    <n v="2"/>
    <s v="Female"/>
    <s v="Salem"/>
    <x v="0"/>
    <x v="1"/>
    <s v="Kidney Disease"/>
    <s v="Emergency"/>
    <d v="2025-06-19T00:00:00"/>
    <d v="2025-06-22T00:00:00"/>
    <n v="3"/>
    <x v="0"/>
    <s v="MRI"/>
    <n v="132186.57999999999"/>
    <n v="1"/>
    <s v="Referred"/>
    <s v="Under 18"/>
    <x v="10"/>
    <m/>
    <m/>
    <m/>
    <m/>
    <m/>
    <m/>
  </r>
  <r>
    <s v="P00278"/>
    <s v="Sathya Devi"/>
    <n v="53"/>
    <s v="Other"/>
    <s v="Madurai"/>
    <x v="2"/>
    <x v="2"/>
    <s v="Pneumonia"/>
    <s v="Urgent"/>
    <d v="2025-03-23T00:00:00"/>
    <d v="2025-03-25T00:00:00"/>
    <n v="2"/>
    <x v="0"/>
    <s v="None"/>
    <n v="28103.25"/>
    <n v="2"/>
    <s v="Transferred"/>
    <s v="51-65"/>
    <x v="14"/>
    <m/>
    <m/>
    <m/>
    <m/>
    <m/>
    <m/>
  </r>
  <r>
    <s v="P00279"/>
    <s v="Lakshmi Iyer"/>
    <n v="53"/>
    <s v="Female"/>
    <s v="Mumbai"/>
    <x v="4"/>
    <x v="5"/>
    <s v="No Chronic Condition"/>
    <s v="Emergency"/>
    <d v="2024-11-03T00:00:00"/>
    <d v="2024-12-03T00:00:00"/>
    <n v="1"/>
    <x v="2"/>
    <s v="ECG"/>
    <n v="45052.01"/>
    <n v="5"/>
    <s v="Home"/>
    <s v="51-65"/>
    <x v="21"/>
    <m/>
    <m/>
    <m/>
    <m/>
    <m/>
    <m/>
  </r>
  <r>
    <s v="P00280"/>
    <s v="Nisha Devi"/>
    <n v="24"/>
    <s v="Female"/>
    <s v="Delhi"/>
    <x v="5"/>
    <x v="1"/>
    <s v="Heart Disease"/>
    <s v="Elective"/>
    <d v="2024-10-15T00:00:00"/>
    <d v="2024-10-16T00:00:00"/>
    <n v="1"/>
    <x v="2"/>
    <s v="MRI"/>
    <n v="22547.54"/>
    <n v="3"/>
    <s v="Home"/>
    <s v="18-35"/>
    <x v="20"/>
    <m/>
    <m/>
    <m/>
    <m/>
    <m/>
    <m/>
  </r>
  <r>
    <s v="P00281"/>
    <s v="Arjun Iyer"/>
    <n v="19"/>
    <s v="Female"/>
    <s v="Pune"/>
    <x v="1"/>
    <x v="7"/>
    <s v="Fracture"/>
    <s v="Emergency"/>
    <d v="2024-09-29T00:00:00"/>
    <d v="2024-09-30T00:00:00"/>
    <n v="1"/>
    <x v="2"/>
    <s v="X-Ray"/>
    <n v="71659.3"/>
    <n v="5"/>
    <s v="Left Against Medical Advice"/>
    <s v="18-35"/>
    <x v="13"/>
    <m/>
    <m/>
    <m/>
    <m/>
    <m/>
    <m/>
  </r>
  <r>
    <s v="P00282"/>
    <s v="Manoj R"/>
    <n v="13"/>
    <s v="Other"/>
    <s v="Madurai"/>
    <x v="1"/>
    <x v="4"/>
    <s v="Migraine"/>
    <s v="Urgent"/>
    <d v="2025-12-11T00:00:00"/>
    <d v="2025-11-16T00:00:00"/>
    <n v="4"/>
    <x v="1"/>
    <s v="X-Ray"/>
    <n v="23578.63"/>
    <n v="5"/>
    <s v="Transferred"/>
    <s v="Under 18"/>
    <x v="1"/>
    <m/>
    <m/>
    <m/>
    <m/>
    <m/>
    <m/>
  </r>
  <r>
    <s v="P00283"/>
    <s v="Sathya Kumar"/>
    <n v="7"/>
    <s v="Other"/>
    <s v="Chennai"/>
    <x v="3"/>
    <x v="1"/>
    <s v="Asthma"/>
    <s v="Urgent"/>
    <d v="2024-11-08T00:00:00"/>
    <d v="2024-08-13T00:00:00"/>
    <n v="2"/>
    <x v="4"/>
    <s v="Ultrasound"/>
    <n v="120819.5"/>
    <n v="4"/>
    <s v="Referred"/>
    <s v="Under 18"/>
    <x v="21"/>
    <m/>
    <m/>
    <m/>
    <m/>
    <m/>
    <m/>
  </r>
  <r>
    <s v="P00284"/>
    <s v="Arjun Sharma"/>
    <n v="48"/>
    <s v="Female"/>
    <s v="Delhi"/>
    <x v="0"/>
    <x v="3"/>
    <s v="Diabetes"/>
    <s v="Elective"/>
    <d v="2024-11-09T00:00:00"/>
    <d v="2024-09-15T00:00:00"/>
    <n v="4"/>
    <x v="0"/>
    <s v="None"/>
    <n v="29129.1"/>
    <n v="5"/>
    <s v="Transferred"/>
    <s v="36-50"/>
    <x v="21"/>
    <m/>
    <m/>
    <m/>
    <m/>
    <m/>
    <m/>
  </r>
  <r>
    <s v="P00285"/>
    <s v="Ananya Singh"/>
    <n v="57"/>
    <s v="Other"/>
    <s v="Coimbatore"/>
    <x v="3"/>
    <x v="6"/>
    <s v="Fracture"/>
    <s v="Emergency"/>
    <d v="2024-07-16T00:00:00"/>
    <d v="2024-07-22T00:00:00"/>
    <n v="6"/>
    <x v="0"/>
    <s v="MRI"/>
    <n v="127017.43"/>
    <n v="4"/>
    <s v="Transferred"/>
    <s v="51-65"/>
    <x v="12"/>
    <m/>
    <m/>
    <m/>
    <m/>
    <m/>
    <m/>
  </r>
  <r>
    <s v="P00286"/>
    <s v="Pooja Kumar"/>
    <n v="60"/>
    <s v="Male"/>
    <s v="Kochi"/>
    <x v="1"/>
    <x v="5"/>
    <s v="Fracture"/>
    <s v="Urgent"/>
    <d v="2025-05-09T00:00:00"/>
    <d v="2025-06-09T00:00:00"/>
    <n v="1"/>
    <x v="3"/>
    <s v="Blood Test"/>
    <n v="71817.55"/>
    <n v="4"/>
    <s v="Transferred"/>
    <s v="51-65"/>
    <x v="4"/>
    <m/>
    <m/>
    <m/>
    <m/>
    <m/>
    <m/>
  </r>
  <r>
    <s v="P00287"/>
    <s v="Manoj Sharma"/>
    <n v="80"/>
    <s v="Female"/>
    <s v="Salem"/>
    <x v="5"/>
    <x v="2"/>
    <s v="Heart Disease"/>
    <s v="Elective"/>
    <d v="2024-11-24T00:00:00"/>
    <d v="2024-11-25T00:00:00"/>
    <n v="1"/>
    <x v="4"/>
    <s v="Ultrasound"/>
    <n v="50257.09"/>
    <n v="4"/>
    <s v="Transferred"/>
    <s v="66+"/>
    <x v="21"/>
    <m/>
    <m/>
    <m/>
    <m/>
    <m/>
    <m/>
  </r>
  <r>
    <s v="P00288"/>
    <s v="Arjun Kumar"/>
    <n v="15"/>
    <s v="Female"/>
    <s v="Salem"/>
    <x v="2"/>
    <x v="6"/>
    <s v="Asthma"/>
    <s v="Elective"/>
    <d v="2025-06-19T00:00:00"/>
    <d v="2025-06-20T00:00:00"/>
    <n v="1"/>
    <x v="4"/>
    <s v="ECG"/>
    <n v="104697.43"/>
    <n v="4"/>
    <s v="Transferred"/>
    <s v="Under 18"/>
    <x v="10"/>
    <m/>
    <m/>
    <m/>
    <m/>
    <m/>
    <m/>
  </r>
  <r>
    <s v="P00289"/>
    <s v="Vivaan Devi"/>
    <n v="7"/>
    <s v="Male"/>
    <s v="Kochi"/>
    <x v="4"/>
    <x v="3"/>
    <s v="Skin Infection"/>
    <s v="Urgent"/>
    <d v="2024-08-14T00:00:00"/>
    <d v="2024-08-18T00:00:00"/>
    <n v="4"/>
    <x v="2"/>
    <s v="None"/>
    <n v="132639.66"/>
    <n v="5"/>
    <s v="Transferred"/>
    <s v="Under 18"/>
    <x v="3"/>
    <m/>
    <m/>
    <m/>
    <m/>
    <m/>
    <m/>
  </r>
  <r>
    <s v="P00290"/>
    <s v="Deepa Sharma"/>
    <n v="10"/>
    <s v="Female"/>
    <s v="Kochi"/>
    <x v="2"/>
    <x v="2"/>
    <s v="Heart Disease"/>
    <s v="Urgent"/>
    <d v="2025-06-15T00:00:00"/>
    <d v="2025-06-16T00:00:00"/>
    <n v="1"/>
    <x v="4"/>
    <s v="Ultrasound"/>
    <n v="26097.72"/>
    <n v="4"/>
    <s v="Home"/>
    <s v="Under 18"/>
    <x v="10"/>
    <m/>
    <m/>
    <m/>
    <m/>
    <m/>
    <m/>
  </r>
  <r>
    <s v="P00291"/>
    <s v="Rahul Nair"/>
    <n v="82"/>
    <s v="Other"/>
    <s v="Hyderabad"/>
    <x v="3"/>
    <x v="0"/>
    <s v="Asthma"/>
    <s v="Urgent"/>
    <d v="2025-01-01T00:00:00"/>
    <d v="2025-05-01T00:00:00"/>
    <n v="4"/>
    <x v="4"/>
    <s v="MRI"/>
    <n v="69849.7"/>
    <n v="4"/>
    <s v="Transferred"/>
    <s v="66+"/>
    <x v="22"/>
    <m/>
    <m/>
    <m/>
    <m/>
    <m/>
    <m/>
  </r>
  <r>
    <s v="P00292"/>
    <s v="Manoj Devi"/>
    <n v="71"/>
    <s v="Male"/>
    <s v="Mumbai"/>
    <x v="1"/>
    <x v="3"/>
    <s v="No Chronic Condition"/>
    <s v="Elective"/>
    <d v="2025-01-15T00:00:00"/>
    <d v="2025-01-23T00:00:00"/>
    <n v="8"/>
    <x v="4"/>
    <s v="Blood Test"/>
    <n v="62511.74"/>
    <n v="4"/>
    <s v="Home"/>
    <s v="66+"/>
    <x v="22"/>
    <m/>
    <m/>
    <m/>
    <m/>
    <m/>
    <m/>
  </r>
  <r>
    <s v="P00293"/>
    <s v="Priya Sharma"/>
    <n v="37"/>
    <s v="Other"/>
    <s v="Bengaluru"/>
    <x v="4"/>
    <x v="1"/>
    <s v="Fracture"/>
    <s v="Elective"/>
    <d v="2024-01-17T00:00:00"/>
    <d v="2024-01-18T00:00:00"/>
    <n v="1"/>
    <x v="1"/>
    <s v="X-Ray"/>
    <n v="116846.64"/>
    <n v="3"/>
    <s v="Referred"/>
    <s v="36-50"/>
    <x v="0"/>
    <m/>
    <m/>
    <m/>
    <m/>
    <m/>
    <m/>
  </r>
  <r>
    <s v="P00294"/>
    <s v="Aditya Nair"/>
    <n v="34"/>
    <s v="Male"/>
    <s v="Delhi"/>
    <x v="0"/>
    <x v="0"/>
    <s v="No Chronic Condition"/>
    <s v="Elective"/>
    <d v="2025-08-19T00:00:00"/>
    <d v="2025-08-21T00:00:00"/>
    <n v="2"/>
    <x v="0"/>
    <s v="None"/>
    <n v="41185.269999999997"/>
    <n v="5"/>
    <s v="Home"/>
    <s v="18-35"/>
    <x v="19"/>
    <m/>
    <m/>
    <m/>
    <m/>
    <m/>
    <m/>
  </r>
  <r>
    <s v="P00295"/>
    <s v="Nisha Reddy"/>
    <n v="77"/>
    <s v="Other"/>
    <s v="Bengaluru"/>
    <x v="0"/>
    <x v="0"/>
    <s v="Diabetes"/>
    <s v="Urgent"/>
    <d v="2024-03-11T00:00:00"/>
    <d v="2024-10-11T00:00:00"/>
    <n v="7"/>
    <x v="0"/>
    <s v="Blood Test"/>
    <n v="79296.62"/>
    <n v="4"/>
    <s v="Left Against Medical Advice"/>
    <s v="66+"/>
    <x v="18"/>
    <m/>
    <m/>
    <m/>
    <m/>
    <m/>
    <m/>
  </r>
  <r>
    <s v="P00296"/>
    <s v="Divya Singh"/>
    <n v="7"/>
    <s v="Male"/>
    <s v="Salem"/>
    <x v="3"/>
    <x v="3"/>
    <s v="Skin Infection"/>
    <s v="Urgent"/>
    <d v="2025-06-20T00:00:00"/>
    <d v="2025-06-22T00:00:00"/>
    <n v="2"/>
    <x v="2"/>
    <s v="X-Ray"/>
    <n v="84202.16"/>
    <n v="4"/>
    <s v="Left Against Medical Advice"/>
    <s v="Under 18"/>
    <x v="10"/>
    <m/>
    <m/>
    <m/>
    <m/>
    <m/>
    <m/>
  </r>
  <r>
    <s v="P00297"/>
    <s v="Rohan Sharma"/>
    <n v="38"/>
    <s v="Male"/>
    <s v="Delhi"/>
    <x v="3"/>
    <x v="1"/>
    <s v="Skin Infection"/>
    <s v="Emergency"/>
    <d v="2024-05-31T00:00:00"/>
    <d v="2024-03-06T00:00:00"/>
    <n v="3"/>
    <x v="4"/>
    <s v="CT Scan"/>
    <n v="52519.37"/>
    <n v="4"/>
    <s v="Referred"/>
    <s v="36-50"/>
    <x v="23"/>
    <m/>
    <m/>
    <m/>
    <m/>
    <m/>
    <m/>
  </r>
  <r>
    <s v="P00298"/>
    <s v="Arjun Reddy"/>
    <n v="72"/>
    <s v="Other"/>
    <s v="Pune"/>
    <x v="5"/>
    <x v="2"/>
    <s v="Migraine"/>
    <s v="Elective"/>
    <d v="2025-06-20T00:00:00"/>
    <d v="2025-06-22T00:00:00"/>
    <n v="2"/>
    <x v="3"/>
    <s v="MRI"/>
    <n v="61985.87"/>
    <n v="4"/>
    <s v="Transferred"/>
    <s v="66+"/>
    <x v="10"/>
    <m/>
    <m/>
    <m/>
    <m/>
    <m/>
    <m/>
  </r>
  <r>
    <s v="P00299"/>
    <s v="Sathya Iyer"/>
    <n v="77"/>
    <s v="Other"/>
    <s v="Mumbai"/>
    <x v="0"/>
    <x v="5"/>
    <s v="No Chronic Condition"/>
    <s v="Urgent"/>
    <d v="2024-01-25T00:00:00"/>
    <d v="2024-01-26T00:00:00"/>
    <n v="1"/>
    <x v="2"/>
    <s v="Blood Test"/>
    <n v="22644.75"/>
    <n v="2"/>
    <s v="Home"/>
    <s v="66+"/>
    <x v="0"/>
    <m/>
    <m/>
    <m/>
    <m/>
    <m/>
    <m/>
  </r>
  <r>
    <s v="P00300"/>
    <s v="Karthik Iyer"/>
    <n v="32"/>
    <s v="Other"/>
    <s v="Coimbatore"/>
    <x v="3"/>
    <x v="0"/>
    <s v="Fracture"/>
    <s v="Urgent"/>
    <d v="2024-05-31T00:00:00"/>
    <d v="2024-01-06T00:00:00"/>
    <n v="1"/>
    <x v="1"/>
    <s v="ECG"/>
    <n v="44854.49"/>
    <n v="1"/>
    <s v="Left Against Medical Advice"/>
    <s v="18-35"/>
    <x v="23"/>
    <m/>
    <m/>
    <m/>
    <m/>
    <m/>
    <m/>
  </r>
  <r>
    <s v="P00301"/>
    <s v="Ishita Devi"/>
    <n v="80"/>
    <s v="Other"/>
    <s v="Chennai"/>
    <x v="1"/>
    <x v="1"/>
    <s v="Fracture"/>
    <s v="Urgent"/>
    <d v="2024-05-24T00:00:00"/>
    <d v="2024-05-29T00:00:00"/>
    <n v="5"/>
    <x v="2"/>
    <s v="Blood Test"/>
    <n v="35565.46"/>
    <n v="5"/>
    <s v="Left Against Medical Advice"/>
    <s v="66+"/>
    <x v="23"/>
    <m/>
    <m/>
    <m/>
    <m/>
    <m/>
    <m/>
  </r>
  <r>
    <s v="P00302"/>
    <s v="Arjun Nair"/>
    <n v="85"/>
    <s v="Male"/>
    <s v="Delhi"/>
    <x v="3"/>
    <x v="4"/>
    <s v="Pneumonia"/>
    <s v="Urgent"/>
    <d v="2025-09-11T00:00:00"/>
    <d v="2025-12-11T00:00:00"/>
    <n v="3"/>
    <x v="2"/>
    <s v="X-Ray"/>
    <n v="28875.31"/>
    <n v="4"/>
    <s v="Referred"/>
    <s v="66+"/>
    <x v="7"/>
    <m/>
    <m/>
    <m/>
    <m/>
    <m/>
    <m/>
  </r>
  <r>
    <s v="P00303"/>
    <s v="Aarav Nair"/>
    <n v="65"/>
    <s v="Male"/>
    <s v="Mumbai"/>
    <x v="5"/>
    <x v="4"/>
    <s v="Migraine"/>
    <s v="Urgent"/>
    <d v="2025-07-28T00:00:00"/>
    <d v="2025-07-29T00:00:00"/>
    <n v="1"/>
    <x v="1"/>
    <s v="X-Ray"/>
    <n v="47765.1"/>
    <n v="5"/>
    <s v="Transferred"/>
    <s v="51-65"/>
    <x v="16"/>
    <m/>
    <m/>
    <m/>
    <m/>
    <m/>
    <m/>
  </r>
  <r>
    <s v="P00304"/>
    <s v="Divya Sharma"/>
    <n v="8"/>
    <s v="Other"/>
    <s v="Bengaluru"/>
    <x v="2"/>
    <x v="1"/>
    <s v="Skin Infection"/>
    <s v="Elective"/>
    <d v="2024-09-20T00:00:00"/>
    <d v="2024-03-10T00:00:00"/>
    <n v="13"/>
    <x v="0"/>
    <s v="Ultrasound"/>
    <n v="142556.93"/>
    <n v="4"/>
    <s v="Referred"/>
    <s v="Under 18"/>
    <x v="13"/>
    <m/>
    <m/>
    <m/>
    <m/>
    <m/>
    <m/>
  </r>
  <r>
    <s v="P00305"/>
    <s v="Manoj Iyer"/>
    <n v="54"/>
    <s v="Female"/>
    <s v="Hyderabad"/>
    <x v="5"/>
    <x v="3"/>
    <s v="Kidney Disease"/>
    <s v="Urgent"/>
    <d v="2025-09-08T00:00:00"/>
    <d v="2025-12-08T00:00:00"/>
    <n v="3"/>
    <x v="0"/>
    <s v="X-Ray"/>
    <n v="71498.33"/>
    <n v="3"/>
    <s v="Left Against Medical Advice"/>
    <s v="51-65"/>
    <x v="7"/>
    <m/>
    <m/>
    <m/>
    <m/>
    <m/>
    <m/>
  </r>
  <r>
    <s v="P00306"/>
    <s v="Aarav Nair"/>
    <n v="19"/>
    <s v="Other"/>
    <s v="Pune"/>
    <x v="1"/>
    <x v="0"/>
    <s v="Asthma"/>
    <s v="Elective"/>
    <d v="2025-01-08T00:00:00"/>
    <d v="2025-03-08T00:00:00"/>
    <n v="2"/>
    <x v="4"/>
    <s v="Ultrasound"/>
    <n v="35184.620000000003"/>
    <n v="5"/>
    <s v="Transferred"/>
    <s v="18-35"/>
    <x v="22"/>
    <m/>
    <m/>
    <m/>
    <m/>
    <m/>
    <m/>
  </r>
  <r>
    <s v="P00307"/>
    <s v="Sathya Iyer"/>
    <n v="20"/>
    <s v="Female"/>
    <s v="Chennai"/>
    <x v="5"/>
    <x v="4"/>
    <s v="No Chronic Condition"/>
    <s v="Emergency"/>
    <d v="2024-04-19T00:00:00"/>
    <d v="2024-04-20T00:00:00"/>
    <n v="1"/>
    <x v="4"/>
    <s v="X-Ray"/>
    <n v="53394.15"/>
    <n v="3"/>
    <s v="Left Against Medical Advice"/>
    <s v="18-35"/>
    <x v="6"/>
    <m/>
    <m/>
    <m/>
    <m/>
    <m/>
    <m/>
  </r>
  <r>
    <s v="P00308"/>
    <s v="Aarav Devi"/>
    <n v="84"/>
    <s v="Male"/>
    <s v="Pune"/>
    <x v="0"/>
    <x v="7"/>
    <s v="Heart Disease"/>
    <s v="Urgent"/>
    <d v="2024-07-07T00:00:00"/>
    <d v="2024-11-07T00:00:00"/>
    <n v="4"/>
    <x v="3"/>
    <s v="None"/>
    <n v="14352.76"/>
    <n v="5"/>
    <s v="Referred"/>
    <s v="66+"/>
    <x v="12"/>
    <m/>
    <m/>
    <m/>
    <m/>
    <m/>
    <m/>
  </r>
  <r>
    <s v="P00309"/>
    <s v="Ishita Reddy"/>
    <n v="9"/>
    <s v="Female"/>
    <s v="Mumbai"/>
    <x v="1"/>
    <x v="5"/>
    <s v="Heart Disease"/>
    <s v="Urgent"/>
    <d v="2025-03-25T00:00:00"/>
    <d v="2025-03-29T00:00:00"/>
    <n v="4"/>
    <x v="0"/>
    <s v="ECG"/>
    <n v="43211.56"/>
    <n v="5"/>
    <s v="Home"/>
    <s v="Under 18"/>
    <x v="14"/>
    <m/>
    <m/>
    <m/>
    <m/>
    <m/>
    <m/>
  </r>
  <r>
    <s v="P00310"/>
    <s v="Karthik Devi"/>
    <n v="67"/>
    <s v="Female"/>
    <s v="Delhi"/>
    <x v="1"/>
    <x v="2"/>
    <s v="Skin Infection"/>
    <s v="Elective"/>
    <d v="2025-07-04T00:00:00"/>
    <d v="2025-10-04T00:00:00"/>
    <n v="3"/>
    <x v="1"/>
    <s v="CT Scan"/>
    <n v="67856.67"/>
    <n v="5"/>
    <s v="Referred"/>
    <s v="66+"/>
    <x v="16"/>
    <m/>
    <m/>
    <m/>
    <m/>
    <m/>
    <m/>
  </r>
  <r>
    <s v="P00311"/>
    <s v="Sanjay Sharma"/>
    <n v="55"/>
    <s v="Male"/>
    <s v="Pune"/>
    <x v="1"/>
    <x v="5"/>
    <s v="Kidney Disease"/>
    <s v="Elective"/>
    <d v="2025-09-19T00:00:00"/>
    <d v="2025-09-25T00:00:00"/>
    <n v="6"/>
    <x v="4"/>
    <s v="Blood Test"/>
    <n v="18602.18"/>
    <n v="4"/>
    <s v="Referred"/>
    <s v="51-65"/>
    <x v="7"/>
    <m/>
    <m/>
    <m/>
    <m/>
    <m/>
    <m/>
  </r>
  <r>
    <s v="P00312"/>
    <s v="Aditya Reddy"/>
    <n v="59"/>
    <s v="Other"/>
    <s v="Kochi"/>
    <x v="3"/>
    <x v="6"/>
    <s v="Hypertension"/>
    <s v="Emergency"/>
    <d v="2025-12-30T00:00:00"/>
    <d v="2026-01-01T00:00:00"/>
    <n v="2"/>
    <x v="4"/>
    <s v="ECG"/>
    <n v="34246.79"/>
    <n v="4"/>
    <s v="Left Against Medical Advice"/>
    <s v="51-65"/>
    <x v="1"/>
    <m/>
    <m/>
    <m/>
    <m/>
    <m/>
    <m/>
  </r>
  <r>
    <s v="P00313"/>
    <s v="Ananya Singh"/>
    <n v="6"/>
    <s v="Female"/>
    <s v="Madurai"/>
    <x v="2"/>
    <x v="6"/>
    <s v="Asthma"/>
    <s v="Emergency"/>
    <d v="2024-09-12T00:00:00"/>
    <d v="2024-12-21T00:00:00"/>
    <n v="12"/>
    <x v="2"/>
    <s v="X-Ray"/>
    <n v="57658.13"/>
    <n v="4"/>
    <s v="Referred"/>
    <s v="Under 18"/>
    <x v="13"/>
    <m/>
    <m/>
    <m/>
    <m/>
    <m/>
    <m/>
  </r>
  <r>
    <s v="P00314"/>
    <s v="Lakshmi Singh"/>
    <n v="1"/>
    <s v="Other"/>
    <s v="Pune"/>
    <x v="1"/>
    <x v="1"/>
    <s v="No Chronic Condition"/>
    <s v="Emergency"/>
    <d v="2024-09-16T00:00:00"/>
    <d v="2024-09-20T00:00:00"/>
    <n v="4"/>
    <x v="0"/>
    <s v="ECG"/>
    <n v="108089.28"/>
    <n v="4"/>
    <s v="Home"/>
    <s v="Under 18"/>
    <x v="13"/>
    <m/>
    <m/>
    <m/>
    <m/>
    <m/>
    <m/>
  </r>
  <r>
    <s v="P00315"/>
    <s v="Meera Kumar"/>
    <n v="32"/>
    <s v="Other"/>
    <s v="Hyderabad"/>
    <x v="4"/>
    <x v="7"/>
    <s v="Diabetes"/>
    <s v="Urgent"/>
    <d v="2024-11-10T00:00:00"/>
    <d v="2024-10-16T00:00:00"/>
    <n v="5"/>
    <x v="0"/>
    <s v="None"/>
    <n v="25493.32"/>
    <n v="2"/>
    <s v="Transferred"/>
    <s v="18-35"/>
    <x v="21"/>
    <m/>
    <m/>
    <m/>
    <m/>
    <m/>
    <m/>
  </r>
  <r>
    <s v="P00316"/>
    <s v="Deepa Sharma"/>
    <n v="43"/>
    <s v="Female"/>
    <s v="Delhi"/>
    <x v="2"/>
    <x v="4"/>
    <s v="No Chronic Condition"/>
    <s v="Urgent"/>
    <d v="2024-02-20T00:00:00"/>
    <d v="2024-02-23T00:00:00"/>
    <n v="3"/>
    <x v="1"/>
    <s v="Blood Test"/>
    <n v="60247.5"/>
    <n v="4"/>
    <s v="Home"/>
    <s v="36-50"/>
    <x v="2"/>
    <m/>
    <m/>
    <m/>
    <m/>
    <m/>
    <m/>
  </r>
  <r>
    <s v="P00317"/>
    <s v="Priya Nair"/>
    <n v="39"/>
    <s v="Male"/>
    <s v="Kochi"/>
    <x v="1"/>
    <x v="0"/>
    <s v="Fracture"/>
    <s v="Urgent"/>
    <d v="2025-12-01T00:00:00"/>
    <d v="2025-01-22T00:00:00"/>
    <n v="10"/>
    <x v="3"/>
    <s v="Ultrasound"/>
    <n v="57962.04"/>
    <n v="3"/>
    <s v="Referred"/>
    <s v="36-50"/>
    <x v="1"/>
    <m/>
    <m/>
    <m/>
    <m/>
    <m/>
    <m/>
  </r>
  <r>
    <s v="P00318"/>
    <s v="Ananya Reddy"/>
    <n v="79"/>
    <s v="Female"/>
    <s v="Salem"/>
    <x v="5"/>
    <x v="0"/>
    <s v="Kidney Disease"/>
    <s v="Elective"/>
    <d v="2024-04-21T00:00:00"/>
    <d v="2024-04-28T00:00:00"/>
    <n v="7"/>
    <x v="0"/>
    <s v="ECG"/>
    <n v="64857.41"/>
    <n v="4"/>
    <s v="Transferred"/>
    <s v="66+"/>
    <x v="6"/>
    <m/>
    <m/>
    <m/>
    <m/>
    <m/>
    <m/>
  </r>
  <r>
    <s v="P00319"/>
    <s v="Ananya Iyer"/>
    <n v="17"/>
    <s v="Other"/>
    <s v="Chennai"/>
    <x v="4"/>
    <x v="5"/>
    <s v="Asthma"/>
    <s v="Emergency"/>
    <d v="2025-07-30T00:00:00"/>
    <d v="2025-03-08T00:00:00"/>
    <n v="4"/>
    <x v="4"/>
    <s v="Ultrasound"/>
    <n v="76507.45"/>
    <n v="3"/>
    <s v="Home"/>
    <s v="Under 18"/>
    <x v="16"/>
    <m/>
    <m/>
    <m/>
    <m/>
    <m/>
    <m/>
  </r>
  <r>
    <s v="P00320"/>
    <s v="Priya R"/>
    <n v="27"/>
    <s v="Other"/>
    <s v="Madurai"/>
    <x v="5"/>
    <x v="7"/>
    <s v="Diabetes"/>
    <s v="Urgent"/>
    <d v="2025-02-28T00:00:00"/>
    <d v="2025-01-03T00:00:00"/>
    <n v="1"/>
    <x v="0"/>
    <s v="MRI"/>
    <n v="58765.14"/>
    <n v="4"/>
    <s v="Home"/>
    <s v="18-35"/>
    <x v="15"/>
    <m/>
    <m/>
    <m/>
    <m/>
    <m/>
    <m/>
  </r>
  <r>
    <s v="P00321"/>
    <s v="Lakshmi Singh"/>
    <n v="15"/>
    <s v="Other"/>
    <s v="Chennai"/>
    <x v="2"/>
    <x v="1"/>
    <s v="Asthma"/>
    <s v="Emergency"/>
    <d v="2024-07-12T00:00:00"/>
    <d v="2024-10-12T00:00:00"/>
    <n v="3"/>
    <x v="4"/>
    <s v="X-Ray"/>
    <n v="51029.7"/>
    <n v="5"/>
    <s v="Left Against Medical Advice"/>
    <s v="Under 18"/>
    <x v="12"/>
    <m/>
    <m/>
    <m/>
    <m/>
    <m/>
    <m/>
  </r>
  <r>
    <s v="P00322"/>
    <s v="Meera R"/>
    <n v="69"/>
    <s v="Male"/>
    <s v="Hyderabad"/>
    <x v="5"/>
    <x v="3"/>
    <s v="Skin Infection"/>
    <s v="Emergency"/>
    <d v="2025-04-18T00:00:00"/>
    <d v="2025-04-22T00:00:00"/>
    <n v="4"/>
    <x v="1"/>
    <s v="CT Scan"/>
    <n v="70925.240000000005"/>
    <n v="4"/>
    <s v="Referred"/>
    <s v="66+"/>
    <x v="5"/>
    <m/>
    <m/>
    <m/>
    <m/>
    <m/>
    <m/>
  </r>
  <r>
    <s v="P00323"/>
    <s v="Aditya Singh"/>
    <n v="74"/>
    <s v="Other"/>
    <s v="Coimbatore"/>
    <x v="5"/>
    <x v="4"/>
    <s v="Migraine"/>
    <s v="Elective"/>
    <d v="2025-02-02T00:00:00"/>
    <d v="2025-07-02T00:00:00"/>
    <n v="5"/>
    <x v="1"/>
    <s v="X-Ray"/>
    <n v="63818.32"/>
    <n v="3"/>
    <s v="Transferred"/>
    <s v="66+"/>
    <x v="15"/>
    <m/>
    <m/>
    <m/>
    <m/>
    <m/>
    <m/>
  </r>
  <r>
    <s v="P00324"/>
    <s v="Rahul Sharma"/>
    <n v="23"/>
    <s v="Female"/>
    <s v="Coimbatore"/>
    <x v="5"/>
    <x v="5"/>
    <s v="Skin Infection"/>
    <s v="Elective"/>
    <d v="2025-01-18T00:00:00"/>
    <d v="2025-01-26T00:00:00"/>
    <n v="8"/>
    <x v="0"/>
    <s v="MRI"/>
    <n v="17275.3"/>
    <n v="4"/>
    <s v="Transferred"/>
    <s v="18-35"/>
    <x v="22"/>
    <m/>
    <m/>
    <m/>
    <m/>
    <m/>
    <m/>
  </r>
  <r>
    <s v="P00325"/>
    <s v="Ishita R"/>
    <n v="19"/>
    <s v="Female"/>
    <s v="Mumbai"/>
    <x v="1"/>
    <x v="0"/>
    <s v="Diabetes"/>
    <s v="Emergency"/>
    <d v="2025-12-06T00:00:00"/>
    <d v="2025-06-13T00:00:00"/>
    <n v="1"/>
    <x v="2"/>
    <s v="ECG"/>
    <n v="34701.64"/>
    <n v="2"/>
    <s v="Transferred"/>
    <s v="18-35"/>
    <x v="1"/>
    <m/>
    <m/>
    <m/>
    <m/>
    <m/>
    <m/>
  </r>
  <r>
    <s v="P00326"/>
    <s v="Arjun Kumar"/>
    <n v="3"/>
    <s v="Other"/>
    <s v="Salem"/>
    <x v="3"/>
    <x v="3"/>
    <s v="Kidney Disease"/>
    <s v="Urgent"/>
    <d v="2024-11-15T00:00:00"/>
    <d v="2024-11-17T00:00:00"/>
    <n v="2"/>
    <x v="2"/>
    <s v="X-Ray"/>
    <n v="88157.23"/>
    <n v="3"/>
    <s v="Transferred"/>
    <s v="Under 18"/>
    <x v="21"/>
    <m/>
    <m/>
    <m/>
    <m/>
    <m/>
    <m/>
  </r>
  <r>
    <s v="P00327"/>
    <s v="Vivaan Sharma"/>
    <n v="71"/>
    <s v="Male"/>
    <s v="Chennai"/>
    <x v="1"/>
    <x v="4"/>
    <s v="No Chronic Condition"/>
    <s v="Urgent"/>
    <d v="2024-04-10T00:00:00"/>
    <d v="2024-09-10T00:00:00"/>
    <n v="5"/>
    <x v="2"/>
    <s v="Blood Test"/>
    <n v="77133.75"/>
    <n v="4"/>
    <s v="Left Against Medical Advice"/>
    <s v="66+"/>
    <x v="6"/>
    <m/>
    <m/>
    <m/>
    <m/>
    <m/>
    <m/>
  </r>
  <r>
    <s v="P00328"/>
    <s v="Karthik R"/>
    <n v="7"/>
    <s v="Female"/>
    <s v="Delhi"/>
    <x v="3"/>
    <x v="5"/>
    <s v="No Chronic Condition"/>
    <s v="Emergency"/>
    <d v="2025-12-03T00:00:00"/>
    <d v="2025-03-13T00:00:00"/>
    <n v="1"/>
    <x v="2"/>
    <s v="None"/>
    <n v="37960.57"/>
    <n v="4"/>
    <s v="Left Against Medical Advice"/>
    <s v="Under 18"/>
    <x v="1"/>
    <m/>
    <m/>
    <m/>
    <m/>
    <m/>
    <m/>
  </r>
  <r>
    <s v="P00329"/>
    <s v="Ishita Devi"/>
    <n v="13"/>
    <s v="Male"/>
    <s v="Mumbai"/>
    <x v="1"/>
    <x v="5"/>
    <s v="Heart Disease"/>
    <s v="Emergency"/>
    <d v="2024-11-13T00:00:00"/>
    <d v="2024-11-19T00:00:00"/>
    <n v="6"/>
    <x v="1"/>
    <s v="None"/>
    <n v="81163.72"/>
    <n v="3"/>
    <s v="Transferred"/>
    <s v="Under 18"/>
    <x v="21"/>
    <m/>
    <m/>
    <m/>
    <m/>
    <m/>
    <m/>
  </r>
  <r>
    <s v="P00330"/>
    <s v="Deepa Sharma"/>
    <n v="59"/>
    <s v="Male"/>
    <s v="Kochi"/>
    <x v="4"/>
    <x v="5"/>
    <s v="Asthma"/>
    <s v="Elective"/>
    <d v="2024-01-31T00:00:00"/>
    <d v="2024-04-02T00:00:00"/>
    <n v="4"/>
    <x v="2"/>
    <s v="MRI"/>
    <n v="32604.79"/>
    <n v="4"/>
    <s v="Home"/>
    <s v="51-65"/>
    <x v="0"/>
    <m/>
    <m/>
    <m/>
    <m/>
    <m/>
    <m/>
  </r>
  <r>
    <s v="P00331"/>
    <s v="Aditya Nair"/>
    <n v="39"/>
    <s v="Other"/>
    <s v="Coimbatore"/>
    <x v="2"/>
    <x v="7"/>
    <s v="Skin Infection"/>
    <s v="Urgent"/>
    <d v="2025-04-17T00:00:00"/>
    <d v="2025-04-22T00:00:00"/>
    <n v="5"/>
    <x v="4"/>
    <s v="None"/>
    <n v="23608.48"/>
    <n v="4"/>
    <s v="Left Against Medical Advice"/>
    <s v="36-50"/>
    <x v="5"/>
    <m/>
    <m/>
    <m/>
    <m/>
    <m/>
    <m/>
  </r>
  <r>
    <s v="P00332"/>
    <s v="Ishita Singh"/>
    <n v="73"/>
    <s v="Male"/>
    <s v="Mumbai"/>
    <x v="3"/>
    <x v="0"/>
    <s v="No Chronic Condition"/>
    <s v="Emergency"/>
    <d v="2025-11-07T00:00:00"/>
    <d v="2025-07-13T00:00:00"/>
    <n v="2"/>
    <x v="4"/>
    <s v="X-Ray"/>
    <n v="73082.62"/>
    <n v="2"/>
    <s v="Transferred"/>
    <s v="66+"/>
    <x v="11"/>
    <m/>
    <m/>
    <m/>
    <m/>
    <m/>
    <m/>
  </r>
  <r>
    <s v="P00333"/>
    <s v="Aditya Iyer"/>
    <n v="52"/>
    <s v="Female"/>
    <s v="Hyderabad"/>
    <x v="3"/>
    <x v="2"/>
    <s v="Migraine"/>
    <s v="Urgent"/>
    <d v="2025-04-09T00:00:00"/>
    <d v="2025-10-09T00:00:00"/>
    <n v="6"/>
    <x v="2"/>
    <s v="None"/>
    <n v="48083.55"/>
    <n v="4"/>
    <s v="Referred"/>
    <s v="51-65"/>
    <x v="5"/>
    <m/>
    <m/>
    <m/>
    <m/>
    <m/>
    <m/>
  </r>
  <r>
    <s v="P00334"/>
    <s v="Ananya Devi"/>
    <n v="85"/>
    <s v="Female"/>
    <s v="Pune"/>
    <x v="2"/>
    <x v="5"/>
    <s v="Heart Disease"/>
    <s v="Elective"/>
    <d v="2025-08-04T00:00:00"/>
    <d v="2025-10-04T00:00:00"/>
    <n v="2"/>
    <x v="2"/>
    <s v="ECG"/>
    <n v="27013.3"/>
    <n v="5"/>
    <s v="Home"/>
    <s v="66+"/>
    <x v="19"/>
    <m/>
    <m/>
    <m/>
    <m/>
    <m/>
    <m/>
  </r>
  <r>
    <s v="P00335"/>
    <s v="Aarav Iyer"/>
    <n v="79"/>
    <s v="Other"/>
    <s v="Pune"/>
    <x v="2"/>
    <x v="1"/>
    <s v="Skin Infection"/>
    <s v="Urgent"/>
    <d v="2025-02-17T00:00:00"/>
    <d v="2025-03-03T00:00:00"/>
    <n v="14"/>
    <x v="4"/>
    <s v="Ultrasound"/>
    <n v="136936.94"/>
    <n v="5"/>
    <s v="Transferred"/>
    <s v="66+"/>
    <x v="15"/>
    <m/>
    <m/>
    <m/>
    <m/>
    <m/>
    <m/>
  </r>
  <r>
    <s v="P00336"/>
    <s v="Meera Reddy"/>
    <n v="49"/>
    <s v="Male"/>
    <s v="Hyderabad"/>
    <x v="5"/>
    <x v="5"/>
    <s v="Asthma"/>
    <s v="Urgent"/>
    <d v="2025-01-25T00:00:00"/>
    <d v="2025-01-29T00:00:00"/>
    <n v="4"/>
    <x v="3"/>
    <s v="X-Ray"/>
    <n v="25740.560000000001"/>
    <n v="4"/>
    <s v="Home"/>
    <s v="36-50"/>
    <x v="22"/>
    <m/>
    <m/>
    <m/>
    <m/>
    <m/>
    <m/>
  </r>
  <r>
    <s v="P00337"/>
    <s v="Nisha Singh"/>
    <n v="10"/>
    <s v="Other"/>
    <s v="Salem"/>
    <x v="1"/>
    <x v="2"/>
    <s v="Asthma"/>
    <s v="Urgent"/>
    <d v="2024-01-17T00:00:00"/>
    <d v="2024-01-24T00:00:00"/>
    <n v="7"/>
    <x v="3"/>
    <s v="CT Scan"/>
    <n v="18180.43"/>
    <n v="4"/>
    <s v="Left Against Medical Advice"/>
    <s v="Under 18"/>
    <x v="0"/>
    <m/>
    <m/>
    <m/>
    <m/>
    <m/>
    <m/>
  </r>
  <r>
    <s v="P00338"/>
    <s v="Priya Reddy"/>
    <n v="71"/>
    <s v="Male"/>
    <s v="Kochi"/>
    <x v="3"/>
    <x v="1"/>
    <s v="No Chronic Condition"/>
    <s v="Elective"/>
    <d v="2025-01-28T00:00:00"/>
    <d v="2025-01-30T00:00:00"/>
    <n v="2"/>
    <x v="2"/>
    <s v="Blood Test"/>
    <n v="89854.41"/>
    <n v="5"/>
    <s v="Left Against Medical Advice"/>
    <s v="66+"/>
    <x v="22"/>
    <m/>
    <m/>
    <m/>
    <m/>
    <m/>
    <m/>
  </r>
  <r>
    <s v="P00339"/>
    <s v="Ishita R"/>
    <n v="48"/>
    <s v="Female"/>
    <s v="Coimbatore"/>
    <x v="1"/>
    <x v="4"/>
    <s v="Kidney Disease"/>
    <s v="Urgent"/>
    <d v="2025-08-17T00:00:00"/>
    <d v="2025-08-24T00:00:00"/>
    <n v="7"/>
    <x v="2"/>
    <s v="Ultrasound"/>
    <n v="49737.32"/>
    <n v="4"/>
    <s v="Transferred"/>
    <s v="36-50"/>
    <x v="19"/>
    <m/>
    <m/>
    <m/>
    <m/>
    <m/>
    <m/>
  </r>
  <r>
    <s v="P00340"/>
    <s v="Ananya Devi"/>
    <n v="79"/>
    <s v="Female"/>
    <s v="Hyderabad"/>
    <x v="4"/>
    <x v="5"/>
    <s v="No Chronic Condition"/>
    <s v="Urgent"/>
    <d v="2024-12-17T00:00:00"/>
    <d v="2024-12-25T00:00:00"/>
    <n v="8"/>
    <x v="0"/>
    <s v="Ultrasound"/>
    <n v="81960.58"/>
    <n v="4"/>
    <s v="Transferred"/>
    <s v="66+"/>
    <x v="8"/>
    <m/>
    <m/>
    <m/>
    <m/>
    <m/>
    <m/>
  </r>
  <r>
    <s v="P00341"/>
    <s v="Aditya Sharma"/>
    <n v="73"/>
    <s v="Male"/>
    <s v="Kochi"/>
    <x v="4"/>
    <x v="1"/>
    <s v="Fracture"/>
    <s v="Elective"/>
    <d v="2024-03-03T00:00:00"/>
    <d v="2024-07-03T00:00:00"/>
    <n v="4"/>
    <x v="1"/>
    <s v="X-Ray"/>
    <n v="125180.88"/>
    <n v="3"/>
    <s v="Transferred"/>
    <s v="66+"/>
    <x v="18"/>
    <m/>
    <m/>
    <m/>
    <m/>
    <m/>
    <m/>
  </r>
  <r>
    <s v="P00342"/>
    <s v="Sathya Singh"/>
    <n v="36"/>
    <s v="Male"/>
    <s v="Hyderabad"/>
    <x v="3"/>
    <x v="6"/>
    <s v="Kidney Disease"/>
    <s v="Emergency"/>
    <d v="2024-01-15T00:00:00"/>
    <d v="2024-01-16T00:00:00"/>
    <n v="1"/>
    <x v="1"/>
    <s v="Blood Test"/>
    <n v="52946.98"/>
    <n v="5"/>
    <s v="Referred"/>
    <s v="36-50"/>
    <x v="0"/>
    <m/>
    <m/>
    <m/>
    <m/>
    <m/>
    <m/>
  </r>
  <r>
    <s v="P00343"/>
    <s v="Meera Kumar"/>
    <n v="77"/>
    <s v="Female"/>
    <s v="Madurai"/>
    <x v="4"/>
    <x v="5"/>
    <s v="Asthma"/>
    <s v="Emergency"/>
    <d v="2025-05-22T00:00:00"/>
    <d v="2025-05-30T00:00:00"/>
    <n v="8"/>
    <x v="3"/>
    <s v="CT Scan"/>
    <n v="34240.68"/>
    <n v="5"/>
    <s v="Left Against Medical Advice"/>
    <s v="66+"/>
    <x v="4"/>
    <m/>
    <m/>
    <m/>
    <m/>
    <m/>
    <m/>
  </r>
  <r>
    <s v="P00344"/>
    <s v="Nisha Kumar"/>
    <n v="61"/>
    <s v="Male"/>
    <s v="Madurai"/>
    <x v="1"/>
    <x v="2"/>
    <s v="Kidney Disease"/>
    <s v="Elective"/>
    <d v="2025-02-05T00:00:00"/>
    <d v="2025-04-05T00:00:00"/>
    <n v="2"/>
    <x v="1"/>
    <s v="ECG"/>
    <n v="31171.64"/>
    <n v="4"/>
    <s v="Home"/>
    <s v="51-65"/>
    <x v="15"/>
    <m/>
    <m/>
    <m/>
    <m/>
    <m/>
    <m/>
  </r>
  <r>
    <s v="P00345"/>
    <s v="Divya Singh"/>
    <n v="13"/>
    <s v="Other"/>
    <s v="Coimbatore"/>
    <x v="2"/>
    <x v="3"/>
    <s v="Fracture"/>
    <s v="Urgent"/>
    <d v="2025-10-14T00:00:00"/>
    <d v="2025-10-30T00:00:00"/>
    <n v="16"/>
    <x v="0"/>
    <s v="None"/>
    <n v="50728.51"/>
    <n v="4"/>
    <s v="Referred"/>
    <s v="Under 18"/>
    <x v="17"/>
    <m/>
    <m/>
    <m/>
    <m/>
    <m/>
    <m/>
  </r>
  <r>
    <s v="P00346"/>
    <s v="Priya Iyer"/>
    <n v="67"/>
    <s v="Male"/>
    <s v="Chennai"/>
    <x v="4"/>
    <x v="0"/>
    <s v="Kidney Disease"/>
    <s v="Urgent"/>
    <d v="2025-11-24T00:00:00"/>
    <d v="2025-11-25T00:00:00"/>
    <n v="1"/>
    <x v="2"/>
    <s v="Blood Test"/>
    <n v="37660.699999999997"/>
    <n v="5"/>
    <s v="Referred"/>
    <s v="66+"/>
    <x v="11"/>
    <m/>
    <m/>
    <m/>
    <m/>
    <m/>
    <m/>
  </r>
  <r>
    <s v="P00347"/>
    <s v="Aditya Singh"/>
    <n v="77"/>
    <s v="Other"/>
    <s v="Madurai"/>
    <x v="1"/>
    <x v="6"/>
    <s v="Hypertension"/>
    <s v="Urgent"/>
    <d v="2024-04-05T00:00:00"/>
    <d v="2024-09-05T00:00:00"/>
    <n v="5"/>
    <x v="1"/>
    <s v="MRI"/>
    <n v="89653.85"/>
    <n v="4"/>
    <s v="Referred"/>
    <s v="66+"/>
    <x v="6"/>
    <m/>
    <m/>
    <m/>
    <m/>
    <m/>
    <m/>
  </r>
  <r>
    <s v="P00348"/>
    <s v="Karthik Reddy"/>
    <n v="10"/>
    <s v="Male"/>
    <s v="Hyderabad"/>
    <x v="2"/>
    <x v="4"/>
    <s v="Fracture"/>
    <s v="Elective"/>
    <d v="2024-04-03T00:00:00"/>
    <d v="2024-07-03T00:00:00"/>
    <n v="3"/>
    <x v="2"/>
    <s v="X-Ray"/>
    <n v="24988.85"/>
    <n v="2"/>
    <s v="Left Against Medical Advice"/>
    <s v="Under 18"/>
    <x v="6"/>
    <m/>
    <m/>
    <m/>
    <m/>
    <m/>
    <m/>
  </r>
  <r>
    <s v="P00349"/>
    <s v="Aarav Kumar"/>
    <n v="28"/>
    <s v="Other"/>
    <s v="Pune"/>
    <x v="5"/>
    <x v="4"/>
    <s v="Kidney Disease"/>
    <s v="Emergency"/>
    <d v="2025-10-20T00:00:00"/>
    <d v="2025-10-21T00:00:00"/>
    <n v="1"/>
    <x v="1"/>
    <s v="CT Scan"/>
    <n v="13369.83"/>
    <n v="4"/>
    <s v="Home"/>
    <s v="18-35"/>
    <x v="17"/>
    <m/>
    <m/>
    <m/>
    <m/>
    <m/>
    <m/>
  </r>
  <r>
    <s v="P00350"/>
    <s v="Lakshmi R"/>
    <n v="66"/>
    <s v="Other"/>
    <s v="Salem"/>
    <x v="3"/>
    <x v="0"/>
    <s v="Skin Infection"/>
    <s v="Elective"/>
    <d v="2025-05-17T00:00:00"/>
    <d v="2025-05-20T00:00:00"/>
    <n v="3"/>
    <x v="1"/>
    <s v="Ultrasound"/>
    <n v="28486.82"/>
    <n v="4"/>
    <s v="Transferred"/>
    <s v="66+"/>
    <x v="4"/>
    <m/>
    <m/>
    <m/>
    <m/>
    <m/>
    <m/>
  </r>
  <r>
    <s v="P00351"/>
    <s v="Karthik Sharma"/>
    <n v="52"/>
    <s v="Female"/>
    <s v="Kochi"/>
    <x v="4"/>
    <x v="3"/>
    <s v="Hypertension"/>
    <s v="Elective"/>
    <d v="2025-09-10T00:00:00"/>
    <d v="2025-10-10T00:00:00"/>
    <n v="1"/>
    <x v="3"/>
    <s v="MRI"/>
    <n v="138327.32"/>
    <n v="3"/>
    <s v="Left Against Medical Advice"/>
    <s v="51-65"/>
    <x v="7"/>
    <m/>
    <m/>
    <m/>
    <m/>
    <m/>
    <m/>
  </r>
  <r>
    <s v="P00352"/>
    <s v="Deepa Iyer"/>
    <n v="14"/>
    <s v="Other"/>
    <s v="Delhi"/>
    <x v="1"/>
    <x v="5"/>
    <s v="Heart Disease"/>
    <s v="Emergency"/>
    <d v="2025-06-12T00:00:00"/>
    <d v="2025-10-12T00:00:00"/>
    <n v="4"/>
    <x v="0"/>
    <s v="Ultrasound"/>
    <n v="22215.84"/>
    <n v="3"/>
    <s v="Transferred"/>
    <s v="Under 18"/>
    <x v="10"/>
    <m/>
    <m/>
    <m/>
    <m/>
    <m/>
    <m/>
  </r>
  <r>
    <s v="P00353"/>
    <s v="Aditya Kumar"/>
    <n v="64"/>
    <s v="Other"/>
    <s v="Hyderabad"/>
    <x v="1"/>
    <x v="5"/>
    <s v="Skin Infection"/>
    <s v="Urgent"/>
    <d v="2025-05-04T00:00:00"/>
    <d v="2025-06-04T00:00:00"/>
    <n v="1"/>
    <x v="2"/>
    <s v="CT Scan"/>
    <n v="22873.61"/>
    <n v="4"/>
    <s v="Home"/>
    <s v="51-65"/>
    <x v="4"/>
    <m/>
    <m/>
    <m/>
    <m/>
    <m/>
    <m/>
  </r>
  <r>
    <s v="P00354"/>
    <s v="Deepa R"/>
    <n v="32"/>
    <s v="Other"/>
    <s v="Bengaluru"/>
    <x v="4"/>
    <x v="4"/>
    <s v="Hypertension"/>
    <s v="Elective"/>
    <d v="2025-10-26T00:00:00"/>
    <d v="2025-10-27T00:00:00"/>
    <n v="1"/>
    <x v="0"/>
    <s v="None"/>
    <n v="45301.48"/>
    <n v="3"/>
    <s v="Referred"/>
    <s v="18-35"/>
    <x v="17"/>
    <m/>
    <m/>
    <m/>
    <m/>
    <m/>
    <m/>
  </r>
  <r>
    <s v="P00355"/>
    <s v="Manoj Sharma"/>
    <n v="9"/>
    <s v="Female"/>
    <s v="Mumbai"/>
    <x v="0"/>
    <x v="2"/>
    <s v="Migraine"/>
    <s v="Emergency"/>
    <d v="2025-12-03T00:00:00"/>
    <d v="2025-03-21T00:00:00"/>
    <n v="9"/>
    <x v="0"/>
    <s v="X-Ray"/>
    <n v="26023.22"/>
    <n v="4"/>
    <s v="Transferred"/>
    <s v="Under 18"/>
    <x v="1"/>
    <m/>
    <m/>
    <m/>
    <m/>
    <m/>
    <m/>
  </r>
  <r>
    <s v="P00356"/>
    <s v="Ishita Reddy"/>
    <n v="9"/>
    <s v="Female"/>
    <s v="Hyderabad"/>
    <x v="4"/>
    <x v="7"/>
    <s v="No Chronic Condition"/>
    <s v="Elective"/>
    <d v="2024-07-10T00:00:00"/>
    <d v="2024-10-10T00:00:00"/>
    <n v="3"/>
    <x v="2"/>
    <s v="Blood Test"/>
    <n v="14971.02"/>
    <n v="2"/>
    <s v="Home"/>
    <s v="Under 18"/>
    <x v="12"/>
    <m/>
    <m/>
    <m/>
    <m/>
    <m/>
    <m/>
  </r>
  <r>
    <s v="P00357"/>
    <s v="Rahul Singh"/>
    <n v="23"/>
    <s v="Female"/>
    <s v="Pune"/>
    <x v="0"/>
    <x v="5"/>
    <s v="Asthma"/>
    <s v="Emergency"/>
    <d v="2025-12-24T00:00:00"/>
    <d v="2025-12-29T00:00:00"/>
    <n v="5"/>
    <x v="0"/>
    <s v="Ultrasound"/>
    <n v="27049.7"/>
    <n v="4"/>
    <s v="Home"/>
    <s v="18-35"/>
    <x v="1"/>
    <m/>
    <m/>
    <m/>
    <m/>
    <m/>
    <m/>
  </r>
  <r>
    <s v="P00358"/>
    <s v="Arjun Nair"/>
    <n v="77"/>
    <s v="Female"/>
    <s v="Kochi"/>
    <x v="3"/>
    <x v="1"/>
    <s v="Skin Infection"/>
    <s v="Emergency"/>
    <d v="2025-05-26T00:00:00"/>
    <d v="2025-03-06T00:00:00"/>
    <n v="8"/>
    <x v="4"/>
    <s v="None"/>
    <n v="47662.82"/>
    <n v="4"/>
    <s v="Referred"/>
    <s v="66+"/>
    <x v="4"/>
    <m/>
    <m/>
    <m/>
    <m/>
    <m/>
    <m/>
  </r>
  <r>
    <s v="P00359"/>
    <s v="Vivaan Kumar"/>
    <n v="36"/>
    <s v="Female"/>
    <s v="Mumbai"/>
    <x v="5"/>
    <x v="5"/>
    <s v="Kidney Disease"/>
    <s v="Emergency"/>
    <d v="2024-07-17T00:00:00"/>
    <d v="2024-07-26T00:00:00"/>
    <n v="9"/>
    <x v="4"/>
    <s v="MRI"/>
    <n v="31089.55"/>
    <n v="4"/>
    <s v="Transferred"/>
    <s v="36-50"/>
    <x v="12"/>
    <m/>
    <m/>
    <m/>
    <m/>
    <m/>
    <m/>
  </r>
  <r>
    <s v="P00360"/>
    <s v="Sathya Singh"/>
    <n v="79"/>
    <s v="Male"/>
    <s v="Salem"/>
    <x v="3"/>
    <x v="6"/>
    <s v="Asthma"/>
    <s v="Elective"/>
    <d v="2024-02-14T00:00:00"/>
    <d v="2024-02-21T00:00:00"/>
    <n v="7"/>
    <x v="4"/>
    <s v="X-Ray"/>
    <n v="113480.24"/>
    <n v="2"/>
    <s v="Transferred"/>
    <s v="66+"/>
    <x v="2"/>
    <m/>
    <m/>
    <m/>
    <m/>
    <m/>
    <m/>
  </r>
  <r>
    <s v="P00361"/>
    <s v="Deepa Singh"/>
    <n v="30"/>
    <s v="Female"/>
    <s v="Chennai"/>
    <x v="1"/>
    <x v="7"/>
    <s v="Pneumonia"/>
    <s v="Emergency"/>
    <d v="2024-11-29T00:00:00"/>
    <d v="2024-11-30T00:00:00"/>
    <n v="1"/>
    <x v="3"/>
    <s v="ECG"/>
    <n v="77069.66"/>
    <n v="2"/>
    <s v="Left Against Medical Advice"/>
    <s v="18-35"/>
    <x v="21"/>
    <m/>
    <m/>
    <m/>
    <m/>
    <m/>
    <m/>
  </r>
  <r>
    <s v="P00362"/>
    <s v="Vivaan Devi"/>
    <n v="23"/>
    <s v="Male"/>
    <s v="Hyderabad"/>
    <x v="4"/>
    <x v="3"/>
    <s v="Fracture"/>
    <s v="Elective"/>
    <d v="2025-01-17T00:00:00"/>
    <d v="2025-01-21T00:00:00"/>
    <n v="4"/>
    <x v="4"/>
    <s v="CT Scan"/>
    <n v="35177.599999999999"/>
    <n v="4"/>
    <s v="Referred"/>
    <s v="18-35"/>
    <x v="22"/>
    <m/>
    <m/>
    <m/>
    <m/>
    <m/>
    <m/>
  </r>
  <r>
    <s v="P00363"/>
    <s v="Rahul Singh"/>
    <n v="44"/>
    <s v="Female"/>
    <s v="Coimbatore"/>
    <x v="3"/>
    <x v="6"/>
    <s v="No Chronic Condition"/>
    <s v="Elective"/>
    <d v="2024-10-29T00:00:00"/>
    <d v="2024-10-30T00:00:00"/>
    <n v="1"/>
    <x v="4"/>
    <s v="MRI"/>
    <n v="163114.13"/>
    <n v="2"/>
    <s v="Home"/>
    <s v="36-50"/>
    <x v="20"/>
    <m/>
    <m/>
    <m/>
    <m/>
    <m/>
    <m/>
  </r>
  <r>
    <s v="P00364"/>
    <s v="Lakshmi Kumar"/>
    <n v="55"/>
    <s v="Other"/>
    <s v="Pune"/>
    <x v="3"/>
    <x v="6"/>
    <s v="No Chronic Condition"/>
    <s v="Elective"/>
    <d v="2024-09-09T00:00:00"/>
    <d v="2024-11-09T00:00:00"/>
    <n v="2"/>
    <x v="4"/>
    <s v="None"/>
    <n v="122253.66"/>
    <n v="2"/>
    <s v="Home"/>
    <s v="51-65"/>
    <x v="13"/>
    <m/>
    <m/>
    <m/>
    <m/>
    <m/>
    <m/>
  </r>
  <r>
    <s v="P00365"/>
    <s v="Aditya Kumar"/>
    <n v="58"/>
    <s v="Male"/>
    <s v="Delhi"/>
    <x v="2"/>
    <x v="2"/>
    <s v="Heart Disease"/>
    <s v="Elective"/>
    <d v="2024-03-09T00:00:00"/>
    <d v="2024-07-09T00:00:00"/>
    <n v="4"/>
    <x v="3"/>
    <s v="Ultrasound"/>
    <n v="21687.98"/>
    <n v="3"/>
    <s v="Left Against Medical Advice"/>
    <s v="51-65"/>
    <x v="18"/>
    <m/>
    <m/>
    <m/>
    <m/>
    <m/>
    <m/>
  </r>
  <r>
    <s v="P00366"/>
    <s v="Aditya Reddy"/>
    <n v="74"/>
    <s v="Other"/>
    <s v="Mumbai"/>
    <x v="3"/>
    <x v="6"/>
    <s v="Migraine"/>
    <s v="Emergency"/>
    <d v="2025-08-20T00:00:00"/>
    <d v="2025-08-21T00:00:00"/>
    <n v="1"/>
    <x v="1"/>
    <s v="CT Scan"/>
    <n v="105898.51"/>
    <n v="1"/>
    <s v="Transferred"/>
    <s v="66+"/>
    <x v="19"/>
    <m/>
    <m/>
    <m/>
    <m/>
    <m/>
    <m/>
  </r>
  <r>
    <s v="P00367"/>
    <s v="Vivaan Nair"/>
    <n v="90"/>
    <s v="Other"/>
    <s v="Chennai"/>
    <x v="4"/>
    <x v="0"/>
    <s v="No Chronic Condition"/>
    <s v="Elective"/>
    <d v="2025-09-07T00:00:00"/>
    <d v="2025-07-18T00:00:00"/>
    <n v="9"/>
    <x v="1"/>
    <s v="CT Scan"/>
    <n v="95377.31"/>
    <n v="5"/>
    <s v="Home"/>
    <s v="66+"/>
    <x v="7"/>
    <m/>
    <m/>
    <m/>
    <m/>
    <m/>
    <m/>
  </r>
  <r>
    <s v="P00368"/>
    <s v="Arjun Singh"/>
    <n v="47"/>
    <s v="Male"/>
    <s v="Salem"/>
    <x v="2"/>
    <x v="7"/>
    <s v="Asthma"/>
    <s v="Emergency"/>
    <d v="2024-06-28T00:00:00"/>
    <d v="2024-03-07T00:00:00"/>
    <n v="5"/>
    <x v="3"/>
    <s v="MRI"/>
    <n v="83631.37"/>
    <n v="3"/>
    <s v="Transferred"/>
    <s v="36-50"/>
    <x v="9"/>
    <m/>
    <m/>
    <m/>
    <m/>
    <m/>
    <m/>
  </r>
  <r>
    <s v="P00369"/>
    <s v="Manoj Devi"/>
    <n v="35"/>
    <s v="Other"/>
    <s v="Delhi"/>
    <x v="3"/>
    <x v="3"/>
    <s v="Kidney Disease"/>
    <s v="Elective"/>
    <d v="2025-11-27T00:00:00"/>
    <d v="2025-11-29T00:00:00"/>
    <n v="2"/>
    <x v="2"/>
    <s v="X-Ray"/>
    <n v="79506.58"/>
    <n v="3"/>
    <s v="Left Against Medical Advice"/>
    <s v="18-35"/>
    <x v="11"/>
    <m/>
    <m/>
    <m/>
    <m/>
    <m/>
    <m/>
  </r>
  <r>
    <s v="P00370"/>
    <s v="Lakshmi Sharma"/>
    <n v="12"/>
    <s v="Female"/>
    <s v="Coimbatore"/>
    <x v="3"/>
    <x v="0"/>
    <s v="Asthma"/>
    <s v="Urgent"/>
    <d v="2025-04-02T00:00:00"/>
    <d v="2025-06-02T00:00:00"/>
    <n v="2"/>
    <x v="2"/>
    <s v="MRI"/>
    <n v="32143.82"/>
    <n v="4"/>
    <s v="Left Against Medical Advice"/>
    <s v="Under 18"/>
    <x v="5"/>
    <m/>
    <m/>
    <m/>
    <m/>
    <m/>
    <m/>
  </r>
  <r>
    <s v="P00371"/>
    <s v="Rahul Nair"/>
    <n v="88"/>
    <s v="Other"/>
    <s v="Pune"/>
    <x v="3"/>
    <x v="1"/>
    <s v="Fracture"/>
    <s v="Elective"/>
    <d v="2024-05-15T00:00:00"/>
    <d v="2024-05-18T00:00:00"/>
    <n v="3"/>
    <x v="1"/>
    <s v="CT Scan"/>
    <n v="31473.43"/>
    <n v="5"/>
    <s v="Left Against Medical Advice"/>
    <s v="66+"/>
    <x v="23"/>
    <m/>
    <m/>
    <m/>
    <m/>
    <m/>
    <m/>
  </r>
  <r>
    <s v="P00372"/>
    <s v="Sanjay Devi"/>
    <n v="59"/>
    <s v="Male"/>
    <s v="Hyderabad"/>
    <x v="0"/>
    <x v="1"/>
    <s v="Asthma"/>
    <s v="Urgent"/>
    <d v="2025-03-08T00:00:00"/>
    <d v="2025-06-08T00:00:00"/>
    <n v="3"/>
    <x v="3"/>
    <s v="X-Ray"/>
    <n v="60834.91"/>
    <n v="3"/>
    <s v="Referred"/>
    <s v="51-65"/>
    <x v="14"/>
    <m/>
    <m/>
    <m/>
    <m/>
    <m/>
    <m/>
  </r>
  <r>
    <s v="P00373"/>
    <s v="Meera Sharma"/>
    <n v="15"/>
    <s v="Female"/>
    <s v="Mumbai"/>
    <x v="1"/>
    <x v="6"/>
    <s v="Heart Disease"/>
    <s v="Urgent"/>
    <d v="2024-11-20T00:00:00"/>
    <d v="2024-11-21T00:00:00"/>
    <n v="1"/>
    <x v="3"/>
    <s v="ECG"/>
    <n v="65330.47"/>
    <n v="3"/>
    <s v="Transferred"/>
    <s v="Under 18"/>
    <x v="21"/>
    <m/>
    <m/>
    <m/>
    <m/>
    <m/>
    <m/>
  </r>
  <r>
    <s v="P00374"/>
    <s v="Kavya Devi"/>
    <n v="16"/>
    <s v="Female"/>
    <s v="Delhi"/>
    <x v="5"/>
    <x v="3"/>
    <s v="Asthma"/>
    <s v="Urgent"/>
    <d v="2025-02-18T00:00:00"/>
    <d v="2025-02-26T00:00:00"/>
    <n v="8"/>
    <x v="3"/>
    <s v="None"/>
    <n v="28700.35"/>
    <n v="5"/>
    <s v="Left Against Medical Advice"/>
    <s v="Under 18"/>
    <x v="15"/>
    <m/>
    <m/>
    <m/>
    <m/>
    <m/>
    <m/>
  </r>
  <r>
    <s v="P00375"/>
    <s v="Sathya Singh"/>
    <n v="44"/>
    <s v="Other"/>
    <s v="Mumbai"/>
    <x v="4"/>
    <x v="0"/>
    <s v="Fracture"/>
    <s v="Elective"/>
    <d v="2024-04-25T00:00:00"/>
    <d v="2024-04-29T00:00:00"/>
    <n v="4"/>
    <x v="2"/>
    <s v="ECG"/>
    <n v="13810.08"/>
    <n v="4"/>
    <s v="Referred"/>
    <s v="36-50"/>
    <x v="6"/>
    <m/>
    <m/>
    <m/>
    <m/>
    <m/>
    <m/>
  </r>
  <r>
    <s v="P00376"/>
    <s v="Lakshmi Nair"/>
    <n v="75"/>
    <s v="Other"/>
    <s v="Salem"/>
    <x v="3"/>
    <x v="5"/>
    <s v="Hypertension"/>
    <s v="Urgent"/>
    <d v="2024-08-15T00:00:00"/>
    <d v="2024-08-17T00:00:00"/>
    <n v="2"/>
    <x v="2"/>
    <s v="Ultrasound"/>
    <n v="83236.28"/>
    <n v="4"/>
    <s v="Transferred"/>
    <s v="66+"/>
    <x v="3"/>
    <m/>
    <m/>
    <m/>
    <m/>
    <m/>
    <m/>
  </r>
  <r>
    <s v="P00377"/>
    <s v="Karthik Singh"/>
    <n v="51"/>
    <s v="Female"/>
    <s v="Pune"/>
    <x v="1"/>
    <x v="3"/>
    <s v="Migraine"/>
    <s v="Elective"/>
    <d v="2025-03-13T00:00:00"/>
    <d v="2025-03-16T00:00:00"/>
    <n v="3"/>
    <x v="3"/>
    <s v="None"/>
    <n v="55219.49"/>
    <n v="4"/>
    <s v="Left Against Medical Advice"/>
    <s v="51-65"/>
    <x v="14"/>
    <m/>
    <m/>
    <m/>
    <m/>
    <m/>
    <m/>
  </r>
  <r>
    <s v="P00378"/>
    <s v="Deepa Reddy"/>
    <n v="54"/>
    <s v="Female"/>
    <s v="Bengaluru"/>
    <x v="4"/>
    <x v="5"/>
    <s v="Skin Infection"/>
    <s v="Elective"/>
    <d v="2025-08-24T00:00:00"/>
    <d v="2025-08-25T00:00:00"/>
    <n v="1"/>
    <x v="1"/>
    <s v="CT Scan"/>
    <n v="84024.6"/>
    <n v="2"/>
    <s v="Referred"/>
    <s v="51-65"/>
    <x v="19"/>
    <m/>
    <m/>
    <m/>
    <m/>
    <m/>
    <m/>
  </r>
  <r>
    <s v="P00379"/>
    <s v="Deepa Devi"/>
    <n v="72"/>
    <s v="Male"/>
    <s v="Delhi"/>
    <x v="3"/>
    <x v="5"/>
    <s v="Diabetes"/>
    <s v="Urgent"/>
    <d v="2025-12-28T00:00:00"/>
    <d v="2025-12-29T00:00:00"/>
    <n v="1"/>
    <x v="4"/>
    <s v="X-Ray"/>
    <n v="72064.34"/>
    <n v="3"/>
    <s v="Home"/>
    <s v="66+"/>
    <x v="1"/>
    <m/>
    <m/>
    <m/>
    <m/>
    <m/>
    <m/>
  </r>
  <r>
    <s v="P00380"/>
    <s v="Sathya Kumar"/>
    <n v="1"/>
    <s v="Female"/>
    <s v="Bengaluru"/>
    <x v="5"/>
    <x v="4"/>
    <s v="Pneumonia"/>
    <s v="Elective"/>
    <d v="2024-09-25T00:00:00"/>
    <d v="2024-09-29T00:00:00"/>
    <n v="4"/>
    <x v="2"/>
    <s v="ECG"/>
    <n v="25094.18"/>
    <n v="5"/>
    <s v="Transferred"/>
    <s v="Under 18"/>
    <x v="13"/>
    <m/>
    <m/>
    <m/>
    <m/>
    <m/>
    <m/>
  </r>
  <r>
    <s v="P00381"/>
    <s v="Aarav Devi"/>
    <n v="75"/>
    <s v="Male"/>
    <s v="Hyderabad"/>
    <x v="3"/>
    <x v="5"/>
    <s v="Hypertension"/>
    <s v="Emergency"/>
    <d v="2025-02-08T00:00:00"/>
    <d v="2025-08-14T00:00:00"/>
    <n v="12"/>
    <x v="3"/>
    <s v="MRI"/>
    <n v="49054.7"/>
    <n v="5"/>
    <s v="Left Against Medical Advice"/>
    <s v="66+"/>
    <x v="15"/>
    <m/>
    <m/>
    <m/>
    <m/>
    <m/>
    <m/>
  </r>
  <r>
    <s v="P00382"/>
    <s v="Rahul Iyer"/>
    <n v="89"/>
    <s v="Female"/>
    <s v="Hyderabad"/>
    <x v="4"/>
    <x v="3"/>
    <s v="Diabetes"/>
    <s v="Urgent"/>
    <d v="2024-12-31T00:00:00"/>
    <d v="2025-01-01T00:00:00"/>
    <n v="1"/>
    <x v="3"/>
    <s v="ECG"/>
    <n v="55596.92"/>
    <n v="5"/>
    <s v="Transferred"/>
    <s v="66+"/>
    <x v="8"/>
    <m/>
    <m/>
    <m/>
    <m/>
    <m/>
    <m/>
  </r>
  <r>
    <s v="P00383"/>
    <s v="Aarav Sharma"/>
    <n v="41"/>
    <s v="Other"/>
    <s v="Kochi"/>
    <x v="5"/>
    <x v="0"/>
    <s v="Skin Infection"/>
    <s v="Elective"/>
    <d v="2024-04-11T00:00:00"/>
    <d v="2024-10-11T00:00:00"/>
    <n v="6"/>
    <x v="4"/>
    <s v="CT Scan"/>
    <n v="54343.4"/>
    <n v="5"/>
    <s v="Transferred"/>
    <s v="36-50"/>
    <x v="6"/>
    <m/>
    <m/>
    <m/>
    <m/>
    <m/>
    <m/>
  </r>
  <r>
    <s v="P00384"/>
    <s v="Rohan Kumar"/>
    <n v="21"/>
    <s v="Female"/>
    <s v="Delhi"/>
    <x v="5"/>
    <x v="0"/>
    <s v="Pneumonia"/>
    <s v="Elective"/>
    <d v="2024-11-08T00:00:00"/>
    <d v="2024-08-15T00:00:00"/>
    <n v="4"/>
    <x v="1"/>
    <s v="X-Ray"/>
    <n v="45615.87"/>
    <n v="2"/>
    <s v="Left Against Medical Advice"/>
    <s v="18-35"/>
    <x v="21"/>
    <m/>
    <m/>
    <m/>
    <m/>
    <m/>
    <m/>
  </r>
  <r>
    <s v="P00385"/>
    <s v="Aarav Singh"/>
    <n v="77"/>
    <s v="Other"/>
    <s v="Pune"/>
    <x v="4"/>
    <x v="6"/>
    <s v="Hypertension"/>
    <s v="Emergency"/>
    <d v="2024-12-16T00:00:00"/>
    <d v="2024-12-18T00:00:00"/>
    <n v="2"/>
    <x v="2"/>
    <s v="Blood Test"/>
    <n v="81149.34"/>
    <n v="2"/>
    <s v="Home"/>
    <s v="66+"/>
    <x v="8"/>
    <m/>
    <m/>
    <m/>
    <m/>
    <m/>
    <m/>
  </r>
  <r>
    <s v="P00386"/>
    <s v="Karthik Sharma"/>
    <n v="61"/>
    <s v="Female"/>
    <s v="Mumbai"/>
    <x v="4"/>
    <x v="0"/>
    <s v="Hypertension"/>
    <s v="Emergency"/>
    <d v="2024-09-16T00:00:00"/>
    <d v="2024-09-17T00:00:00"/>
    <n v="1"/>
    <x v="3"/>
    <s v="None"/>
    <n v="79167.16"/>
    <n v="3"/>
    <s v="Transferred"/>
    <s v="51-65"/>
    <x v="13"/>
    <m/>
    <m/>
    <m/>
    <m/>
    <m/>
    <m/>
  </r>
  <r>
    <s v="P00387"/>
    <s v="Deepa Kumar"/>
    <n v="75"/>
    <s v="Male"/>
    <s v="Kochi"/>
    <x v="0"/>
    <x v="7"/>
    <s v="Skin Infection"/>
    <s v="Urgent"/>
    <d v="2024-12-26T00:00:00"/>
    <d v="2025-06-01T00:00:00"/>
    <n v="11"/>
    <x v="3"/>
    <s v="MRI"/>
    <n v="67033.98"/>
    <n v="2"/>
    <s v="Referred"/>
    <s v="66+"/>
    <x v="8"/>
    <m/>
    <m/>
    <m/>
    <m/>
    <m/>
    <m/>
  </r>
  <r>
    <s v="P00388"/>
    <s v="Divya Reddy"/>
    <n v="69"/>
    <s v="Female"/>
    <s v="Coimbatore"/>
    <x v="3"/>
    <x v="6"/>
    <s v="Kidney Disease"/>
    <s v="Emergency"/>
    <d v="2024-11-04T00:00:00"/>
    <d v="2024-04-15T00:00:00"/>
    <n v="4"/>
    <x v="4"/>
    <s v="Blood Test"/>
    <n v="79309.13"/>
    <n v="5"/>
    <s v="Transferred"/>
    <s v="66+"/>
    <x v="21"/>
    <m/>
    <m/>
    <m/>
    <m/>
    <m/>
    <m/>
  </r>
  <r>
    <s v="P00389"/>
    <s v="Lakshmi R"/>
    <n v="16"/>
    <s v="Male"/>
    <s v="Pune"/>
    <x v="5"/>
    <x v="4"/>
    <s v="Skin Infection"/>
    <s v="Elective"/>
    <d v="2024-04-22T00:00:00"/>
    <d v="2024-04-23T00:00:00"/>
    <n v="1"/>
    <x v="0"/>
    <s v="Ultrasound"/>
    <n v="64715.97"/>
    <n v="2"/>
    <s v="Transferred"/>
    <s v="Under 18"/>
    <x v="6"/>
    <m/>
    <m/>
    <m/>
    <m/>
    <m/>
    <m/>
  </r>
  <r>
    <s v="P00390"/>
    <s v="Lakshmi Nair"/>
    <n v="88"/>
    <s v="Male"/>
    <s v="Hyderabad"/>
    <x v="4"/>
    <x v="2"/>
    <s v="Heart Disease"/>
    <s v="Urgent"/>
    <d v="2024-08-19T00:00:00"/>
    <d v="2024-08-22T00:00:00"/>
    <n v="3"/>
    <x v="4"/>
    <s v="Ultrasound"/>
    <n v="74544.479999999996"/>
    <n v="5"/>
    <s v="Home"/>
    <s v="66+"/>
    <x v="3"/>
    <m/>
    <m/>
    <m/>
    <m/>
    <m/>
    <m/>
  </r>
  <r>
    <s v="P00391"/>
    <s v="Sanjay R"/>
    <n v="51"/>
    <s v="Male"/>
    <s v="Mumbai"/>
    <x v="0"/>
    <x v="2"/>
    <s v="Pneumonia"/>
    <s v="Elective"/>
    <d v="2025-06-19T00:00:00"/>
    <d v="2025-06-25T00:00:00"/>
    <n v="6"/>
    <x v="3"/>
    <s v="ECG"/>
    <n v="62737.71"/>
    <n v="5"/>
    <s v="Left Against Medical Advice"/>
    <s v="51-65"/>
    <x v="10"/>
    <m/>
    <m/>
    <m/>
    <m/>
    <m/>
    <m/>
  </r>
  <r>
    <s v="P00392"/>
    <s v="Divya Singh"/>
    <n v="16"/>
    <s v="Female"/>
    <s v="Kochi"/>
    <x v="5"/>
    <x v="4"/>
    <s v="Pneumonia"/>
    <s v="Emergency"/>
    <d v="2025-10-03T00:00:00"/>
    <d v="2025-03-14T00:00:00"/>
    <n v="4"/>
    <x v="4"/>
    <s v="Blood Test"/>
    <n v="37995.1"/>
    <n v="4"/>
    <s v="Home"/>
    <s v="Under 18"/>
    <x v="17"/>
    <m/>
    <m/>
    <m/>
    <m/>
    <m/>
    <m/>
  </r>
  <r>
    <s v="P00393"/>
    <s v="Aarav Sharma"/>
    <n v="33"/>
    <s v="Male"/>
    <s v="Pune"/>
    <x v="3"/>
    <x v="0"/>
    <s v="Diabetes"/>
    <s v="Urgent"/>
    <d v="2025-05-24T00:00:00"/>
    <d v="2025-05-29T00:00:00"/>
    <n v="5"/>
    <x v="1"/>
    <s v="X-Ray"/>
    <n v="72612.81"/>
    <n v="4"/>
    <s v="Transferred"/>
    <s v="18-35"/>
    <x v="4"/>
    <m/>
    <m/>
    <m/>
    <m/>
    <m/>
    <m/>
  </r>
  <r>
    <s v="P00394"/>
    <s v="Lakshmi Devi"/>
    <n v="80"/>
    <s v="Other"/>
    <s v="Kochi"/>
    <x v="5"/>
    <x v="5"/>
    <s v="Kidney Disease"/>
    <s v="Urgent"/>
    <d v="2024-08-04T00:00:00"/>
    <d v="2024-04-14T00:00:00"/>
    <n v="6"/>
    <x v="0"/>
    <s v="Blood Test"/>
    <n v="26741.02"/>
    <n v="4"/>
    <s v="Home"/>
    <s v="66+"/>
    <x v="3"/>
    <m/>
    <m/>
    <m/>
    <m/>
    <m/>
    <m/>
  </r>
  <r>
    <s v="P00395"/>
    <s v="Ananya Sharma"/>
    <n v="56"/>
    <s v="Female"/>
    <s v="Delhi"/>
    <x v="1"/>
    <x v="5"/>
    <s v="Diabetes"/>
    <s v="Emergency"/>
    <d v="2025-01-27T00:00:00"/>
    <d v="2025-01-29T00:00:00"/>
    <n v="2"/>
    <x v="1"/>
    <s v="Ultrasound"/>
    <n v="14398.77"/>
    <n v="4"/>
    <s v="Left Against Medical Advice"/>
    <s v="51-65"/>
    <x v="22"/>
    <m/>
    <m/>
    <m/>
    <m/>
    <m/>
    <m/>
  </r>
  <r>
    <s v="P00396"/>
    <s v="Vivaan Reddy"/>
    <n v="63"/>
    <s v="Female"/>
    <s v="Madurai"/>
    <x v="1"/>
    <x v="5"/>
    <s v="Kidney Disease"/>
    <s v="Urgent"/>
    <d v="2025-05-08T00:00:00"/>
    <d v="2025-09-08T00:00:00"/>
    <n v="4"/>
    <x v="4"/>
    <s v="ECG"/>
    <n v="53044.65"/>
    <n v="3"/>
    <s v="Transferred"/>
    <s v="51-65"/>
    <x v="4"/>
    <m/>
    <m/>
    <m/>
    <m/>
    <m/>
    <m/>
  </r>
  <r>
    <s v="P00397"/>
    <s v="Kavya Reddy"/>
    <n v="37"/>
    <s v="Male"/>
    <s v="Bengaluru"/>
    <x v="1"/>
    <x v="3"/>
    <s v="Migraine"/>
    <s v="Elective"/>
    <d v="2024-03-03T00:00:00"/>
    <d v="2024-08-03T00:00:00"/>
    <n v="5"/>
    <x v="1"/>
    <s v="CT Scan"/>
    <n v="122683.56"/>
    <n v="5"/>
    <s v="Transferred"/>
    <s v="36-50"/>
    <x v="18"/>
    <m/>
    <m/>
    <m/>
    <m/>
    <m/>
    <m/>
  </r>
  <r>
    <s v="P00398"/>
    <s v="Sanjay Kumar"/>
    <n v="8"/>
    <s v="Other"/>
    <s v="Kochi"/>
    <x v="5"/>
    <x v="0"/>
    <s v="Hypertension"/>
    <s v="Emergency"/>
    <d v="2024-07-09T00:00:00"/>
    <d v="2024-09-09T00:00:00"/>
    <n v="2"/>
    <x v="4"/>
    <s v="Ultrasound"/>
    <n v="75432.62"/>
    <n v="2"/>
    <s v="Left Against Medical Advice"/>
    <s v="Under 18"/>
    <x v="12"/>
    <m/>
    <m/>
    <m/>
    <m/>
    <m/>
    <m/>
  </r>
  <r>
    <s v="P00399"/>
    <s v="Lakshmi R"/>
    <n v="73"/>
    <s v="Other"/>
    <s v="Coimbatore"/>
    <x v="5"/>
    <x v="1"/>
    <s v="Migraine"/>
    <s v="Elective"/>
    <d v="2025-07-03T00:00:00"/>
    <d v="2025-08-03T00:00:00"/>
    <n v="1"/>
    <x v="0"/>
    <s v="None"/>
    <n v="61391.3"/>
    <n v="4"/>
    <s v="Transferred"/>
    <s v="66+"/>
    <x v="16"/>
    <m/>
    <m/>
    <m/>
    <m/>
    <m/>
    <m/>
  </r>
  <r>
    <s v="P00400"/>
    <s v="Ananya Reddy"/>
    <n v="22"/>
    <s v="Other"/>
    <s v="Coimbatore"/>
    <x v="3"/>
    <x v="0"/>
    <s v="Skin Infection"/>
    <s v="Urgent"/>
    <d v="2024-02-11T00:00:00"/>
    <d v="2024-07-11T00:00:00"/>
    <n v="5"/>
    <x v="2"/>
    <s v="Ultrasound"/>
    <n v="27627.85"/>
    <n v="3"/>
    <s v="Home"/>
    <s v="18-35"/>
    <x v="2"/>
    <m/>
    <m/>
    <m/>
    <m/>
    <m/>
    <m/>
  </r>
  <r>
    <s v="P00401"/>
    <s v="Ananya Devi"/>
    <n v="76"/>
    <s v="Male"/>
    <s v="Pune"/>
    <x v="2"/>
    <x v="2"/>
    <s v="Heart Disease"/>
    <s v="Urgent"/>
    <d v="2024-06-10T00:00:00"/>
    <d v="2024-11-10T00:00:00"/>
    <n v="5"/>
    <x v="1"/>
    <s v="X-Ray"/>
    <n v="37354.1"/>
    <n v="2"/>
    <s v="Left Against Medical Advice"/>
    <s v="66+"/>
    <x v="9"/>
    <m/>
    <m/>
    <m/>
    <m/>
    <m/>
    <m/>
  </r>
  <r>
    <s v="P00402"/>
    <s v="Lakshmi Iyer"/>
    <n v="52"/>
    <s v="Male"/>
    <s v="Delhi"/>
    <x v="5"/>
    <x v="6"/>
    <s v="Diabetes"/>
    <s v="Urgent"/>
    <d v="2025-01-10T00:00:00"/>
    <d v="2025-04-10T00:00:00"/>
    <n v="3"/>
    <x v="0"/>
    <s v="None"/>
    <n v="96268.26"/>
    <n v="3"/>
    <s v="Left Against Medical Advice"/>
    <s v="51-65"/>
    <x v="22"/>
    <m/>
    <m/>
    <m/>
    <m/>
    <m/>
    <m/>
  </r>
  <r>
    <s v="P00403"/>
    <s v="Nisha Reddy"/>
    <n v="73"/>
    <s v="Other"/>
    <s v="Mumbai"/>
    <x v="4"/>
    <x v="6"/>
    <s v="Heart Disease"/>
    <s v="Urgent"/>
    <d v="2025-03-10T00:00:00"/>
    <d v="2025-07-10T00:00:00"/>
    <n v="4"/>
    <x v="3"/>
    <s v="None"/>
    <n v="41757.69"/>
    <n v="3"/>
    <s v="Left Against Medical Advice"/>
    <s v="66+"/>
    <x v="14"/>
    <m/>
    <m/>
    <m/>
    <m/>
    <m/>
    <m/>
  </r>
  <r>
    <s v="P00404"/>
    <s v="Sathya Devi"/>
    <n v="35"/>
    <s v="Male"/>
    <s v="Delhi"/>
    <x v="1"/>
    <x v="2"/>
    <s v="Heart Disease"/>
    <s v="Urgent"/>
    <d v="2025-10-23T00:00:00"/>
    <d v="2025-10-25T00:00:00"/>
    <n v="2"/>
    <x v="4"/>
    <s v="CT Scan"/>
    <n v="20289.78"/>
    <n v="3"/>
    <s v="Home"/>
    <s v="18-35"/>
    <x v="17"/>
    <m/>
    <m/>
    <m/>
    <m/>
    <m/>
    <m/>
  </r>
  <r>
    <s v="P00405"/>
    <s v="Lakshmi Kumar"/>
    <n v="26"/>
    <s v="Female"/>
    <s v="Chennai"/>
    <x v="4"/>
    <x v="4"/>
    <s v="Skin Infection"/>
    <s v="Elective"/>
    <d v="2024-06-10T00:00:00"/>
    <d v="2024-07-10T00:00:00"/>
    <n v="1"/>
    <x v="0"/>
    <s v="MRI"/>
    <n v="24846.92"/>
    <n v="5"/>
    <s v="Home"/>
    <s v="18-35"/>
    <x v="9"/>
    <m/>
    <m/>
    <m/>
    <m/>
    <m/>
    <m/>
  </r>
  <r>
    <s v="P00406"/>
    <s v="Arjun Devi"/>
    <n v="53"/>
    <s v="Male"/>
    <s v="Delhi"/>
    <x v="4"/>
    <x v="7"/>
    <s v="Hypertension"/>
    <s v="Emergency"/>
    <d v="2025-11-18T00:00:00"/>
    <d v="2025-11-28T00:00:00"/>
    <n v="10"/>
    <x v="0"/>
    <s v="Blood Test"/>
    <n v="67101.320000000007"/>
    <n v="4"/>
    <s v="Transferred"/>
    <s v="51-65"/>
    <x v="11"/>
    <m/>
    <m/>
    <m/>
    <m/>
    <m/>
    <m/>
  </r>
  <r>
    <s v="P00407"/>
    <s v="Priya Singh"/>
    <n v="43"/>
    <s v="Other"/>
    <s v="Pune"/>
    <x v="5"/>
    <x v="7"/>
    <s v="Asthma"/>
    <s v="Urgent"/>
    <d v="2025-03-02T00:00:00"/>
    <d v="2025-10-02T00:00:00"/>
    <n v="7"/>
    <x v="2"/>
    <s v="CT Scan"/>
    <n v="19797.419999999998"/>
    <n v="3"/>
    <s v="Transferred"/>
    <s v="36-50"/>
    <x v="14"/>
    <m/>
    <m/>
    <m/>
    <m/>
    <m/>
    <m/>
  </r>
  <r>
    <s v="P00408"/>
    <s v="Ananya Kumar"/>
    <n v="90"/>
    <s v="Female"/>
    <s v="Salem"/>
    <x v="4"/>
    <x v="4"/>
    <s v="Asthma"/>
    <s v="Urgent"/>
    <d v="2024-11-20T00:00:00"/>
    <d v="2024-11-23T00:00:00"/>
    <n v="3"/>
    <x v="2"/>
    <s v="Ultrasound"/>
    <n v="38498.85"/>
    <n v="5"/>
    <s v="Referred"/>
    <s v="66+"/>
    <x v="21"/>
    <m/>
    <m/>
    <m/>
    <m/>
    <m/>
    <m/>
  </r>
  <r>
    <s v="P00409"/>
    <s v="Divya Kumar"/>
    <n v="33"/>
    <s v="Other"/>
    <s v="Pune"/>
    <x v="5"/>
    <x v="0"/>
    <s v="Skin Infection"/>
    <s v="Elective"/>
    <d v="2025-01-28T00:00:00"/>
    <d v="2025-02-02T00:00:00"/>
    <n v="5"/>
    <x v="2"/>
    <s v="None"/>
    <n v="75287.56"/>
    <n v="5"/>
    <s v="Referred"/>
    <s v="18-35"/>
    <x v="22"/>
    <m/>
    <m/>
    <m/>
    <m/>
    <m/>
    <m/>
  </r>
  <r>
    <s v="P00410"/>
    <s v="Lakshmi Singh"/>
    <n v="39"/>
    <s v="Female"/>
    <s v="Pune"/>
    <x v="5"/>
    <x v="2"/>
    <s v="Diabetes"/>
    <s v="Urgent"/>
    <d v="2024-06-13T00:00:00"/>
    <d v="2024-06-18T00:00:00"/>
    <n v="5"/>
    <x v="4"/>
    <s v="None"/>
    <n v="32004.67"/>
    <n v="2"/>
    <s v="Home"/>
    <s v="36-50"/>
    <x v="9"/>
    <m/>
    <m/>
    <m/>
    <m/>
    <m/>
    <m/>
  </r>
  <r>
    <s v="P00411"/>
    <s v="Sanjay Singh"/>
    <n v="21"/>
    <s v="Other"/>
    <s v="Hyderabad"/>
    <x v="4"/>
    <x v="3"/>
    <s v="Kidney Disease"/>
    <s v="Elective"/>
    <d v="2024-09-24T00:00:00"/>
    <d v="2024-09-25T00:00:00"/>
    <n v="1"/>
    <x v="3"/>
    <s v="Ultrasound"/>
    <n v="118333.2"/>
    <n v="4"/>
    <s v="Transferred"/>
    <s v="18-35"/>
    <x v="13"/>
    <m/>
    <m/>
    <m/>
    <m/>
    <m/>
    <m/>
  </r>
  <r>
    <s v="P00412"/>
    <s v="Lakshmi Sharma"/>
    <n v="41"/>
    <s v="Other"/>
    <s v="Madurai"/>
    <x v="0"/>
    <x v="6"/>
    <s v="No Chronic Condition"/>
    <s v="Urgent"/>
    <d v="2024-03-25T00:00:00"/>
    <d v="2024-03-26T00:00:00"/>
    <n v="1"/>
    <x v="0"/>
    <s v="None"/>
    <n v="118744.24"/>
    <n v="3"/>
    <s v="Transferred"/>
    <s v="36-50"/>
    <x v="18"/>
    <m/>
    <m/>
    <m/>
    <m/>
    <m/>
    <m/>
  </r>
  <r>
    <s v="P00413"/>
    <s v="Manoj Iyer"/>
    <n v="37"/>
    <s v="Female"/>
    <s v="Bengaluru"/>
    <x v="1"/>
    <x v="2"/>
    <s v="No Chronic Condition"/>
    <s v="Emergency"/>
    <d v="2024-03-27T00:00:00"/>
    <d v="2024-03-30T00:00:00"/>
    <n v="3"/>
    <x v="1"/>
    <s v="Ultrasound"/>
    <n v="28387.56"/>
    <n v="5"/>
    <s v="Referred"/>
    <s v="36-50"/>
    <x v="18"/>
    <m/>
    <m/>
    <m/>
    <m/>
    <m/>
    <m/>
  </r>
  <r>
    <s v="P00414"/>
    <s v="Nisha Singh"/>
    <n v="7"/>
    <s v="Male"/>
    <s v="Delhi"/>
    <x v="4"/>
    <x v="3"/>
    <s v="Asthma"/>
    <s v="Emergency"/>
    <d v="2025-09-24T00:00:00"/>
    <d v="2025-09-29T00:00:00"/>
    <n v="5"/>
    <x v="3"/>
    <s v="X-Ray"/>
    <n v="105949.1"/>
    <n v="5"/>
    <s v="Transferred"/>
    <s v="Under 18"/>
    <x v="7"/>
    <m/>
    <m/>
    <m/>
    <m/>
    <m/>
    <m/>
  </r>
  <r>
    <s v="P00415"/>
    <s v="Sanjay Reddy"/>
    <n v="37"/>
    <s v="Other"/>
    <s v="Hyderabad"/>
    <x v="4"/>
    <x v="7"/>
    <s v="Fracture"/>
    <s v="Elective"/>
    <d v="2025-05-21T00:00:00"/>
    <d v="2025-05-22T00:00:00"/>
    <n v="1"/>
    <x v="1"/>
    <s v="X-Ray"/>
    <n v="65049.69"/>
    <n v="3"/>
    <s v="Left Against Medical Advice"/>
    <s v="36-50"/>
    <x v="4"/>
    <m/>
    <m/>
    <m/>
    <m/>
    <m/>
    <m/>
  </r>
  <r>
    <s v="P00416"/>
    <s v="Divya Iyer"/>
    <n v="32"/>
    <s v="Male"/>
    <s v="Pune"/>
    <x v="2"/>
    <x v="5"/>
    <s v="Asthma"/>
    <s v="Elective"/>
    <d v="2025-08-19T00:00:00"/>
    <d v="2025-08-25T00:00:00"/>
    <n v="6"/>
    <x v="0"/>
    <s v="MRI"/>
    <n v="75615.37"/>
    <n v="5"/>
    <s v="Home"/>
    <s v="18-35"/>
    <x v="19"/>
    <m/>
    <m/>
    <m/>
    <m/>
    <m/>
    <m/>
  </r>
  <r>
    <s v="P00417"/>
    <s v="Vivaan Kumar"/>
    <n v="13"/>
    <s v="Other"/>
    <s v="Madurai"/>
    <x v="3"/>
    <x v="3"/>
    <s v="No Chronic Condition"/>
    <s v="Urgent"/>
    <d v="2024-01-03T00:00:00"/>
    <d v="2024-04-03T00:00:00"/>
    <n v="3"/>
    <x v="4"/>
    <s v="MRI"/>
    <n v="166820.32999999999"/>
    <n v="4"/>
    <s v="Left Against Medical Advice"/>
    <s v="Under 18"/>
    <x v="0"/>
    <m/>
    <m/>
    <m/>
    <m/>
    <m/>
    <m/>
  </r>
  <r>
    <s v="P00418"/>
    <s v="Aditya Nair"/>
    <n v="86"/>
    <s v="Male"/>
    <s v="Kochi"/>
    <x v="1"/>
    <x v="6"/>
    <s v="Skin Infection"/>
    <s v="Emergency"/>
    <d v="2024-05-15T00:00:00"/>
    <d v="2024-05-16T00:00:00"/>
    <n v="1"/>
    <x v="1"/>
    <s v="Blood Test"/>
    <n v="72218.28"/>
    <n v="4"/>
    <s v="Transferred"/>
    <s v="66+"/>
    <x v="23"/>
    <m/>
    <m/>
    <m/>
    <m/>
    <m/>
    <m/>
  </r>
  <r>
    <s v="P00419"/>
    <s v="Priya Nair"/>
    <n v="6"/>
    <s v="Female"/>
    <s v="Pune"/>
    <x v="0"/>
    <x v="4"/>
    <s v="Fracture"/>
    <s v="Elective"/>
    <d v="2025-05-26T00:00:00"/>
    <d v="2025-02-06T00:00:00"/>
    <n v="7"/>
    <x v="4"/>
    <s v="None"/>
    <n v="56744"/>
    <n v="5"/>
    <s v="Referred"/>
    <s v="Under 18"/>
    <x v="4"/>
    <m/>
    <m/>
    <m/>
    <m/>
    <m/>
    <m/>
  </r>
  <r>
    <s v="P00420"/>
    <s v="Pooja Reddy"/>
    <n v="72"/>
    <s v="Other"/>
    <s v="Bengaluru"/>
    <x v="1"/>
    <x v="7"/>
    <s v="Asthma"/>
    <s v="Emergency"/>
    <d v="2025-10-13T00:00:00"/>
    <d v="2025-10-14T00:00:00"/>
    <n v="1"/>
    <x v="4"/>
    <s v="MRI"/>
    <n v="14617.94"/>
    <n v="3"/>
    <s v="Left Against Medical Advice"/>
    <s v="66+"/>
    <x v="17"/>
    <m/>
    <m/>
    <m/>
    <m/>
    <m/>
    <m/>
  </r>
  <r>
    <s v="P00421"/>
    <s v="Deepa Iyer"/>
    <n v="59"/>
    <s v="Male"/>
    <s v="Salem"/>
    <x v="4"/>
    <x v="6"/>
    <s v="Asthma"/>
    <s v="Urgent"/>
    <d v="2024-04-25T00:00:00"/>
    <d v="2024-04-26T00:00:00"/>
    <n v="1"/>
    <x v="0"/>
    <s v="X-Ray"/>
    <n v="129507.03"/>
    <n v="4"/>
    <s v="Left Against Medical Advice"/>
    <s v="51-65"/>
    <x v="6"/>
    <m/>
    <m/>
    <m/>
    <m/>
    <m/>
    <m/>
  </r>
  <r>
    <s v="P00422"/>
    <s v="Arjun Nair"/>
    <n v="10"/>
    <s v="Female"/>
    <s v="Hyderabad"/>
    <x v="4"/>
    <x v="4"/>
    <s v="Hypertension"/>
    <s v="Emergency"/>
    <d v="2025-05-25T00:00:00"/>
    <d v="2025-05-26T00:00:00"/>
    <n v="1"/>
    <x v="4"/>
    <s v="None"/>
    <n v="40774.400000000001"/>
    <n v="4"/>
    <s v="Left Against Medical Advice"/>
    <s v="Under 18"/>
    <x v="4"/>
    <m/>
    <m/>
    <m/>
    <m/>
    <m/>
    <m/>
  </r>
  <r>
    <s v="P00423"/>
    <s v="Deepa Sharma"/>
    <n v="59"/>
    <s v="Other"/>
    <s v="Coimbatore"/>
    <x v="4"/>
    <x v="1"/>
    <s v="No Chronic Condition"/>
    <s v="Urgent"/>
    <d v="2024-02-10T00:00:00"/>
    <d v="2024-08-10T00:00:00"/>
    <n v="6"/>
    <x v="1"/>
    <s v="MRI"/>
    <n v="121506.3"/>
    <n v="5"/>
    <s v="Home"/>
    <s v="51-65"/>
    <x v="2"/>
    <m/>
    <m/>
    <m/>
    <m/>
    <m/>
    <m/>
  </r>
  <r>
    <s v="P00424"/>
    <s v="Sanjay Reddy"/>
    <n v="10"/>
    <s v="Other"/>
    <s v="Pune"/>
    <x v="5"/>
    <x v="7"/>
    <s v="Pneumonia"/>
    <s v="Urgent"/>
    <d v="2025-08-09T00:00:00"/>
    <d v="2025-09-09T00:00:00"/>
    <n v="1"/>
    <x v="3"/>
    <s v="Blood Test"/>
    <n v="18510.75"/>
    <n v="5"/>
    <s v="Transferred"/>
    <s v="Under 18"/>
    <x v="19"/>
    <m/>
    <m/>
    <m/>
    <m/>
    <m/>
    <m/>
  </r>
  <r>
    <s v="P00425"/>
    <s v="Divya Singh"/>
    <n v="63"/>
    <s v="Male"/>
    <s v="Madurai"/>
    <x v="3"/>
    <x v="0"/>
    <s v="Migraine"/>
    <s v="Urgent"/>
    <d v="2024-11-13T00:00:00"/>
    <d v="2024-11-18T00:00:00"/>
    <n v="5"/>
    <x v="4"/>
    <s v="Blood Test"/>
    <n v="49423.69"/>
    <n v="4"/>
    <s v="Left Against Medical Advice"/>
    <s v="51-65"/>
    <x v="21"/>
    <m/>
    <m/>
    <m/>
    <m/>
    <m/>
    <m/>
  </r>
  <r>
    <s v="P00426"/>
    <s v="Lakshmi R"/>
    <n v="48"/>
    <s v="Other"/>
    <s v="Madurai"/>
    <x v="1"/>
    <x v="3"/>
    <s v="Kidney Disease"/>
    <s v="Elective"/>
    <d v="2024-09-07T00:00:00"/>
    <d v="2024-07-14T00:00:00"/>
    <n v="5"/>
    <x v="2"/>
    <s v="None"/>
    <n v="109431.52"/>
    <n v="5"/>
    <s v="Left Against Medical Advice"/>
    <s v="36-50"/>
    <x v="13"/>
    <m/>
    <m/>
    <m/>
    <m/>
    <m/>
    <m/>
  </r>
  <r>
    <s v="P00427"/>
    <s v="Vivaan R"/>
    <n v="39"/>
    <s v="Female"/>
    <s v="Kochi"/>
    <x v="1"/>
    <x v="2"/>
    <s v="Fracture"/>
    <s v="Elective"/>
    <d v="2024-10-05T00:00:00"/>
    <d v="2024-05-24T00:00:00"/>
    <n v="14"/>
    <x v="2"/>
    <s v="CT Scan"/>
    <n v="66878.880000000005"/>
    <n v="4"/>
    <s v="Transferred"/>
    <s v="36-50"/>
    <x v="20"/>
    <m/>
    <m/>
    <m/>
    <m/>
    <m/>
    <m/>
  </r>
  <r>
    <s v="P00428"/>
    <s v="Kavya Singh"/>
    <n v="46"/>
    <s v="Male"/>
    <s v="Delhi"/>
    <x v="3"/>
    <x v="6"/>
    <s v="Pneumonia"/>
    <s v="Elective"/>
    <d v="2025-08-22T00:00:00"/>
    <d v="2025-08-29T00:00:00"/>
    <n v="7"/>
    <x v="1"/>
    <s v="None"/>
    <n v="24097.9"/>
    <n v="5"/>
    <s v="Referred"/>
    <s v="36-50"/>
    <x v="19"/>
    <m/>
    <m/>
    <m/>
    <m/>
    <m/>
    <m/>
  </r>
  <r>
    <s v="P00429"/>
    <s v="Pooja Reddy"/>
    <n v="28"/>
    <s v="Female"/>
    <s v="Salem"/>
    <x v="2"/>
    <x v="1"/>
    <s v="Diabetes"/>
    <s v="Elective"/>
    <d v="2024-03-21T00:00:00"/>
    <d v="2024-03-27T00:00:00"/>
    <n v="6"/>
    <x v="1"/>
    <s v="ECG"/>
    <n v="49485.11"/>
    <n v="4"/>
    <s v="Transferred"/>
    <s v="18-35"/>
    <x v="18"/>
    <m/>
    <m/>
    <m/>
    <m/>
    <m/>
    <m/>
  </r>
  <r>
    <s v="P00430"/>
    <s v="Karthik Kumar"/>
    <n v="89"/>
    <s v="Other"/>
    <s v="Coimbatore"/>
    <x v="1"/>
    <x v="6"/>
    <s v="Asthma"/>
    <s v="Urgent"/>
    <d v="2025-07-12T00:00:00"/>
    <d v="2025-10-12T00:00:00"/>
    <n v="3"/>
    <x v="3"/>
    <s v="Ultrasound"/>
    <n v="16926.21"/>
    <n v="1"/>
    <s v="Referred"/>
    <s v="66+"/>
    <x v="16"/>
    <m/>
    <m/>
    <m/>
    <m/>
    <m/>
    <m/>
  </r>
  <r>
    <s v="P00431"/>
    <s v="Pooja Singh"/>
    <n v="56"/>
    <s v="Other"/>
    <s v="Delhi"/>
    <x v="4"/>
    <x v="6"/>
    <s v="Kidney Disease"/>
    <s v="Elective"/>
    <d v="2025-05-07T00:00:00"/>
    <d v="2025-06-07T00:00:00"/>
    <n v="1"/>
    <x v="0"/>
    <s v="X-Ray"/>
    <n v="55842.32"/>
    <n v="5"/>
    <s v="Referred"/>
    <s v="51-65"/>
    <x v="4"/>
    <m/>
    <m/>
    <m/>
    <m/>
    <m/>
    <m/>
  </r>
  <r>
    <s v="P00432"/>
    <s v="Ishita Devi"/>
    <n v="38"/>
    <s v="Other"/>
    <s v="Chennai"/>
    <x v="1"/>
    <x v="2"/>
    <s v="Pneumonia"/>
    <s v="Elective"/>
    <d v="2025-05-02T00:00:00"/>
    <d v="2025-08-02T00:00:00"/>
    <n v="3"/>
    <x v="4"/>
    <s v="ECG"/>
    <n v="73948.990000000005"/>
    <n v="5"/>
    <s v="Left Against Medical Advice"/>
    <s v="36-50"/>
    <x v="4"/>
    <m/>
    <m/>
    <m/>
    <m/>
    <m/>
    <m/>
  </r>
  <r>
    <s v="P00433"/>
    <s v="Lakshmi R"/>
    <n v="30"/>
    <s v="Other"/>
    <s v="Delhi"/>
    <x v="3"/>
    <x v="0"/>
    <s v="Fracture"/>
    <s v="Urgent"/>
    <d v="2024-03-03T00:00:00"/>
    <d v="2024-04-03T00:00:00"/>
    <n v="1"/>
    <x v="1"/>
    <s v="CT Scan"/>
    <n v="77180.039999999994"/>
    <n v="4"/>
    <s v="Left Against Medical Advice"/>
    <s v="18-35"/>
    <x v="18"/>
    <m/>
    <m/>
    <m/>
    <m/>
    <m/>
    <m/>
  </r>
  <r>
    <s v="P00434"/>
    <s v="Kavya Singh"/>
    <n v="3"/>
    <s v="Female"/>
    <s v="Hyderabad"/>
    <x v="5"/>
    <x v="7"/>
    <s v="Skin Infection"/>
    <s v="Urgent"/>
    <d v="2024-10-21T00:00:00"/>
    <d v="2024-10-23T00:00:00"/>
    <n v="2"/>
    <x v="4"/>
    <s v="CT Scan"/>
    <n v="28038.27"/>
    <n v="5"/>
    <s v="Transferred"/>
    <s v="Under 18"/>
    <x v="20"/>
    <m/>
    <m/>
    <m/>
    <m/>
    <m/>
    <m/>
  </r>
  <r>
    <s v="P00435"/>
    <s v="Lakshmi R"/>
    <n v="61"/>
    <s v="Female"/>
    <s v="Pune"/>
    <x v="1"/>
    <x v="5"/>
    <s v="Asthma"/>
    <s v="Elective"/>
    <d v="2025-09-28T00:00:00"/>
    <d v="2025-09-30T00:00:00"/>
    <n v="2"/>
    <x v="3"/>
    <s v="X-Ray"/>
    <n v="24650.25"/>
    <n v="3"/>
    <s v="Home"/>
    <s v="51-65"/>
    <x v="7"/>
    <m/>
    <m/>
    <m/>
    <m/>
    <m/>
    <m/>
  </r>
  <r>
    <s v="P00436"/>
    <s v="Manoj Iyer"/>
    <n v="3"/>
    <s v="Male"/>
    <s v="Delhi"/>
    <x v="5"/>
    <x v="1"/>
    <s v="Hypertension"/>
    <s v="Elective"/>
    <d v="2024-09-24T00:00:00"/>
    <d v="2024-09-30T00:00:00"/>
    <n v="6"/>
    <x v="1"/>
    <s v="None"/>
    <n v="47745.32"/>
    <n v="3"/>
    <s v="Home"/>
    <s v="Under 18"/>
    <x v="13"/>
    <m/>
    <m/>
    <m/>
    <m/>
    <m/>
    <m/>
  </r>
  <r>
    <s v="P00437"/>
    <s v="Arjun Iyer"/>
    <n v="72"/>
    <s v="Male"/>
    <s v="Mumbai"/>
    <x v="0"/>
    <x v="0"/>
    <s v="Skin Infection"/>
    <s v="Urgent"/>
    <d v="2024-03-06T00:00:00"/>
    <d v="2024-08-06T00:00:00"/>
    <n v="5"/>
    <x v="1"/>
    <s v="Ultrasound"/>
    <n v="15063.77"/>
    <n v="2"/>
    <s v="Left Against Medical Advice"/>
    <s v="66+"/>
    <x v="18"/>
    <m/>
    <m/>
    <m/>
    <m/>
    <m/>
    <m/>
  </r>
  <r>
    <s v="P00438"/>
    <s v="Aarav Iyer"/>
    <n v="65"/>
    <s v="Male"/>
    <s v="Delhi"/>
    <x v="5"/>
    <x v="6"/>
    <s v="Hypertension"/>
    <s v="Elective"/>
    <d v="2024-11-04T00:00:00"/>
    <d v="2024-04-17T00:00:00"/>
    <n v="6"/>
    <x v="0"/>
    <s v="X-Ray"/>
    <n v="117960.78"/>
    <n v="4"/>
    <s v="Home"/>
    <s v="51-65"/>
    <x v="21"/>
    <m/>
    <m/>
    <m/>
    <m/>
    <m/>
    <m/>
  </r>
  <r>
    <s v="P00439"/>
    <s v="Nisha Singh"/>
    <n v="35"/>
    <s v="Male"/>
    <s v="Kochi"/>
    <x v="2"/>
    <x v="2"/>
    <s v="Heart Disease"/>
    <s v="Elective"/>
    <d v="2025-02-28T00:00:00"/>
    <d v="2025-05-03T00:00:00"/>
    <n v="5"/>
    <x v="2"/>
    <s v="CT Scan"/>
    <n v="22073.59"/>
    <n v="4"/>
    <s v="Referred"/>
    <s v="18-35"/>
    <x v="15"/>
    <m/>
    <m/>
    <m/>
    <m/>
    <m/>
    <m/>
  </r>
  <r>
    <s v="P00440"/>
    <s v="Rohan Kumar"/>
    <n v="2"/>
    <s v="Other"/>
    <s v="Kochi"/>
    <x v="5"/>
    <x v="6"/>
    <s v="Pneumonia"/>
    <s v="Elective"/>
    <d v="2025-06-13T00:00:00"/>
    <d v="2025-06-14T00:00:00"/>
    <n v="1"/>
    <x v="4"/>
    <s v="Ultrasound"/>
    <n v="31049.88"/>
    <n v="4"/>
    <s v="Transferred"/>
    <s v="Under 18"/>
    <x v="10"/>
    <m/>
    <m/>
    <m/>
    <m/>
    <m/>
    <m/>
  </r>
  <r>
    <s v="P00441"/>
    <s v="Pooja Nair"/>
    <n v="41"/>
    <s v="Male"/>
    <s v="Pune"/>
    <x v="0"/>
    <x v="7"/>
    <s v="Skin Infection"/>
    <s v="Elective"/>
    <d v="2024-09-01T00:00:00"/>
    <d v="2024-10-01T00:00:00"/>
    <n v="1"/>
    <x v="2"/>
    <s v="Blood Test"/>
    <n v="57578.26"/>
    <n v="4"/>
    <s v="Transferred"/>
    <s v="36-50"/>
    <x v="13"/>
    <m/>
    <m/>
    <m/>
    <m/>
    <m/>
    <m/>
  </r>
  <r>
    <s v="P00442"/>
    <s v="Priya Iyer"/>
    <n v="50"/>
    <s v="Other"/>
    <s v="Madurai"/>
    <x v="2"/>
    <x v="3"/>
    <s v="Asthma"/>
    <s v="Elective"/>
    <d v="2024-09-05T00:00:00"/>
    <d v="2024-10-05T00:00:00"/>
    <n v="1"/>
    <x v="0"/>
    <s v="Blood Test"/>
    <n v="27437.22"/>
    <n v="4"/>
    <s v="Home"/>
    <s v="36-50"/>
    <x v="13"/>
    <m/>
    <m/>
    <m/>
    <m/>
    <m/>
    <m/>
  </r>
  <r>
    <s v="P00443"/>
    <s v="Pooja Nair"/>
    <n v="48"/>
    <s v="Male"/>
    <s v="Coimbatore"/>
    <x v="2"/>
    <x v="0"/>
    <s v="Kidney Disease"/>
    <s v="Urgent"/>
    <d v="2025-04-10T00:00:00"/>
    <d v="2025-07-10T00:00:00"/>
    <n v="3"/>
    <x v="0"/>
    <s v="Ultrasound"/>
    <n v="33751.160000000003"/>
    <n v="5"/>
    <s v="Referred"/>
    <s v="36-50"/>
    <x v="5"/>
    <m/>
    <m/>
    <m/>
    <m/>
    <m/>
    <m/>
  </r>
  <r>
    <s v="P00444"/>
    <s v="Deepa Iyer"/>
    <n v="45"/>
    <s v="Male"/>
    <s v="Mumbai"/>
    <x v="1"/>
    <x v="6"/>
    <s v="Pneumonia"/>
    <s v="Emergency"/>
    <d v="2024-10-18T00:00:00"/>
    <d v="2024-10-26T00:00:00"/>
    <n v="8"/>
    <x v="3"/>
    <s v="Ultrasound"/>
    <n v="88814.95"/>
    <n v="4"/>
    <s v="Left Against Medical Advice"/>
    <s v="36-50"/>
    <x v="20"/>
    <m/>
    <m/>
    <m/>
    <m/>
    <m/>
    <m/>
  </r>
  <r>
    <s v="P00445"/>
    <s v="Divya Reddy"/>
    <n v="53"/>
    <s v="Female"/>
    <s v="Madurai"/>
    <x v="3"/>
    <x v="7"/>
    <s v="Kidney Disease"/>
    <s v="Elective"/>
    <d v="2024-04-04T00:00:00"/>
    <d v="2024-07-04T00:00:00"/>
    <n v="3"/>
    <x v="4"/>
    <s v="CT Scan"/>
    <n v="17699.310000000001"/>
    <n v="4"/>
    <s v="Left Against Medical Advice"/>
    <s v="51-65"/>
    <x v="6"/>
    <m/>
    <m/>
    <m/>
    <m/>
    <m/>
    <m/>
  </r>
  <r>
    <s v="P00446"/>
    <s v="Lakshmi Kumar"/>
    <n v="54"/>
    <s v="Female"/>
    <s v="Hyderabad"/>
    <x v="3"/>
    <x v="6"/>
    <s v="Skin Infection"/>
    <s v="Elective"/>
    <d v="2024-05-27T00:00:00"/>
    <d v="2024-05-28T00:00:00"/>
    <n v="1"/>
    <x v="2"/>
    <s v="ECG"/>
    <n v="97993.52"/>
    <n v="3"/>
    <s v="Left Against Medical Advice"/>
    <s v="51-65"/>
    <x v="23"/>
    <m/>
    <m/>
    <m/>
    <m/>
    <m/>
    <m/>
  </r>
  <r>
    <s v="P00447"/>
    <s v="Ananya Singh"/>
    <n v="15"/>
    <s v="Female"/>
    <s v="Chennai"/>
    <x v="0"/>
    <x v="0"/>
    <s v="Migraine"/>
    <s v="Emergency"/>
    <d v="2025-01-13T00:00:00"/>
    <d v="2025-01-15T00:00:00"/>
    <n v="2"/>
    <x v="0"/>
    <s v="CT Scan"/>
    <n v="34259.5"/>
    <n v="4"/>
    <s v="Home"/>
    <s v="Under 18"/>
    <x v="22"/>
    <m/>
    <m/>
    <m/>
    <m/>
    <m/>
    <m/>
  </r>
  <r>
    <s v="P00448"/>
    <s v="Nisha Singh"/>
    <n v="40"/>
    <s v="Male"/>
    <s v="Salem"/>
    <x v="5"/>
    <x v="0"/>
    <s v="Skin Infection"/>
    <s v="Urgent"/>
    <d v="2024-08-08T00:00:00"/>
    <d v="2024-08-17T00:00:00"/>
    <n v="9"/>
    <x v="4"/>
    <s v="MRI"/>
    <n v="46814.22"/>
    <n v="5"/>
    <s v="Left Against Medical Advice"/>
    <s v="36-50"/>
    <x v="3"/>
    <m/>
    <m/>
    <m/>
    <m/>
    <m/>
    <m/>
  </r>
  <r>
    <s v="P00449"/>
    <s v="Kavya R"/>
    <n v="61"/>
    <s v="Other"/>
    <s v="Salem"/>
    <x v="2"/>
    <x v="5"/>
    <s v="Kidney Disease"/>
    <s v="Urgent"/>
    <d v="2025-12-09T00:00:00"/>
    <d v="2025-09-20T00:00:00"/>
    <n v="8"/>
    <x v="4"/>
    <s v="CT Scan"/>
    <n v="75883.89"/>
    <n v="3"/>
    <s v="Referred"/>
    <s v="51-65"/>
    <x v="1"/>
    <m/>
    <m/>
    <m/>
    <m/>
    <m/>
    <m/>
  </r>
  <r>
    <s v="P00450"/>
    <s v="Manoj R"/>
    <n v="51"/>
    <s v="Male"/>
    <s v="Kochi"/>
    <x v="4"/>
    <x v="6"/>
    <s v="Diabetes"/>
    <s v="Emergency"/>
    <d v="2025-07-07T00:00:00"/>
    <d v="2025-07-14T00:00:00"/>
    <n v="7"/>
    <x v="0"/>
    <s v="ECG"/>
    <n v="103024.95"/>
    <n v="5"/>
    <s v="Home"/>
    <s v="51-65"/>
    <x v="16"/>
    <m/>
    <m/>
    <m/>
    <m/>
    <m/>
    <m/>
  </r>
  <r>
    <s v="P00451"/>
    <s v="Deepa Singh"/>
    <n v="73"/>
    <s v="Other"/>
    <s v="Bengaluru"/>
    <x v="3"/>
    <x v="6"/>
    <s v="Diabetes"/>
    <s v="Urgent"/>
    <d v="2024-12-07T00:00:00"/>
    <d v="2024-07-16T00:00:00"/>
    <n v="4"/>
    <x v="1"/>
    <s v="CT Scan"/>
    <n v="44427.29"/>
    <n v="5"/>
    <s v="Home"/>
    <s v="66+"/>
    <x v="8"/>
    <m/>
    <m/>
    <m/>
    <m/>
    <m/>
    <m/>
  </r>
  <r>
    <s v="P00452"/>
    <s v="Ananya Sharma"/>
    <n v="63"/>
    <s v="Female"/>
    <s v="Hyderabad"/>
    <x v="5"/>
    <x v="0"/>
    <s v="Hypertension"/>
    <s v="Emergency"/>
    <d v="2024-12-14T00:00:00"/>
    <d v="2024-12-18T00:00:00"/>
    <n v="4"/>
    <x v="3"/>
    <s v="MRI"/>
    <n v="83524.39"/>
    <n v="4"/>
    <s v="Left Against Medical Advice"/>
    <s v="51-65"/>
    <x v="8"/>
    <m/>
    <m/>
    <m/>
    <m/>
    <m/>
    <m/>
  </r>
  <r>
    <s v="P00453"/>
    <s v="Priya Reddy"/>
    <n v="87"/>
    <s v="Female"/>
    <s v="Bengaluru"/>
    <x v="4"/>
    <x v="0"/>
    <s v="Migraine"/>
    <s v="Emergency"/>
    <d v="2024-01-03T00:00:00"/>
    <d v="2024-08-03T00:00:00"/>
    <n v="7"/>
    <x v="3"/>
    <s v="None"/>
    <n v="22399.62"/>
    <n v="5"/>
    <s v="Referred"/>
    <s v="66+"/>
    <x v="0"/>
    <m/>
    <m/>
    <m/>
    <m/>
    <m/>
    <m/>
  </r>
  <r>
    <s v="P00454"/>
    <s v="Aarav Devi"/>
    <n v="64"/>
    <s v="Other"/>
    <s v="Kochi"/>
    <x v="3"/>
    <x v="0"/>
    <s v="Kidney Disease"/>
    <s v="Urgent"/>
    <d v="2025-05-31T00:00:00"/>
    <d v="2025-02-06T00:00:00"/>
    <n v="2"/>
    <x v="2"/>
    <s v="X-Ray"/>
    <n v="14110.17"/>
    <n v="4"/>
    <s v="Referred"/>
    <s v="51-65"/>
    <x v="4"/>
    <m/>
    <m/>
    <m/>
    <m/>
    <m/>
    <m/>
  </r>
  <r>
    <s v="P00455"/>
    <s v="Sathya Reddy"/>
    <n v="39"/>
    <s v="Other"/>
    <s v="Kochi"/>
    <x v="1"/>
    <x v="7"/>
    <s v="Asthma"/>
    <s v="Emergency"/>
    <d v="2025-02-20T00:00:00"/>
    <d v="2025-02-21T00:00:00"/>
    <n v="1"/>
    <x v="2"/>
    <s v="None"/>
    <n v="39251.279999999999"/>
    <n v="5"/>
    <s v="Left Against Medical Advice"/>
    <s v="36-50"/>
    <x v="15"/>
    <m/>
    <m/>
    <m/>
    <m/>
    <m/>
    <m/>
  </r>
  <r>
    <s v="P00456"/>
    <s v="Divya Nair"/>
    <n v="80"/>
    <s v="Male"/>
    <s v="Coimbatore"/>
    <x v="3"/>
    <x v="5"/>
    <s v="Fracture"/>
    <s v="Urgent"/>
    <d v="2025-10-30T00:00:00"/>
    <d v="2025-10-31T00:00:00"/>
    <n v="1"/>
    <x v="1"/>
    <s v="Blood Test"/>
    <n v="55644.35"/>
    <n v="5"/>
    <s v="Referred"/>
    <s v="66+"/>
    <x v="17"/>
    <m/>
    <m/>
    <m/>
    <m/>
    <m/>
    <m/>
  </r>
  <r>
    <s v="P00457"/>
    <s v="Rahul Nair"/>
    <n v="69"/>
    <s v="Other"/>
    <s v="Mumbai"/>
    <x v="2"/>
    <x v="6"/>
    <s v="Skin Infection"/>
    <s v="Elective"/>
    <d v="2024-12-03T00:00:00"/>
    <d v="2024-03-13T00:00:00"/>
    <n v="1"/>
    <x v="4"/>
    <s v="MRI"/>
    <n v="169017.09"/>
    <n v="3"/>
    <s v="Referred"/>
    <s v="66+"/>
    <x v="8"/>
    <m/>
    <m/>
    <m/>
    <m/>
    <m/>
    <m/>
  </r>
  <r>
    <s v="P00458"/>
    <s v="Aarav Sharma"/>
    <n v="85"/>
    <s v="Male"/>
    <s v="Pune"/>
    <x v="3"/>
    <x v="1"/>
    <s v="Asthma"/>
    <s v="Urgent"/>
    <d v="2024-12-15T00:00:00"/>
    <d v="2024-12-19T00:00:00"/>
    <n v="4"/>
    <x v="4"/>
    <s v="None"/>
    <n v="71137.509999999995"/>
    <n v="4"/>
    <s v="Left Against Medical Advice"/>
    <s v="66+"/>
    <x v="8"/>
    <m/>
    <m/>
    <m/>
    <m/>
    <m/>
    <m/>
  </r>
  <r>
    <s v="P00459"/>
    <s v="Ishita Nair"/>
    <n v="69"/>
    <s v="Female"/>
    <s v="Pune"/>
    <x v="0"/>
    <x v="0"/>
    <s v="Migraine"/>
    <s v="Urgent"/>
    <d v="2025-10-26T00:00:00"/>
    <d v="2025-05-11T00:00:00"/>
    <n v="10"/>
    <x v="2"/>
    <s v="Blood Test"/>
    <n v="103698.56"/>
    <n v="4"/>
    <s v="Left Against Medical Advice"/>
    <s v="66+"/>
    <x v="17"/>
    <m/>
    <m/>
    <m/>
    <m/>
    <m/>
    <m/>
  </r>
  <r>
    <s v="P00460"/>
    <s v="Sathya Iyer"/>
    <n v="48"/>
    <s v="Female"/>
    <s v="Delhi"/>
    <x v="5"/>
    <x v="3"/>
    <s v="Heart Disease"/>
    <s v="Emergency"/>
    <d v="2025-03-31T00:00:00"/>
    <d v="2025-02-04T00:00:00"/>
    <n v="2"/>
    <x v="1"/>
    <s v="CT Scan"/>
    <n v="32532.19"/>
    <n v="3"/>
    <s v="Referred"/>
    <s v="36-50"/>
    <x v="14"/>
    <m/>
    <m/>
    <m/>
    <m/>
    <m/>
    <m/>
  </r>
  <r>
    <s v="P00461"/>
    <s v="Deepa Sharma"/>
    <n v="1"/>
    <s v="Female"/>
    <s v="Bengaluru"/>
    <x v="3"/>
    <x v="5"/>
    <s v="Asthma"/>
    <s v="Emergency"/>
    <d v="2025-10-15T00:00:00"/>
    <d v="2025-10-16T00:00:00"/>
    <n v="1"/>
    <x v="2"/>
    <s v="X-Ray"/>
    <n v="52280.32"/>
    <n v="4"/>
    <s v="Transferred"/>
    <s v="Under 18"/>
    <x v="17"/>
    <m/>
    <m/>
    <m/>
    <m/>
    <m/>
    <m/>
  </r>
  <r>
    <s v="P00462"/>
    <s v="Nisha Kumar"/>
    <n v="73"/>
    <s v="Female"/>
    <s v="Mumbai"/>
    <x v="1"/>
    <x v="4"/>
    <s v="Skin Infection"/>
    <s v="Elective"/>
    <d v="2025-06-19T00:00:00"/>
    <d v="2025-06-25T00:00:00"/>
    <n v="6"/>
    <x v="1"/>
    <s v="Blood Test"/>
    <n v="76466.44"/>
    <n v="1"/>
    <s v="Left Against Medical Advice"/>
    <s v="66+"/>
    <x v="10"/>
    <m/>
    <m/>
    <m/>
    <m/>
    <m/>
    <m/>
  </r>
  <r>
    <s v="P00463"/>
    <s v="Aditya Kumar"/>
    <n v="64"/>
    <s v="Male"/>
    <s v="Coimbatore"/>
    <x v="2"/>
    <x v="5"/>
    <s v="Migraine"/>
    <s v="Elective"/>
    <d v="2025-06-13T00:00:00"/>
    <d v="2025-06-15T00:00:00"/>
    <n v="2"/>
    <x v="2"/>
    <s v="X-Ray"/>
    <n v="12376.63"/>
    <n v="3"/>
    <s v="Referred"/>
    <s v="51-65"/>
    <x v="10"/>
    <m/>
    <m/>
    <m/>
    <m/>
    <m/>
    <m/>
  </r>
  <r>
    <s v="P00464"/>
    <s v="Kavya Devi"/>
    <n v="22"/>
    <s v="Male"/>
    <s v="Coimbatore"/>
    <x v="4"/>
    <x v="5"/>
    <s v="Pneumonia"/>
    <s v="Elective"/>
    <d v="2024-11-14T00:00:00"/>
    <d v="2024-11-19T00:00:00"/>
    <n v="5"/>
    <x v="3"/>
    <s v="MRI"/>
    <n v="70988.31"/>
    <n v="4"/>
    <s v="Home"/>
    <s v="18-35"/>
    <x v="21"/>
    <m/>
    <m/>
    <m/>
    <m/>
    <m/>
    <m/>
  </r>
  <r>
    <s v="P00465"/>
    <s v="Vivaan Kumar"/>
    <n v="43"/>
    <s v="Other"/>
    <s v="Pune"/>
    <x v="5"/>
    <x v="0"/>
    <s v="Kidney Disease"/>
    <s v="Urgent"/>
    <d v="2024-08-30T00:00:00"/>
    <d v="2024-07-09T00:00:00"/>
    <n v="8"/>
    <x v="2"/>
    <s v="None"/>
    <n v="67827.77"/>
    <n v="2"/>
    <s v="Referred"/>
    <s v="36-50"/>
    <x v="3"/>
    <m/>
    <m/>
    <m/>
    <m/>
    <m/>
    <m/>
  </r>
  <r>
    <s v="P00466"/>
    <s v="Divya Reddy"/>
    <n v="8"/>
    <s v="Male"/>
    <s v="Bengaluru"/>
    <x v="3"/>
    <x v="0"/>
    <s v="Diabetes"/>
    <s v="Elective"/>
    <d v="2024-02-26T00:00:00"/>
    <d v="2024-02-03T00:00:00"/>
    <n v="5"/>
    <x v="3"/>
    <s v="None"/>
    <n v="52825.84"/>
    <n v="3"/>
    <s v="Home"/>
    <s v="Under 18"/>
    <x v="2"/>
    <m/>
    <m/>
    <m/>
    <m/>
    <m/>
    <m/>
  </r>
  <r>
    <s v="P00467"/>
    <s v="Aarav R"/>
    <n v="59"/>
    <s v="Male"/>
    <s v="Salem"/>
    <x v="0"/>
    <x v="1"/>
    <s v="Kidney Disease"/>
    <s v="Urgent"/>
    <d v="2025-04-20T00:00:00"/>
    <d v="2025-04-23T00:00:00"/>
    <n v="3"/>
    <x v="3"/>
    <s v="Ultrasound"/>
    <n v="86030.65"/>
    <n v="2"/>
    <s v="Transferred"/>
    <s v="51-65"/>
    <x v="5"/>
    <m/>
    <m/>
    <m/>
    <m/>
    <m/>
    <m/>
  </r>
  <r>
    <s v="P00468"/>
    <s v="Meera Devi"/>
    <n v="46"/>
    <s v="Male"/>
    <s v="Salem"/>
    <x v="3"/>
    <x v="6"/>
    <s v="Diabetes"/>
    <s v="Emergency"/>
    <d v="2025-07-05T00:00:00"/>
    <d v="2025-12-05T00:00:00"/>
    <n v="5"/>
    <x v="3"/>
    <s v="CT Scan"/>
    <n v="24303.68"/>
    <n v="4"/>
    <s v="Transferred"/>
    <s v="36-50"/>
    <x v="16"/>
    <m/>
    <m/>
    <m/>
    <m/>
    <m/>
    <m/>
  </r>
  <r>
    <s v="P00469"/>
    <s v="Vivaan Reddy"/>
    <n v="78"/>
    <s v="Male"/>
    <s v="Mumbai"/>
    <x v="0"/>
    <x v="7"/>
    <s v="Skin Infection"/>
    <s v="Emergency"/>
    <d v="2024-10-25T00:00:00"/>
    <d v="2024-10-31T00:00:00"/>
    <n v="6"/>
    <x v="3"/>
    <s v="None"/>
    <n v="71800.42"/>
    <n v="4"/>
    <s v="Home"/>
    <s v="66+"/>
    <x v="20"/>
    <m/>
    <m/>
    <m/>
    <m/>
    <m/>
    <m/>
  </r>
  <r>
    <s v="P00470"/>
    <s v="Kavya Sharma"/>
    <n v="44"/>
    <s v="Female"/>
    <s v="Bengaluru"/>
    <x v="1"/>
    <x v="3"/>
    <s v="No Chronic Condition"/>
    <s v="Emergency"/>
    <d v="2025-11-14T00:00:00"/>
    <d v="2025-11-20T00:00:00"/>
    <n v="6"/>
    <x v="4"/>
    <s v="X-Ray"/>
    <n v="80099.3"/>
    <n v="3"/>
    <s v="Home"/>
    <s v="36-50"/>
    <x v="11"/>
    <m/>
    <m/>
    <m/>
    <m/>
    <m/>
    <m/>
  </r>
  <r>
    <s v="P00471"/>
    <s v="Divya Sharma"/>
    <n v="82"/>
    <s v="Female"/>
    <s v="Chennai"/>
    <x v="5"/>
    <x v="5"/>
    <s v="Migraine"/>
    <s v="Emergency"/>
    <d v="2025-10-12T00:00:00"/>
    <d v="2025-12-14T00:00:00"/>
    <n v="4"/>
    <x v="2"/>
    <s v="MRI"/>
    <n v="70930.81"/>
    <n v="4"/>
    <s v="Home"/>
    <s v="66+"/>
    <x v="17"/>
    <m/>
    <m/>
    <m/>
    <m/>
    <m/>
    <m/>
  </r>
  <r>
    <s v="P00472"/>
    <s v="Sathya Devi"/>
    <n v="72"/>
    <s v="Female"/>
    <s v="Hyderabad"/>
    <x v="5"/>
    <x v="3"/>
    <s v="Diabetes"/>
    <s v="Urgent"/>
    <d v="2024-05-25T00:00:00"/>
    <d v="2024-05-28T00:00:00"/>
    <n v="3"/>
    <x v="3"/>
    <s v="X-Ray"/>
    <n v="114746.98"/>
    <n v="3"/>
    <s v="Referred"/>
    <s v="66+"/>
    <x v="23"/>
    <m/>
    <m/>
    <m/>
    <m/>
    <m/>
    <m/>
  </r>
  <r>
    <s v="P00473"/>
    <s v="Pooja Iyer"/>
    <n v="3"/>
    <s v="Female"/>
    <s v="Mumbai"/>
    <x v="5"/>
    <x v="2"/>
    <s v="Hypertension"/>
    <s v="Urgent"/>
    <d v="2024-09-25T00:00:00"/>
    <d v="2024-09-26T00:00:00"/>
    <n v="1"/>
    <x v="3"/>
    <s v="ECG"/>
    <n v="36701.980000000003"/>
    <n v="3"/>
    <s v="Left Against Medical Advice"/>
    <s v="Under 18"/>
    <x v="13"/>
    <m/>
    <m/>
    <m/>
    <m/>
    <m/>
    <m/>
  </r>
  <r>
    <s v="P00474"/>
    <s v="Deepa Iyer"/>
    <n v="9"/>
    <s v="Female"/>
    <s v="Kochi"/>
    <x v="5"/>
    <x v="2"/>
    <s v="Heart Disease"/>
    <s v="Emergency"/>
    <d v="2024-05-27T00:00:00"/>
    <d v="2024-05-30T00:00:00"/>
    <n v="3"/>
    <x v="1"/>
    <s v="X-Ray"/>
    <n v="79233.990000000005"/>
    <n v="5"/>
    <s v="Home"/>
    <s v="Under 18"/>
    <x v="23"/>
    <m/>
    <m/>
    <m/>
    <m/>
    <m/>
    <m/>
  </r>
  <r>
    <s v="P00475"/>
    <s v="Rahul Nair"/>
    <n v="81"/>
    <s v="Male"/>
    <s v="Delhi"/>
    <x v="3"/>
    <x v="5"/>
    <s v="No Chronic Condition"/>
    <s v="Elective"/>
    <d v="2024-09-05T00:00:00"/>
    <d v="2024-11-05T00:00:00"/>
    <n v="2"/>
    <x v="3"/>
    <s v="MRI"/>
    <n v="16735.73"/>
    <n v="4"/>
    <s v="Transferred"/>
    <s v="66+"/>
    <x v="13"/>
    <m/>
    <m/>
    <m/>
    <m/>
    <m/>
    <m/>
  </r>
  <r>
    <s v="P00476"/>
    <s v="Divya Iyer"/>
    <n v="68"/>
    <s v="Other"/>
    <s v="Madurai"/>
    <x v="1"/>
    <x v="1"/>
    <s v="Heart Disease"/>
    <s v="Elective"/>
    <d v="2025-09-05T00:00:00"/>
    <d v="2025-05-14T00:00:00"/>
    <n v="5"/>
    <x v="0"/>
    <s v="X-Ray"/>
    <n v="38750.76"/>
    <n v="5"/>
    <s v="Transferred"/>
    <s v="66+"/>
    <x v="7"/>
    <m/>
    <m/>
    <m/>
    <m/>
    <m/>
    <m/>
  </r>
  <r>
    <s v="P00477"/>
    <s v="Nisha Singh"/>
    <n v="33"/>
    <s v="Other"/>
    <s v="Delhi"/>
    <x v="1"/>
    <x v="3"/>
    <s v="Heart Disease"/>
    <s v="Elective"/>
    <d v="2024-03-27T00:00:00"/>
    <d v="2024-04-04T00:00:00"/>
    <n v="8"/>
    <x v="1"/>
    <s v="None"/>
    <n v="110537.34"/>
    <n v="4"/>
    <s v="Left Against Medical Advice"/>
    <s v="18-35"/>
    <x v="18"/>
    <m/>
    <m/>
    <m/>
    <m/>
    <m/>
    <m/>
  </r>
  <r>
    <s v="P00478"/>
    <s v="Rahul R"/>
    <n v="41"/>
    <s v="Male"/>
    <s v="Madurai"/>
    <x v="0"/>
    <x v="0"/>
    <s v="Migraine"/>
    <s v="Emergency"/>
    <d v="2025-01-26T00:00:00"/>
    <d v="2025-01-27T00:00:00"/>
    <n v="1"/>
    <x v="2"/>
    <s v="Blood Test"/>
    <n v="77807.740000000005"/>
    <n v="3"/>
    <s v="Transferred"/>
    <s v="36-50"/>
    <x v="22"/>
    <m/>
    <m/>
    <m/>
    <m/>
    <m/>
    <m/>
  </r>
  <r>
    <s v="P00479"/>
    <s v="Rohan Devi"/>
    <n v="5"/>
    <s v="Other"/>
    <s v="Chennai"/>
    <x v="5"/>
    <x v="4"/>
    <s v="Fracture"/>
    <s v="Elective"/>
    <d v="2024-07-24T00:00:00"/>
    <d v="2024-07-26T00:00:00"/>
    <n v="2"/>
    <x v="1"/>
    <s v="None"/>
    <n v="25916.9"/>
    <n v="4"/>
    <s v="Left Against Medical Advice"/>
    <s v="Under 18"/>
    <x v="12"/>
    <m/>
    <m/>
    <m/>
    <m/>
    <m/>
    <m/>
  </r>
  <r>
    <s v="P00480"/>
    <s v="Sathya Singh"/>
    <n v="52"/>
    <s v="Other"/>
    <s v="Delhi"/>
    <x v="5"/>
    <x v="6"/>
    <s v="Pneumonia"/>
    <s v="Emergency"/>
    <d v="2025-02-11T00:00:00"/>
    <d v="2025-06-11T00:00:00"/>
    <n v="4"/>
    <x v="1"/>
    <s v="None"/>
    <n v="52963.15"/>
    <n v="3"/>
    <s v="Referred"/>
    <s v="51-65"/>
    <x v="15"/>
    <m/>
    <m/>
    <m/>
    <m/>
    <m/>
    <m/>
  </r>
  <r>
    <s v="P00481"/>
    <s v="Aarav Singh"/>
    <n v="55"/>
    <s v="Other"/>
    <s v="Mumbai"/>
    <x v="5"/>
    <x v="1"/>
    <s v="Migraine"/>
    <s v="Emergency"/>
    <d v="2025-03-03T00:00:00"/>
    <d v="2025-06-03T00:00:00"/>
    <n v="3"/>
    <x v="4"/>
    <s v="CT Scan"/>
    <n v="43985.03"/>
    <n v="3"/>
    <s v="Left Against Medical Advice"/>
    <s v="51-65"/>
    <x v="14"/>
    <m/>
    <m/>
    <m/>
    <m/>
    <m/>
    <m/>
  </r>
  <r>
    <s v="P00482"/>
    <s v="Ishita Reddy"/>
    <n v="89"/>
    <s v="Other"/>
    <s v="Pune"/>
    <x v="0"/>
    <x v="1"/>
    <s v="Asthma"/>
    <s v="Elective"/>
    <d v="2024-02-11T00:00:00"/>
    <d v="2024-07-11T00:00:00"/>
    <n v="5"/>
    <x v="2"/>
    <s v="ECG"/>
    <n v="47771.11"/>
    <n v="4"/>
    <s v="Left Against Medical Advice"/>
    <s v="66+"/>
    <x v="2"/>
    <m/>
    <m/>
    <m/>
    <m/>
    <m/>
    <m/>
  </r>
  <r>
    <s v="P00483"/>
    <s v="Sanjay Kumar"/>
    <n v="25"/>
    <s v="Male"/>
    <s v="Salem"/>
    <x v="1"/>
    <x v="4"/>
    <s v="Hypertension"/>
    <s v="Emergency"/>
    <d v="2024-04-21T00:00:00"/>
    <d v="2024-04-26T00:00:00"/>
    <n v="5"/>
    <x v="3"/>
    <s v="X-Ray"/>
    <n v="24513.93"/>
    <n v="4"/>
    <s v="Home"/>
    <s v="18-35"/>
    <x v="6"/>
    <m/>
    <m/>
    <m/>
    <m/>
    <m/>
    <m/>
  </r>
  <r>
    <s v="P00484"/>
    <s v="Kavya Reddy"/>
    <n v="50"/>
    <s v="Male"/>
    <s v="Pune"/>
    <x v="0"/>
    <x v="5"/>
    <s v="Diabetes"/>
    <s v="Emergency"/>
    <d v="2024-07-29T00:00:00"/>
    <d v="2024-07-31T00:00:00"/>
    <n v="2"/>
    <x v="3"/>
    <s v="ECG"/>
    <n v="38911.620000000003"/>
    <n v="1"/>
    <s v="Left Against Medical Advice"/>
    <s v="36-50"/>
    <x v="12"/>
    <m/>
    <m/>
    <m/>
    <m/>
    <m/>
    <m/>
  </r>
  <r>
    <s v="P00485"/>
    <s v="Ananya Iyer"/>
    <n v="62"/>
    <s v="Other"/>
    <s v="Kochi"/>
    <x v="2"/>
    <x v="2"/>
    <s v="Kidney Disease"/>
    <s v="Urgent"/>
    <d v="2024-11-03T00:00:00"/>
    <d v="2024-12-03T00:00:00"/>
    <n v="1"/>
    <x v="4"/>
    <s v="MRI"/>
    <n v="23591.03"/>
    <n v="4"/>
    <s v="Referred"/>
    <s v="51-65"/>
    <x v="21"/>
    <m/>
    <m/>
    <m/>
    <m/>
    <m/>
    <m/>
  </r>
  <r>
    <s v="P00486"/>
    <s v="Lakshmi Singh"/>
    <n v="1"/>
    <s v="Female"/>
    <s v="Delhi"/>
    <x v="3"/>
    <x v="7"/>
    <s v="Skin Infection"/>
    <s v="Emergency"/>
    <d v="2025-01-04T00:00:00"/>
    <d v="2025-11-04T00:00:00"/>
    <n v="10"/>
    <x v="2"/>
    <s v="MRI"/>
    <n v="45011.35"/>
    <n v="4"/>
    <s v="Left Against Medical Advice"/>
    <s v="Under 18"/>
    <x v="22"/>
    <m/>
    <m/>
    <m/>
    <m/>
    <m/>
    <m/>
  </r>
  <r>
    <s v="P00487"/>
    <s v="Pooja Reddy"/>
    <n v="45"/>
    <s v="Other"/>
    <s v="Hyderabad"/>
    <x v="2"/>
    <x v="6"/>
    <s v="Pneumonia"/>
    <s v="Urgent"/>
    <d v="2025-12-29T00:00:00"/>
    <d v="2026-01-01T00:00:00"/>
    <n v="3"/>
    <x v="2"/>
    <s v="CT Scan"/>
    <n v="60674.59"/>
    <n v="5"/>
    <s v="Home"/>
    <s v="36-50"/>
    <x v="1"/>
    <m/>
    <m/>
    <m/>
    <m/>
    <m/>
    <m/>
  </r>
  <r>
    <s v="P00488"/>
    <s v="Manoj R"/>
    <n v="31"/>
    <s v="Female"/>
    <s v="Mumbai"/>
    <x v="4"/>
    <x v="0"/>
    <s v="Heart Disease"/>
    <s v="Emergency"/>
    <d v="2024-07-10T00:00:00"/>
    <d v="2024-11-10T00:00:00"/>
    <n v="4"/>
    <x v="0"/>
    <s v="None"/>
    <n v="78337.759999999995"/>
    <n v="4"/>
    <s v="Transferred"/>
    <s v="18-35"/>
    <x v="12"/>
    <m/>
    <m/>
    <m/>
    <m/>
    <m/>
    <m/>
  </r>
  <r>
    <s v="P00489"/>
    <s v="Kavya Reddy"/>
    <n v="53"/>
    <s v="Male"/>
    <s v="Coimbatore"/>
    <x v="1"/>
    <x v="1"/>
    <s v="Hypertension"/>
    <s v="Emergency"/>
    <d v="2024-06-17T00:00:00"/>
    <d v="2024-06-19T00:00:00"/>
    <n v="2"/>
    <x v="2"/>
    <s v="MRI"/>
    <n v="106019.68"/>
    <n v="4"/>
    <s v="Home"/>
    <s v="51-65"/>
    <x v="9"/>
    <m/>
    <m/>
    <m/>
    <m/>
    <m/>
    <m/>
  </r>
  <r>
    <s v="P00490"/>
    <s v="Pooja Sharma"/>
    <n v="18"/>
    <s v="Male"/>
    <s v="Delhi"/>
    <x v="5"/>
    <x v="0"/>
    <s v="Skin Infection"/>
    <s v="Emergency"/>
    <d v="2025-11-17T00:00:00"/>
    <d v="2025-11-21T00:00:00"/>
    <n v="4"/>
    <x v="3"/>
    <s v="None"/>
    <n v="59962.65"/>
    <n v="5"/>
    <s v="Home"/>
    <s v="18-35"/>
    <x v="11"/>
    <m/>
    <m/>
    <m/>
    <m/>
    <m/>
    <m/>
  </r>
  <r>
    <s v="P00491"/>
    <s v="Pooja Nair"/>
    <n v="78"/>
    <s v="Female"/>
    <s v="Hyderabad"/>
    <x v="0"/>
    <x v="6"/>
    <s v="Hypertension"/>
    <s v="Urgent"/>
    <d v="2024-06-30T00:00:00"/>
    <d v="2024-01-07T00:00:00"/>
    <n v="1"/>
    <x v="2"/>
    <s v="Ultrasound"/>
    <n v="73829.53"/>
    <n v="3"/>
    <s v="Referred"/>
    <s v="66+"/>
    <x v="9"/>
    <m/>
    <m/>
    <m/>
    <m/>
    <m/>
    <m/>
  </r>
  <r>
    <s v="P00492"/>
    <s v="Ishita Kumar"/>
    <n v="57"/>
    <s v="Other"/>
    <s v="Chennai"/>
    <x v="1"/>
    <x v="0"/>
    <s v="Pneumonia"/>
    <s v="Emergency"/>
    <d v="2024-02-18T00:00:00"/>
    <d v="2024-02-27T00:00:00"/>
    <n v="9"/>
    <x v="3"/>
    <s v="MRI"/>
    <n v="77994.14"/>
    <n v="4"/>
    <s v="Referred"/>
    <s v="51-65"/>
    <x v="2"/>
    <m/>
    <m/>
    <m/>
    <m/>
    <m/>
    <m/>
  </r>
  <r>
    <s v="P00493"/>
    <s v="Sanjay Sharma"/>
    <n v="26"/>
    <s v="Female"/>
    <s v="Chennai"/>
    <x v="1"/>
    <x v="0"/>
    <s v="Heart Disease"/>
    <s v="Urgent"/>
    <d v="2024-01-17T00:00:00"/>
    <d v="2024-01-27T00:00:00"/>
    <n v="10"/>
    <x v="2"/>
    <s v="None"/>
    <n v="102485.5"/>
    <n v="2"/>
    <s v="Transferred"/>
    <s v="18-35"/>
    <x v="0"/>
    <m/>
    <m/>
    <m/>
    <m/>
    <m/>
    <m/>
  </r>
  <r>
    <s v="P00494"/>
    <s v="Meera Nair"/>
    <n v="42"/>
    <s v="Other"/>
    <s v="Hyderabad"/>
    <x v="4"/>
    <x v="2"/>
    <s v="Pneumonia"/>
    <s v="Elective"/>
    <d v="2025-03-10T00:00:00"/>
    <d v="2025-08-10T00:00:00"/>
    <n v="5"/>
    <x v="1"/>
    <s v="Blood Test"/>
    <n v="20818.689999999999"/>
    <n v="3"/>
    <s v="Left Against Medical Advice"/>
    <s v="36-50"/>
    <x v="14"/>
    <m/>
    <m/>
    <m/>
    <m/>
    <m/>
    <m/>
  </r>
  <r>
    <s v="P00495"/>
    <s v="Ishita Singh"/>
    <n v="28"/>
    <s v="Male"/>
    <s v="Bengaluru"/>
    <x v="2"/>
    <x v="3"/>
    <s v="Diabetes"/>
    <s v="Urgent"/>
    <d v="2024-08-13T00:00:00"/>
    <d v="2024-08-19T00:00:00"/>
    <n v="6"/>
    <x v="0"/>
    <s v="X-Ray"/>
    <n v="23625.52"/>
    <n v="3"/>
    <s v="Transferred"/>
    <s v="18-35"/>
    <x v="3"/>
    <m/>
    <m/>
    <m/>
    <m/>
    <m/>
    <m/>
  </r>
  <r>
    <s v="P00496"/>
    <s v="Lakshmi R"/>
    <n v="13"/>
    <s v="Other"/>
    <s v="Mumbai"/>
    <x v="4"/>
    <x v="6"/>
    <s v="Migraine"/>
    <s v="Urgent"/>
    <d v="2024-11-28T00:00:00"/>
    <d v="2024-04-12T00:00:00"/>
    <n v="6"/>
    <x v="0"/>
    <s v="CT Scan"/>
    <n v="46759.94"/>
    <n v="4"/>
    <s v="Left Against Medical Advice"/>
    <s v="Under 18"/>
    <x v="21"/>
    <m/>
    <m/>
    <m/>
    <m/>
    <m/>
    <m/>
  </r>
  <r>
    <s v="P00497"/>
    <s v="Ananya Iyer"/>
    <n v="66"/>
    <s v="Other"/>
    <s v="Pune"/>
    <x v="0"/>
    <x v="7"/>
    <s v="Diabetes"/>
    <s v="Urgent"/>
    <d v="2024-08-26T00:00:00"/>
    <d v="2024-08-31T00:00:00"/>
    <n v="5"/>
    <x v="2"/>
    <s v="Blood Test"/>
    <n v="56993.45"/>
    <n v="5"/>
    <s v="Referred"/>
    <s v="66+"/>
    <x v="3"/>
    <m/>
    <m/>
    <m/>
    <m/>
    <m/>
    <m/>
  </r>
  <r>
    <s v="P00498"/>
    <s v="Kavya Sharma"/>
    <n v="48"/>
    <s v="Male"/>
    <s v="Madurai"/>
    <x v="5"/>
    <x v="1"/>
    <s v="Heart Disease"/>
    <s v="Urgent"/>
    <d v="2024-10-30T00:00:00"/>
    <d v="2024-10-31T00:00:00"/>
    <n v="1"/>
    <x v="2"/>
    <s v="ECG"/>
    <n v="138033.87"/>
    <n v="5"/>
    <s v="Left Against Medical Advice"/>
    <s v="36-50"/>
    <x v="20"/>
    <m/>
    <m/>
    <m/>
    <m/>
    <m/>
    <m/>
  </r>
  <r>
    <s v="P00499"/>
    <s v="Kavya Sharma"/>
    <n v="83"/>
    <s v="Male"/>
    <s v="Delhi"/>
    <x v="2"/>
    <x v="7"/>
    <s v="Heart Disease"/>
    <s v="Emergency"/>
    <d v="2024-01-25T00:00:00"/>
    <d v="2024-01-27T00:00:00"/>
    <n v="2"/>
    <x v="2"/>
    <s v="None"/>
    <n v="56388.61"/>
    <n v="4"/>
    <s v="Left Against Medical Advice"/>
    <s v="66+"/>
    <x v="0"/>
    <m/>
    <m/>
    <m/>
    <m/>
    <m/>
    <m/>
  </r>
  <r>
    <s v="P00500"/>
    <s v="Pooja Devi"/>
    <n v="9"/>
    <s v="Female"/>
    <s v="Hyderabad"/>
    <x v="2"/>
    <x v="7"/>
    <s v="Heart Disease"/>
    <s v="Emergency"/>
    <d v="2024-02-23T00:00:00"/>
    <d v="2024-02-24T00:00:00"/>
    <n v="1"/>
    <x v="3"/>
    <s v="CT Scan"/>
    <n v="49041.99"/>
    <n v="4"/>
    <s v="Referred"/>
    <s v="Under 18"/>
    <x v="2"/>
    <m/>
    <m/>
    <m/>
    <m/>
    <m/>
    <m/>
  </r>
  <r>
    <s v="P00501"/>
    <s v="Meera Reddy"/>
    <n v="78"/>
    <s v="Female"/>
    <s v="Pune"/>
    <x v="0"/>
    <x v="7"/>
    <s v="Fracture"/>
    <s v="Elective"/>
    <d v="2024-06-11T00:00:00"/>
    <d v="2024-11-11T00:00:00"/>
    <n v="5"/>
    <x v="4"/>
    <s v="CT Scan"/>
    <n v="74957.06"/>
    <n v="4"/>
    <s v="Left Against Medical Advice"/>
    <s v="66+"/>
    <x v="9"/>
    <m/>
    <m/>
    <m/>
    <m/>
    <m/>
    <m/>
  </r>
  <r>
    <s v="P00502"/>
    <s v="Sanjay Devi"/>
    <n v="20"/>
    <s v="Male"/>
    <s v="Pune"/>
    <x v="1"/>
    <x v="4"/>
    <s v="No Chronic Condition"/>
    <s v="Elective"/>
    <d v="2024-01-21T00:00:00"/>
    <d v="2024-01-24T00:00:00"/>
    <n v="3"/>
    <x v="4"/>
    <s v="MRI"/>
    <n v="51215.43"/>
    <n v="4"/>
    <s v="Left Against Medical Advice"/>
    <s v="18-35"/>
    <x v="0"/>
    <m/>
    <m/>
    <m/>
    <m/>
    <m/>
    <m/>
  </r>
  <r>
    <s v="P00503"/>
    <s v="Rahul Nair"/>
    <n v="72"/>
    <s v="Other"/>
    <s v="Delhi"/>
    <x v="1"/>
    <x v="7"/>
    <s v="Asthma"/>
    <s v="Elective"/>
    <d v="2025-07-05T00:00:00"/>
    <d v="2025-10-05T00:00:00"/>
    <n v="3"/>
    <x v="4"/>
    <s v="Ultrasound"/>
    <n v="78877.63"/>
    <n v="1"/>
    <s v="Transferred"/>
    <s v="66+"/>
    <x v="16"/>
    <m/>
    <m/>
    <m/>
    <m/>
    <m/>
    <m/>
  </r>
  <r>
    <s v="P00504"/>
    <s v="Nisha Devi"/>
    <n v="50"/>
    <s v="Male"/>
    <s v="Mumbai"/>
    <x v="3"/>
    <x v="0"/>
    <s v="Pneumonia"/>
    <s v="Urgent"/>
    <d v="2024-11-11T00:00:00"/>
    <d v="2024-11-24T00:00:00"/>
    <n v="13"/>
    <x v="4"/>
    <s v="Ultrasound"/>
    <n v="100056.82"/>
    <n v="3"/>
    <s v="Transferred"/>
    <s v="36-50"/>
    <x v="21"/>
    <m/>
    <m/>
    <m/>
    <m/>
    <m/>
    <m/>
  </r>
  <r>
    <s v="P00505"/>
    <s v="Priya Iyer"/>
    <n v="90"/>
    <s v="Female"/>
    <s v="Salem"/>
    <x v="3"/>
    <x v="1"/>
    <s v="Asthma"/>
    <s v="Urgent"/>
    <d v="2025-10-28T00:00:00"/>
    <d v="2025-06-11T00:00:00"/>
    <n v="9"/>
    <x v="3"/>
    <s v="Blood Test"/>
    <n v="62539.78"/>
    <n v="4"/>
    <s v="Home"/>
    <s v="66+"/>
    <x v="17"/>
    <m/>
    <m/>
    <m/>
    <m/>
    <m/>
    <m/>
  </r>
  <r>
    <s v="P00506"/>
    <s v="Sanjay Reddy"/>
    <n v="12"/>
    <s v="Other"/>
    <s v="Madurai"/>
    <x v="2"/>
    <x v="0"/>
    <s v="Skin Infection"/>
    <s v="Elective"/>
    <d v="2025-12-29T00:00:00"/>
    <d v="2026-01-01T00:00:00"/>
    <n v="3"/>
    <x v="0"/>
    <s v="ECG"/>
    <n v="78426.289999999994"/>
    <n v="5"/>
    <s v="Left Against Medical Advice"/>
    <s v="Under 18"/>
    <x v="1"/>
    <m/>
    <m/>
    <m/>
    <m/>
    <m/>
    <m/>
  </r>
  <r>
    <s v="P00507"/>
    <s v="Ananya Kumar"/>
    <n v="76"/>
    <s v="Male"/>
    <s v="Hyderabad"/>
    <x v="1"/>
    <x v="6"/>
    <s v="Fracture"/>
    <s v="Emergency"/>
    <d v="2025-02-25T00:00:00"/>
    <d v="2025-02-03T00:00:00"/>
    <n v="5"/>
    <x v="2"/>
    <s v="Blood Test"/>
    <n v="135781.92000000001"/>
    <n v="4"/>
    <s v="Left Against Medical Advice"/>
    <s v="66+"/>
    <x v="15"/>
    <m/>
    <m/>
    <m/>
    <m/>
    <m/>
    <m/>
  </r>
  <r>
    <s v="P00508"/>
    <s v="Arjun Singh"/>
    <n v="68"/>
    <s v="Male"/>
    <s v="Salem"/>
    <x v="0"/>
    <x v="3"/>
    <s v="Asthma"/>
    <s v="Emergency"/>
    <d v="2025-01-11T00:00:00"/>
    <d v="2025-08-11T00:00:00"/>
    <n v="7"/>
    <x v="3"/>
    <s v="Blood Test"/>
    <n v="87372.77"/>
    <n v="3"/>
    <s v="Referred"/>
    <s v="66+"/>
    <x v="22"/>
    <m/>
    <m/>
    <m/>
    <m/>
    <m/>
    <m/>
  </r>
  <r>
    <s v="P00509"/>
    <s v="Kavya Kumar"/>
    <n v="25"/>
    <s v="Male"/>
    <s v="Salem"/>
    <x v="0"/>
    <x v="6"/>
    <s v="Hypertension"/>
    <s v="Elective"/>
    <d v="2025-02-22T00:00:00"/>
    <d v="2025-02-27T00:00:00"/>
    <n v="5"/>
    <x v="4"/>
    <s v="Ultrasound"/>
    <n v="51431.7"/>
    <n v="3"/>
    <s v="Home"/>
    <s v="18-35"/>
    <x v="15"/>
    <m/>
    <m/>
    <m/>
    <m/>
    <m/>
    <m/>
  </r>
  <r>
    <s v="P00510"/>
    <s v="Rahul Devi"/>
    <n v="2"/>
    <s v="Female"/>
    <s v="Delhi"/>
    <x v="1"/>
    <x v="1"/>
    <s v="Hypertension"/>
    <s v="Elective"/>
    <d v="2024-09-29T00:00:00"/>
    <d v="2024-05-10T00:00:00"/>
    <n v="6"/>
    <x v="0"/>
    <s v="CT Scan"/>
    <n v="52420.74"/>
    <n v="4"/>
    <s v="Transferred"/>
    <s v="Under 18"/>
    <x v="13"/>
    <m/>
    <m/>
    <m/>
    <m/>
    <m/>
    <m/>
  </r>
  <r>
    <s v="P00511"/>
    <s v="Kavya R"/>
    <n v="48"/>
    <s v="Other"/>
    <s v="Chennai"/>
    <x v="1"/>
    <x v="2"/>
    <s v="Pneumonia"/>
    <s v="Urgent"/>
    <d v="2024-12-17T00:00:00"/>
    <d v="2024-12-26T00:00:00"/>
    <n v="9"/>
    <x v="4"/>
    <s v="Ultrasound"/>
    <n v="70736.33"/>
    <n v="5"/>
    <s v="Referred"/>
    <s v="36-50"/>
    <x v="8"/>
    <m/>
    <m/>
    <m/>
    <m/>
    <m/>
    <m/>
  </r>
  <r>
    <s v="P00512"/>
    <s v="Lakshmi Reddy"/>
    <n v="4"/>
    <s v="Other"/>
    <s v="Coimbatore"/>
    <x v="4"/>
    <x v="7"/>
    <s v="Migraine"/>
    <s v="Urgent"/>
    <d v="2024-05-05T00:00:00"/>
    <d v="2024-07-05T00:00:00"/>
    <n v="2"/>
    <x v="1"/>
    <s v="Blood Test"/>
    <n v="44990.02"/>
    <n v="4"/>
    <s v="Transferred"/>
    <s v="Under 18"/>
    <x v="23"/>
    <m/>
    <m/>
    <m/>
    <m/>
    <m/>
    <m/>
  </r>
  <r>
    <s v="P00513"/>
    <s v="Lakshmi R"/>
    <n v="6"/>
    <s v="Other"/>
    <s v="Pune"/>
    <x v="5"/>
    <x v="2"/>
    <s v="No Chronic Condition"/>
    <s v="Urgent"/>
    <d v="2024-11-29T00:00:00"/>
    <d v="2024-02-12T00:00:00"/>
    <n v="3"/>
    <x v="3"/>
    <s v="Ultrasound"/>
    <n v="69959.11"/>
    <n v="4"/>
    <s v="Referred"/>
    <s v="Under 18"/>
    <x v="21"/>
    <m/>
    <m/>
    <m/>
    <m/>
    <m/>
    <m/>
  </r>
  <r>
    <s v="P00514"/>
    <s v="Pooja R"/>
    <n v="67"/>
    <s v="Other"/>
    <s v="Delhi"/>
    <x v="2"/>
    <x v="4"/>
    <s v="Skin Infection"/>
    <s v="Urgent"/>
    <d v="2025-05-31T00:00:00"/>
    <d v="2025-01-06T00:00:00"/>
    <n v="1"/>
    <x v="3"/>
    <s v="X-Ray"/>
    <n v="84067.03"/>
    <n v="4"/>
    <s v="Referred"/>
    <s v="66+"/>
    <x v="4"/>
    <m/>
    <m/>
    <m/>
    <m/>
    <m/>
    <m/>
  </r>
  <r>
    <s v="P00515"/>
    <s v="Priya Iyer"/>
    <n v="22"/>
    <s v="Other"/>
    <s v="Madurai"/>
    <x v="2"/>
    <x v="1"/>
    <s v="Asthma"/>
    <s v="Elective"/>
    <d v="2025-12-17T00:00:00"/>
    <d v="2025-12-18T00:00:00"/>
    <n v="1"/>
    <x v="2"/>
    <s v="Ultrasound"/>
    <n v="119235.06"/>
    <n v="4"/>
    <s v="Referred"/>
    <s v="18-35"/>
    <x v="1"/>
    <m/>
    <m/>
    <m/>
    <m/>
    <m/>
    <m/>
  </r>
  <r>
    <s v="P00516"/>
    <s v="Kavya Reddy"/>
    <n v="69"/>
    <s v="Other"/>
    <s v="Pune"/>
    <x v="2"/>
    <x v="7"/>
    <s v="No Chronic Condition"/>
    <s v="Urgent"/>
    <d v="2025-05-18T00:00:00"/>
    <d v="2025-05-27T00:00:00"/>
    <n v="9"/>
    <x v="0"/>
    <s v="None"/>
    <n v="84928.29"/>
    <n v="4"/>
    <s v="Left Against Medical Advice"/>
    <s v="66+"/>
    <x v="4"/>
    <m/>
    <m/>
    <m/>
    <m/>
    <m/>
    <m/>
  </r>
  <r>
    <s v="P00517"/>
    <s v="Meera Sharma"/>
    <n v="30"/>
    <s v="Female"/>
    <s v="Mumbai"/>
    <x v="1"/>
    <x v="3"/>
    <s v="No Chronic Condition"/>
    <s v="Urgent"/>
    <d v="2024-09-22T00:00:00"/>
    <d v="2024-09-24T00:00:00"/>
    <n v="2"/>
    <x v="2"/>
    <s v="MRI"/>
    <n v="150391.17000000001"/>
    <n v="2"/>
    <s v="Home"/>
    <s v="18-35"/>
    <x v="13"/>
    <m/>
    <m/>
    <m/>
    <m/>
    <m/>
    <m/>
  </r>
  <r>
    <s v="P00518"/>
    <s v="Aarav Singh"/>
    <n v="76"/>
    <s v="Other"/>
    <s v="Mumbai"/>
    <x v="0"/>
    <x v="6"/>
    <s v="Skin Infection"/>
    <s v="Elective"/>
    <d v="2024-07-13T00:00:00"/>
    <d v="2024-07-16T00:00:00"/>
    <n v="3"/>
    <x v="3"/>
    <s v="CT Scan"/>
    <n v="104686.75"/>
    <n v="2"/>
    <s v="Left Against Medical Advice"/>
    <s v="66+"/>
    <x v="12"/>
    <m/>
    <m/>
    <m/>
    <m/>
    <m/>
    <m/>
  </r>
  <r>
    <s v="P00519"/>
    <s v="Priya Singh"/>
    <n v="19"/>
    <s v="Other"/>
    <s v="Coimbatore"/>
    <x v="1"/>
    <x v="1"/>
    <s v="No Chronic Condition"/>
    <s v="Elective"/>
    <d v="2024-10-17T00:00:00"/>
    <d v="2024-10-24T00:00:00"/>
    <n v="7"/>
    <x v="4"/>
    <s v="Blood Test"/>
    <n v="58436.480000000003"/>
    <n v="4"/>
    <s v="Transferred"/>
    <s v="18-35"/>
    <x v="20"/>
    <m/>
    <m/>
    <m/>
    <m/>
    <m/>
    <m/>
  </r>
  <r>
    <s v="P00520"/>
    <s v="Sanjay Kumar"/>
    <n v="20"/>
    <s v="Other"/>
    <s v="Kochi"/>
    <x v="1"/>
    <x v="6"/>
    <s v="Kidney Disease"/>
    <s v="Elective"/>
    <d v="2024-03-08T00:00:00"/>
    <d v="2024-10-08T00:00:00"/>
    <n v="7"/>
    <x v="4"/>
    <s v="Ultrasound"/>
    <n v="95644.18"/>
    <n v="5"/>
    <s v="Left Against Medical Advice"/>
    <s v="18-35"/>
    <x v="18"/>
    <m/>
    <m/>
    <m/>
    <m/>
    <m/>
    <m/>
  </r>
  <r>
    <s v="P00521"/>
    <s v="Deepa Kumar"/>
    <n v="45"/>
    <s v="Male"/>
    <s v="Madurai"/>
    <x v="1"/>
    <x v="7"/>
    <s v="Skin Infection"/>
    <s v="Urgent"/>
    <d v="2025-04-02T00:00:00"/>
    <d v="2025-08-02T00:00:00"/>
    <n v="4"/>
    <x v="3"/>
    <s v="ECG"/>
    <n v="40745.39"/>
    <n v="3"/>
    <s v="Referred"/>
    <s v="36-50"/>
    <x v="5"/>
    <m/>
    <m/>
    <m/>
    <m/>
    <m/>
    <m/>
  </r>
  <r>
    <s v="P00522"/>
    <s v="Sanjay Kumar"/>
    <n v="57"/>
    <s v="Other"/>
    <s v="Bengaluru"/>
    <x v="5"/>
    <x v="0"/>
    <s v="Asthma"/>
    <s v="Elective"/>
    <d v="2025-09-05T00:00:00"/>
    <d v="2025-05-15T00:00:00"/>
    <n v="6"/>
    <x v="3"/>
    <s v="Blood Test"/>
    <n v="39488.57"/>
    <n v="5"/>
    <s v="Home"/>
    <s v="51-65"/>
    <x v="7"/>
    <m/>
    <m/>
    <m/>
    <m/>
    <m/>
    <m/>
  </r>
  <r>
    <s v="P00523"/>
    <s v="Lakshmi Devi"/>
    <n v="66"/>
    <s v="Other"/>
    <s v="Salem"/>
    <x v="0"/>
    <x v="2"/>
    <s v="Heart Disease"/>
    <s v="Urgent"/>
    <d v="2024-12-12T00:00:00"/>
    <d v="2024-12-15T00:00:00"/>
    <n v="3"/>
    <x v="4"/>
    <s v="None"/>
    <n v="14481.48"/>
    <n v="3"/>
    <s v="Home"/>
    <s v="66+"/>
    <x v="8"/>
    <m/>
    <m/>
    <m/>
    <m/>
    <m/>
    <m/>
  </r>
  <r>
    <s v="P00524"/>
    <s v="Rahul Iyer"/>
    <n v="60"/>
    <s v="Other"/>
    <s v="Chennai"/>
    <x v="3"/>
    <x v="1"/>
    <s v="Hypertension"/>
    <s v="Urgent"/>
    <d v="2025-01-26T00:00:00"/>
    <d v="2025-01-31T00:00:00"/>
    <n v="5"/>
    <x v="0"/>
    <s v="CT Scan"/>
    <n v="26869.95"/>
    <n v="4"/>
    <s v="Transferred"/>
    <s v="51-65"/>
    <x v="22"/>
    <m/>
    <m/>
    <m/>
    <m/>
    <m/>
    <m/>
  </r>
  <r>
    <s v="P00525"/>
    <s v="Aditya Sharma"/>
    <n v="89"/>
    <s v="Other"/>
    <s v="Pune"/>
    <x v="2"/>
    <x v="2"/>
    <s v="Fracture"/>
    <s v="Emergency"/>
    <d v="2024-06-04T00:00:00"/>
    <d v="2024-07-04T00:00:00"/>
    <n v="1"/>
    <x v="4"/>
    <s v="ECG"/>
    <n v="53713.89"/>
    <n v="2"/>
    <s v="Left Against Medical Advice"/>
    <s v="66+"/>
    <x v="9"/>
    <m/>
    <m/>
    <m/>
    <m/>
    <m/>
    <m/>
  </r>
  <r>
    <s v="P00526"/>
    <s v="Sanjay Sharma"/>
    <n v="9"/>
    <s v="Other"/>
    <s v="Chennai"/>
    <x v="3"/>
    <x v="0"/>
    <s v="Heart Disease"/>
    <s v="Elective"/>
    <d v="2025-08-21T00:00:00"/>
    <d v="2025-08-28T00:00:00"/>
    <n v="7"/>
    <x v="1"/>
    <s v="Blood Test"/>
    <n v="82494.720000000001"/>
    <n v="5"/>
    <s v="Home"/>
    <s v="Under 18"/>
    <x v="19"/>
    <m/>
    <m/>
    <m/>
    <m/>
    <m/>
    <m/>
  </r>
  <r>
    <s v="P00527"/>
    <s v="Manoj Sharma"/>
    <n v="17"/>
    <s v="Other"/>
    <s v="Pune"/>
    <x v="2"/>
    <x v="1"/>
    <s v="Hypertension"/>
    <s v="Emergency"/>
    <d v="2024-07-30T00:00:00"/>
    <d v="2024-07-31T00:00:00"/>
    <n v="1"/>
    <x v="3"/>
    <s v="MRI"/>
    <n v="138294.62"/>
    <n v="4"/>
    <s v="Home"/>
    <s v="Under 18"/>
    <x v="12"/>
    <m/>
    <m/>
    <m/>
    <m/>
    <m/>
    <m/>
  </r>
  <r>
    <s v="P00528"/>
    <s v="Rahul Iyer"/>
    <n v="67"/>
    <s v="Male"/>
    <s v="Bengaluru"/>
    <x v="2"/>
    <x v="3"/>
    <s v="Skin Infection"/>
    <s v="Emergency"/>
    <d v="2025-05-11T00:00:00"/>
    <d v="2025-08-11T00:00:00"/>
    <n v="3"/>
    <x v="3"/>
    <s v="Blood Test"/>
    <n v="164596.81"/>
    <n v="4"/>
    <s v="Referred"/>
    <s v="66+"/>
    <x v="4"/>
    <m/>
    <m/>
    <m/>
    <m/>
    <m/>
    <m/>
  </r>
  <r>
    <s v="P00529"/>
    <s v="Priya Devi"/>
    <n v="19"/>
    <s v="Male"/>
    <s v="Pune"/>
    <x v="2"/>
    <x v="3"/>
    <s v="Fracture"/>
    <s v="Emergency"/>
    <d v="2024-08-08T00:00:00"/>
    <d v="2024-08-13T00:00:00"/>
    <n v="5"/>
    <x v="4"/>
    <s v="CT Scan"/>
    <n v="37630.410000000003"/>
    <n v="2"/>
    <s v="Home"/>
    <s v="18-35"/>
    <x v="3"/>
    <m/>
    <m/>
    <m/>
    <m/>
    <m/>
    <m/>
  </r>
  <r>
    <s v="P00530"/>
    <s v="Rahul Sharma"/>
    <n v="33"/>
    <s v="Other"/>
    <s v="Pune"/>
    <x v="0"/>
    <x v="4"/>
    <s v="Heart Disease"/>
    <s v="Elective"/>
    <d v="2025-11-03T00:00:00"/>
    <d v="2025-12-03T00:00:00"/>
    <n v="1"/>
    <x v="4"/>
    <s v="CT Scan"/>
    <n v="64154.48"/>
    <n v="4"/>
    <s v="Home"/>
    <s v="18-35"/>
    <x v="11"/>
    <m/>
    <m/>
    <m/>
    <m/>
    <m/>
    <m/>
  </r>
  <r>
    <s v="P00531"/>
    <s v="Kavya Devi"/>
    <n v="78"/>
    <s v="Female"/>
    <s v="Hyderabad"/>
    <x v="0"/>
    <x v="2"/>
    <s v="Hypertension"/>
    <s v="Elective"/>
    <d v="2024-03-20T00:00:00"/>
    <d v="2024-03-21T00:00:00"/>
    <n v="1"/>
    <x v="2"/>
    <s v="Blood Test"/>
    <n v="36043.1"/>
    <n v="2"/>
    <s v="Left Against Medical Advice"/>
    <s v="66+"/>
    <x v="18"/>
    <m/>
    <m/>
    <m/>
    <m/>
    <m/>
    <m/>
  </r>
  <r>
    <s v="P00532"/>
    <s v="Rahul Nair"/>
    <n v="29"/>
    <s v="Male"/>
    <s v="Salem"/>
    <x v="5"/>
    <x v="4"/>
    <s v="No Chronic Condition"/>
    <s v="Urgent"/>
    <d v="2024-04-17T00:00:00"/>
    <d v="2024-04-18T00:00:00"/>
    <n v="1"/>
    <x v="1"/>
    <s v="ECG"/>
    <n v="71958.06"/>
    <n v="4"/>
    <s v="Home"/>
    <s v="18-35"/>
    <x v="6"/>
    <m/>
    <m/>
    <m/>
    <m/>
    <m/>
    <m/>
  </r>
  <r>
    <s v="P00533"/>
    <s v="Rahul Sharma"/>
    <n v="7"/>
    <s v="Female"/>
    <s v="Hyderabad"/>
    <x v="0"/>
    <x v="2"/>
    <s v="Kidney Disease"/>
    <s v="Elective"/>
    <d v="2024-11-21T00:00:00"/>
    <d v="2024-11-22T00:00:00"/>
    <n v="1"/>
    <x v="0"/>
    <s v="Ultrasound"/>
    <n v="55238.64"/>
    <n v="3"/>
    <s v="Transferred"/>
    <s v="Under 18"/>
    <x v="21"/>
    <m/>
    <m/>
    <m/>
    <m/>
    <m/>
    <m/>
  </r>
  <r>
    <s v="P00534"/>
    <s v="Pooja Devi"/>
    <n v="7"/>
    <s v="Other"/>
    <s v="Madurai"/>
    <x v="1"/>
    <x v="2"/>
    <s v="Kidney Disease"/>
    <s v="Urgent"/>
    <d v="2025-10-16T00:00:00"/>
    <d v="2025-10-23T00:00:00"/>
    <n v="7"/>
    <x v="3"/>
    <s v="MRI"/>
    <n v="25366.63"/>
    <n v="5"/>
    <s v="Home"/>
    <s v="Under 18"/>
    <x v="17"/>
    <m/>
    <m/>
    <m/>
    <m/>
    <m/>
    <m/>
  </r>
  <r>
    <s v="P00535"/>
    <s v="Ananya Singh"/>
    <n v="40"/>
    <s v="Male"/>
    <s v="Chennai"/>
    <x v="1"/>
    <x v="7"/>
    <s v="Hypertension"/>
    <s v="Urgent"/>
    <d v="2024-11-16T00:00:00"/>
    <d v="2024-11-21T00:00:00"/>
    <n v="5"/>
    <x v="0"/>
    <s v="Ultrasound"/>
    <n v="24053.26"/>
    <n v="2"/>
    <s v="Referred"/>
    <s v="36-50"/>
    <x v="21"/>
    <m/>
    <m/>
    <m/>
    <m/>
    <m/>
    <m/>
  </r>
  <r>
    <s v="P00536"/>
    <s v="Meera Iyer"/>
    <n v="62"/>
    <s v="Male"/>
    <s v="Kochi"/>
    <x v="2"/>
    <x v="7"/>
    <s v="Diabetes"/>
    <s v="Urgent"/>
    <d v="2025-11-06T00:00:00"/>
    <d v="2025-06-17T00:00:00"/>
    <n v="6"/>
    <x v="2"/>
    <s v="ECG"/>
    <n v="64133.69"/>
    <n v="5"/>
    <s v="Left Against Medical Advice"/>
    <s v="51-65"/>
    <x v="11"/>
    <m/>
    <m/>
    <m/>
    <m/>
    <m/>
    <m/>
  </r>
  <r>
    <s v="P00537"/>
    <s v="Sanjay Nair"/>
    <n v="22"/>
    <s v="Other"/>
    <s v="Bengaluru"/>
    <x v="5"/>
    <x v="6"/>
    <s v="Skin Infection"/>
    <s v="Urgent"/>
    <d v="2025-06-20T00:00:00"/>
    <d v="2025-06-21T00:00:00"/>
    <n v="1"/>
    <x v="3"/>
    <s v="None"/>
    <n v="47079.73"/>
    <n v="4"/>
    <s v="Home"/>
    <s v="18-35"/>
    <x v="10"/>
    <m/>
    <m/>
    <m/>
    <m/>
    <m/>
    <m/>
  </r>
  <r>
    <s v="P00538"/>
    <s v="Pooja Singh"/>
    <n v="38"/>
    <s v="Male"/>
    <s v="Chennai"/>
    <x v="5"/>
    <x v="4"/>
    <s v="Skin Infection"/>
    <s v="Emergency"/>
    <d v="2025-09-05T00:00:00"/>
    <d v="2025-05-14T00:00:00"/>
    <n v="5"/>
    <x v="0"/>
    <s v="CT Scan"/>
    <n v="72278.100000000006"/>
    <n v="1"/>
    <s v="Transferred"/>
    <s v="36-50"/>
    <x v="7"/>
    <m/>
    <m/>
    <m/>
    <m/>
    <m/>
    <m/>
  </r>
  <r>
    <s v="P00539"/>
    <s v="Karthik R"/>
    <n v="39"/>
    <s v="Male"/>
    <s v="Kochi"/>
    <x v="3"/>
    <x v="2"/>
    <s v="Migraine"/>
    <s v="Emergency"/>
    <d v="2024-04-19T00:00:00"/>
    <d v="2024-04-22T00:00:00"/>
    <n v="3"/>
    <x v="4"/>
    <s v="Blood Test"/>
    <n v="12647.05"/>
    <n v="4"/>
    <s v="Left Against Medical Advice"/>
    <s v="36-50"/>
    <x v="6"/>
    <m/>
    <m/>
    <m/>
    <m/>
    <m/>
    <m/>
  </r>
  <r>
    <s v="P00540"/>
    <s v="Priya R"/>
    <n v="1"/>
    <s v="Female"/>
    <s v="Delhi"/>
    <x v="2"/>
    <x v="4"/>
    <s v="Migraine"/>
    <s v="Elective"/>
    <d v="2025-03-11T00:00:00"/>
    <d v="2025-05-11T00:00:00"/>
    <n v="2"/>
    <x v="3"/>
    <s v="X-Ray"/>
    <n v="43268.93"/>
    <n v="3"/>
    <s v="Transferred"/>
    <s v="Under 18"/>
    <x v="14"/>
    <m/>
    <m/>
    <m/>
    <m/>
    <m/>
    <m/>
  </r>
  <r>
    <s v="P00541"/>
    <s v="Sanjay Iyer"/>
    <n v="56"/>
    <s v="Female"/>
    <s v="Delhi"/>
    <x v="2"/>
    <x v="1"/>
    <s v="Asthma"/>
    <s v="Elective"/>
    <d v="2025-02-01T00:00:00"/>
    <d v="2025-04-01T00:00:00"/>
    <n v="2"/>
    <x v="2"/>
    <s v="CT Scan"/>
    <n v="76280.36"/>
    <n v="5"/>
    <s v="Left Against Medical Advice"/>
    <s v="51-65"/>
    <x v="15"/>
    <m/>
    <m/>
    <m/>
    <m/>
    <m/>
    <m/>
  </r>
  <r>
    <s v="P00542"/>
    <s v="Divya Sharma"/>
    <n v="71"/>
    <s v="Male"/>
    <s v="Bengaluru"/>
    <x v="4"/>
    <x v="2"/>
    <s v="Skin Infection"/>
    <s v="Emergency"/>
    <d v="2025-11-29T00:00:00"/>
    <d v="2025-11-30T00:00:00"/>
    <n v="1"/>
    <x v="3"/>
    <s v="X-Ray"/>
    <n v="64997.599999999999"/>
    <n v="5"/>
    <s v="Transferred"/>
    <s v="66+"/>
    <x v="11"/>
    <m/>
    <m/>
    <m/>
    <m/>
    <m/>
    <m/>
  </r>
  <r>
    <s v="P00543"/>
    <s v="Ananya Devi"/>
    <n v="65"/>
    <s v="Female"/>
    <s v="Delhi"/>
    <x v="4"/>
    <x v="2"/>
    <s v="No Chronic Condition"/>
    <s v="Elective"/>
    <d v="2025-01-12T00:00:00"/>
    <d v="2025-02-12T00:00:00"/>
    <n v="1"/>
    <x v="3"/>
    <s v="ECG"/>
    <n v="65832.5"/>
    <n v="4"/>
    <s v="Referred"/>
    <s v="51-65"/>
    <x v="22"/>
    <m/>
    <m/>
    <m/>
    <m/>
    <m/>
    <m/>
  </r>
  <r>
    <s v="P00544"/>
    <s v="Arjun Sharma"/>
    <n v="66"/>
    <s v="Female"/>
    <s v="Coimbatore"/>
    <x v="3"/>
    <x v="7"/>
    <s v="Pneumonia"/>
    <s v="Urgent"/>
    <d v="2024-12-09T00:00:00"/>
    <d v="2024-09-20T00:00:00"/>
    <n v="8"/>
    <x v="3"/>
    <s v="X-Ray"/>
    <n v="33105.14"/>
    <n v="5"/>
    <s v="Home"/>
    <s v="66+"/>
    <x v="8"/>
    <m/>
    <m/>
    <m/>
    <m/>
    <m/>
    <m/>
  </r>
  <r>
    <s v="P00545"/>
    <s v="Sathya Iyer"/>
    <n v="17"/>
    <s v="Male"/>
    <s v="Mumbai"/>
    <x v="1"/>
    <x v="0"/>
    <s v="Diabetes"/>
    <s v="Elective"/>
    <d v="2024-09-02T00:00:00"/>
    <d v="2024-12-02T00:00:00"/>
    <n v="3"/>
    <x v="2"/>
    <s v="ECG"/>
    <n v="39765.74"/>
    <n v="4"/>
    <s v="Left Against Medical Advice"/>
    <s v="Under 18"/>
    <x v="13"/>
    <m/>
    <m/>
    <m/>
    <m/>
    <m/>
    <m/>
  </r>
  <r>
    <s v="P00546"/>
    <s v="Aarav Kumar"/>
    <n v="83"/>
    <s v="Female"/>
    <s v="Mumbai"/>
    <x v="0"/>
    <x v="3"/>
    <s v="Pneumonia"/>
    <s v="Elective"/>
    <d v="2024-07-11T00:00:00"/>
    <d v="2024-09-11T00:00:00"/>
    <n v="2"/>
    <x v="4"/>
    <s v="MRI"/>
    <n v="60225.45"/>
    <n v="3"/>
    <s v="Home"/>
    <s v="66+"/>
    <x v="12"/>
    <m/>
    <m/>
    <m/>
    <m/>
    <m/>
    <m/>
  </r>
  <r>
    <s v="P00547"/>
    <s v="Rohan Nair"/>
    <n v="56"/>
    <s v="Female"/>
    <s v="Mumbai"/>
    <x v="2"/>
    <x v="0"/>
    <s v="Diabetes"/>
    <s v="Elective"/>
    <d v="2024-09-15T00:00:00"/>
    <d v="2024-09-18T00:00:00"/>
    <n v="3"/>
    <x v="0"/>
    <s v="ECG"/>
    <n v="61856.19"/>
    <n v="5"/>
    <s v="Transferred"/>
    <s v="51-65"/>
    <x v="13"/>
    <m/>
    <m/>
    <m/>
    <m/>
    <m/>
    <m/>
  </r>
  <r>
    <s v="P00548"/>
    <s v="Vivaan Iyer"/>
    <n v="31"/>
    <s v="Other"/>
    <s v="Coimbatore"/>
    <x v="2"/>
    <x v="0"/>
    <s v="Asthma"/>
    <s v="Elective"/>
    <d v="2024-09-10T00:00:00"/>
    <d v="2024-10-14T00:00:00"/>
    <n v="5"/>
    <x v="2"/>
    <s v="Blood Test"/>
    <n v="57957.78"/>
    <n v="4"/>
    <s v="Transferred"/>
    <s v="18-35"/>
    <x v="13"/>
    <m/>
    <m/>
    <m/>
    <m/>
    <m/>
    <m/>
  </r>
  <r>
    <s v="P00549"/>
    <s v="Manoj Nair"/>
    <n v="39"/>
    <s v="Other"/>
    <s v="Mumbai"/>
    <x v="1"/>
    <x v="6"/>
    <s v="Heart Disease"/>
    <s v="Urgent"/>
    <d v="2025-04-30T00:00:00"/>
    <d v="2025-04-05T00:00:00"/>
    <n v="4"/>
    <x v="2"/>
    <s v="CT Scan"/>
    <n v="78273.14"/>
    <n v="5"/>
    <s v="Home"/>
    <s v="36-50"/>
    <x v="5"/>
    <m/>
    <m/>
    <m/>
    <m/>
    <m/>
    <m/>
  </r>
  <r>
    <s v="P00550"/>
    <s v="Karthik Reddy"/>
    <n v="62"/>
    <s v="Male"/>
    <s v="Delhi"/>
    <x v="2"/>
    <x v="4"/>
    <s v="Diabetes"/>
    <s v="Urgent"/>
    <d v="2025-06-20T00:00:00"/>
    <d v="2025-06-22T00:00:00"/>
    <n v="2"/>
    <x v="0"/>
    <s v="Blood Test"/>
    <n v="81773.61"/>
    <n v="2"/>
    <s v="Referred"/>
    <s v="51-65"/>
    <x v="10"/>
    <m/>
    <m/>
    <m/>
    <m/>
    <m/>
    <m/>
  </r>
  <r>
    <s v="P00551"/>
    <s v="Karthik Kumar"/>
    <n v="57"/>
    <s v="Other"/>
    <s v="Kochi"/>
    <x v="1"/>
    <x v="4"/>
    <s v="Heart Disease"/>
    <s v="Urgent"/>
    <d v="2025-01-28T00:00:00"/>
    <d v="2025-05-02T00:00:00"/>
    <n v="8"/>
    <x v="0"/>
    <s v="MRI"/>
    <n v="31796.05"/>
    <n v="3"/>
    <s v="Transferred"/>
    <s v="51-65"/>
    <x v="22"/>
    <m/>
    <m/>
    <m/>
    <m/>
    <m/>
    <m/>
  </r>
  <r>
    <s v="P00552"/>
    <s v="Priya Sharma"/>
    <n v="29"/>
    <s v="Male"/>
    <s v="Madurai"/>
    <x v="4"/>
    <x v="1"/>
    <s v="Skin Infection"/>
    <s v="Urgent"/>
    <d v="2025-12-26T00:00:00"/>
    <d v="2025-12-30T00:00:00"/>
    <n v="4"/>
    <x v="3"/>
    <s v="None"/>
    <n v="36301.769999999997"/>
    <n v="3"/>
    <s v="Referred"/>
    <s v="18-35"/>
    <x v="1"/>
    <m/>
    <m/>
    <m/>
    <m/>
    <m/>
    <m/>
  </r>
  <r>
    <s v="P00553"/>
    <s v="Rohan Reddy"/>
    <n v="69"/>
    <s v="Female"/>
    <s v="Salem"/>
    <x v="5"/>
    <x v="3"/>
    <s v="Migraine"/>
    <s v="Elective"/>
    <d v="2024-02-01T00:00:00"/>
    <d v="2024-05-01T00:00:00"/>
    <n v="3"/>
    <x v="2"/>
    <s v="Ultrasound"/>
    <n v="33169.71"/>
    <n v="4"/>
    <s v="Home"/>
    <s v="66+"/>
    <x v="2"/>
    <m/>
    <m/>
    <m/>
    <m/>
    <m/>
    <m/>
  </r>
  <r>
    <s v="P00554"/>
    <s v="Ishita Iyer"/>
    <n v="46"/>
    <s v="Female"/>
    <s v="Delhi"/>
    <x v="0"/>
    <x v="0"/>
    <s v="Pneumonia"/>
    <s v="Elective"/>
    <d v="2024-10-13T00:00:00"/>
    <d v="2024-10-19T00:00:00"/>
    <n v="6"/>
    <x v="1"/>
    <s v="X-Ray"/>
    <n v="81032.91"/>
    <n v="3"/>
    <s v="Left Against Medical Advice"/>
    <s v="36-50"/>
    <x v="20"/>
    <m/>
    <m/>
    <m/>
    <m/>
    <m/>
    <m/>
  </r>
  <r>
    <s v="P00555"/>
    <s v="Sanjay Iyer"/>
    <n v="20"/>
    <s v="Male"/>
    <s v="Salem"/>
    <x v="1"/>
    <x v="5"/>
    <s v="Hypertension"/>
    <s v="Urgent"/>
    <d v="2024-08-25T00:00:00"/>
    <d v="2024-01-09T00:00:00"/>
    <n v="7"/>
    <x v="3"/>
    <s v="Ultrasound"/>
    <n v="48205.17"/>
    <n v="4"/>
    <s v="Transferred"/>
    <s v="18-35"/>
    <x v="3"/>
    <m/>
    <m/>
    <m/>
    <m/>
    <m/>
    <m/>
  </r>
  <r>
    <s v="P00556"/>
    <s v="Pooja Reddy"/>
    <n v="3"/>
    <s v="Male"/>
    <s v="Bengaluru"/>
    <x v="2"/>
    <x v="7"/>
    <s v="Hypertension"/>
    <s v="Urgent"/>
    <d v="2024-06-15T00:00:00"/>
    <d v="2024-06-24T00:00:00"/>
    <n v="9"/>
    <x v="3"/>
    <s v="Ultrasound"/>
    <n v="28096.42"/>
    <n v="4"/>
    <s v="Home"/>
    <s v="Under 18"/>
    <x v="9"/>
    <m/>
    <m/>
    <m/>
    <m/>
    <m/>
    <m/>
  </r>
  <r>
    <s v="P00557"/>
    <s v="Ishita Kumar"/>
    <n v="78"/>
    <s v="Female"/>
    <s v="Chennai"/>
    <x v="4"/>
    <x v="1"/>
    <s v="Asthma"/>
    <s v="Urgent"/>
    <d v="2025-01-21T00:00:00"/>
    <d v="2025-01-22T00:00:00"/>
    <n v="1"/>
    <x v="1"/>
    <s v="None"/>
    <n v="38421.629999999997"/>
    <n v="3"/>
    <s v="Home"/>
    <s v="66+"/>
    <x v="22"/>
    <m/>
    <m/>
    <m/>
    <m/>
    <m/>
    <m/>
  </r>
  <r>
    <s v="P00558"/>
    <s v="Manoj Devi"/>
    <n v="26"/>
    <s v="Female"/>
    <s v="Kochi"/>
    <x v="4"/>
    <x v="4"/>
    <s v="Migraine"/>
    <s v="Emergency"/>
    <d v="2025-06-05T00:00:00"/>
    <d v="2025-05-19T00:00:00"/>
    <n v="13"/>
    <x v="2"/>
    <s v="Blood Test"/>
    <n v="58700.39"/>
    <n v="3"/>
    <s v="Transferred"/>
    <s v="18-35"/>
    <x v="10"/>
    <m/>
    <m/>
    <m/>
    <m/>
    <m/>
    <m/>
  </r>
  <r>
    <s v="P00559"/>
    <s v="Arjun Singh"/>
    <n v="14"/>
    <s v="Other"/>
    <s v="Hyderabad"/>
    <x v="4"/>
    <x v="3"/>
    <s v="Fracture"/>
    <s v="Emergency"/>
    <d v="2025-01-03T00:00:00"/>
    <d v="2025-03-03T00:00:00"/>
    <n v="2"/>
    <x v="2"/>
    <s v="MRI"/>
    <n v="56725.31"/>
    <n v="4"/>
    <s v="Transferred"/>
    <s v="Under 18"/>
    <x v="22"/>
    <m/>
    <m/>
    <m/>
    <m/>
    <m/>
    <m/>
  </r>
  <r>
    <s v="P00560"/>
    <s v="Rahul Nair"/>
    <n v="10"/>
    <s v="Other"/>
    <s v="Salem"/>
    <x v="0"/>
    <x v="0"/>
    <s v="Diabetes"/>
    <s v="Urgent"/>
    <d v="2024-07-12T00:00:00"/>
    <d v="2024-10-12T00:00:00"/>
    <n v="3"/>
    <x v="4"/>
    <s v="X-Ray"/>
    <n v="56128.97"/>
    <n v="3"/>
    <s v="Transferred"/>
    <s v="Under 18"/>
    <x v="12"/>
    <m/>
    <m/>
    <m/>
    <m/>
    <m/>
    <m/>
  </r>
  <r>
    <s v="P00561"/>
    <s v="Aarav Sharma"/>
    <n v="80"/>
    <s v="Male"/>
    <s v="Hyderabad"/>
    <x v="5"/>
    <x v="3"/>
    <s v="Fracture"/>
    <s v="Emergency"/>
    <d v="2024-12-22T00:00:00"/>
    <d v="2024-12-24T00:00:00"/>
    <n v="2"/>
    <x v="4"/>
    <s v="CT Scan"/>
    <n v="130988.36"/>
    <n v="2"/>
    <s v="Left Against Medical Advice"/>
    <s v="66+"/>
    <x v="8"/>
    <m/>
    <m/>
    <m/>
    <m/>
    <m/>
    <m/>
  </r>
  <r>
    <s v="P00562"/>
    <s v="Nisha Nair"/>
    <n v="9"/>
    <s v="Female"/>
    <s v="Hyderabad"/>
    <x v="2"/>
    <x v="6"/>
    <s v="Pneumonia"/>
    <s v="Emergency"/>
    <d v="2025-08-14T00:00:00"/>
    <d v="2025-08-15T00:00:00"/>
    <n v="1"/>
    <x v="4"/>
    <s v="CT Scan"/>
    <n v="62074.94"/>
    <n v="4"/>
    <s v="Left Against Medical Advice"/>
    <s v="Under 18"/>
    <x v="19"/>
    <m/>
    <m/>
    <m/>
    <m/>
    <m/>
    <m/>
  </r>
  <r>
    <s v="P00563"/>
    <s v="Sathya R"/>
    <n v="69"/>
    <s v="Other"/>
    <s v="Coimbatore"/>
    <x v="5"/>
    <x v="0"/>
    <s v="No Chronic Condition"/>
    <s v="Emergency"/>
    <d v="2025-05-19T00:00:00"/>
    <d v="2025-05-23T00:00:00"/>
    <n v="4"/>
    <x v="3"/>
    <s v="None"/>
    <n v="64189.24"/>
    <n v="4"/>
    <s v="Home"/>
    <s v="66+"/>
    <x v="4"/>
    <m/>
    <m/>
    <m/>
    <m/>
    <m/>
    <m/>
  </r>
  <r>
    <s v="P00564"/>
    <s v="Nisha Iyer"/>
    <n v="47"/>
    <s v="Other"/>
    <s v="Coimbatore"/>
    <x v="0"/>
    <x v="6"/>
    <s v="Fracture"/>
    <s v="Emergency"/>
    <d v="2025-04-30T00:00:00"/>
    <d v="2025-03-05T00:00:00"/>
    <n v="3"/>
    <x v="3"/>
    <s v="Blood Test"/>
    <n v="89015.06"/>
    <n v="4"/>
    <s v="Referred"/>
    <s v="36-50"/>
    <x v="5"/>
    <m/>
    <m/>
    <m/>
    <m/>
    <m/>
    <m/>
  </r>
  <r>
    <s v="P00565"/>
    <s v="Aarav Sharma"/>
    <n v="49"/>
    <s v="Other"/>
    <s v="Mumbai"/>
    <x v="0"/>
    <x v="0"/>
    <s v="Kidney Disease"/>
    <s v="Emergency"/>
    <d v="2024-01-27T00:00:00"/>
    <d v="2024-02-02T00:00:00"/>
    <n v="6"/>
    <x v="3"/>
    <s v="Blood Test"/>
    <n v="73132.92"/>
    <n v="5"/>
    <s v="Home"/>
    <s v="36-50"/>
    <x v="0"/>
    <m/>
    <m/>
    <m/>
    <m/>
    <m/>
    <m/>
  </r>
  <r>
    <s v="P00566"/>
    <s v="Aarav Devi"/>
    <n v="73"/>
    <s v="Male"/>
    <s v="Bengaluru"/>
    <x v="0"/>
    <x v="4"/>
    <s v="Kidney Disease"/>
    <s v="Emergency"/>
    <d v="2024-02-06T00:00:00"/>
    <d v="2024-06-06T00:00:00"/>
    <n v="4"/>
    <x v="2"/>
    <s v="ECG"/>
    <n v="42041.14"/>
    <n v="4"/>
    <s v="Referred"/>
    <s v="66+"/>
    <x v="2"/>
    <m/>
    <m/>
    <m/>
    <m/>
    <m/>
    <m/>
  </r>
  <r>
    <s v="P00567"/>
    <s v="Deepa Devi"/>
    <n v="65"/>
    <s v="Female"/>
    <s v="Coimbatore"/>
    <x v="1"/>
    <x v="5"/>
    <s v="Skin Infection"/>
    <s v="Emergency"/>
    <d v="2024-12-01T00:00:00"/>
    <d v="2024-01-22T00:00:00"/>
    <n v="10"/>
    <x v="1"/>
    <s v="Blood Test"/>
    <n v="79915.87"/>
    <n v="3"/>
    <s v="Left Against Medical Advice"/>
    <s v="51-65"/>
    <x v="8"/>
    <m/>
    <m/>
    <m/>
    <m/>
    <m/>
    <m/>
  </r>
  <r>
    <s v="P00568"/>
    <s v="Lakshmi Nair"/>
    <n v="17"/>
    <s v="Other"/>
    <s v="Pune"/>
    <x v="1"/>
    <x v="6"/>
    <s v="Skin Infection"/>
    <s v="Emergency"/>
    <d v="2024-04-08T00:00:00"/>
    <d v="2024-09-08T00:00:00"/>
    <n v="5"/>
    <x v="2"/>
    <s v="None"/>
    <n v="71308.539999999994"/>
    <n v="4"/>
    <s v="Transferred"/>
    <s v="Under 18"/>
    <x v="6"/>
    <m/>
    <m/>
    <m/>
    <m/>
    <m/>
    <m/>
  </r>
  <r>
    <s v="P00569"/>
    <s v="Karthik Kumar"/>
    <n v="83"/>
    <s v="Male"/>
    <s v="Madurai"/>
    <x v="0"/>
    <x v="3"/>
    <s v="Diabetes"/>
    <s v="Urgent"/>
    <d v="2024-07-18T00:00:00"/>
    <d v="2024-07-19T00:00:00"/>
    <n v="1"/>
    <x v="3"/>
    <s v="Ultrasound"/>
    <n v="39702.01"/>
    <n v="2"/>
    <s v="Home"/>
    <s v="66+"/>
    <x v="12"/>
    <m/>
    <m/>
    <m/>
    <m/>
    <m/>
    <m/>
  </r>
  <r>
    <s v="P00570"/>
    <s v="Ananya Kumar"/>
    <n v="31"/>
    <s v="Male"/>
    <s v="Mumbai"/>
    <x v="5"/>
    <x v="5"/>
    <s v="Diabetes"/>
    <s v="Elective"/>
    <d v="2024-03-28T00:00:00"/>
    <d v="2024-02-04T00:00:00"/>
    <n v="5"/>
    <x v="0"/>
    <s v="X-Ray"/>
    <n v="15507.57"/>
    <n v="2"/>
    <s v="Transferred"/>
    <s v="18-35"/>
    <x v="18"/>
    <m/>
    <m/>
    <m/>
    <m/>
    <m/>
    <m/>
  </r>
  <r>
    <s v="P00571"/>
    <s v="Rohan Kumar"/>
    <n v="51"/>
    <s v="Other"/>
    <s v="Salem"/>
    <x v="1"/>
    <x v="2"/>
    <s v="Skin Infection"/>
    <s v="Elective"/>
    <d v="2024-12-30T00:00:00"/>
    <d v="2025-06-01T00:00:00"/>
    <n v="7"/>
    <x v="0"/>
    <s v="None"/>
    <n v="19373.21"/>
    <n v="5"/>
    <s v="Home"/>
    <s v="51-65"/>
    <x v="8"/>
    <m/>
    <m/>
    <m/>
    <m/>
    <m/>
    <m/>
  </r>
  <r>
    <s v="P00572"/>
    <s v="Rohan Sharma"/>
    <n v="38"/>
    <s v="Female"/>
    <s v="Kochi"/>
    <x v="3"/>
    <x v="0"/>
    <s v="Heart Disease"/>
    <s v="Urgent"/>
    <d v="2024-04-06T00:00:00"/>
    <d v="2024-08-06T00:00:00"/>
    <n v="4"/>
    <x v="0"/>
    <s v="Ultrasound"/>
    <n v="76561.350000000006"/>
    <n v="5"/>
    <s v="Transferred"/>
    <s v="36-50"/>
    <x v="6"/>
    <m/>
    <m/>
    <m/>
    <m/>
    <m/>
    <m/>
  </r>
  <r>
    <s v="P00573"/>
    <s v="Divya Iyer"/>
    <n v="58"/>
    <s v="Female"/>
    <s v="Coimbatore"/>
    <x v="3"/>
    <x v="2"/>
    <s v="Diabetes"/>
    <s v="Urgent"/>
    <d v="2024-12-13T00:00:00"/>
    <d v="2024-12-16T00:00:00"/>
    <n v="3"/>
    <x v="2"/>
    <s v="X-Ray"/>
    <n v="77019.63"/>
    <n v="5"/>
    <s v="Left Against Medical Advice"/>
    <s v="51-65"/>
    <x v="8"/>
    <m/>
    <m/>
    <m/>
    <m/>
    <m/>
    <m/>
  </r>
  <r>
    <s v="P00574"/>
    <s v="Ananya Sharma"/>
    <n v="13"/>
    <s v="Female"/>
    <s v="Bengaluru"/>
    <x v="5"/>
    <x v="0"/>
    <s v="Kidney Disease"/>
    <s v="Urgent"/>
    <d v="2024-05-26T00:00:00"/>
    <d v="2024-05-30T00:00:00"/>
    <n v="4"/>
    <x v="1"/>
    <s v="MRI"/>
    <n v="18870.32"/>
    <n v="3"/>
    <s v="Home"/>
    <s v="Under 18"/>
    <x v="23"/>
    <m/>
    <m/>
    <m/>
    <m/>
    <m/>
    <m/>
  </r>
  <r>
    <s v="P00575"/>
    <s v="Arjun Singh"/>
    <n v="10"/>
    <s v="Female"/>
    <s v="Chennai"/>
    <x v="5"/>
    <x v="4"/>
    <s v="Kidney Disease"/>
    <s v="Elective"/>
    <d v="2025-12-28T00:00:00"/>
    <d v="2025-12-30T00:00:00"/>
    <n v="2"/>
    <x v="4"/>
    <s v="CT Scan"/>
    <n v="59471.32"/>
    <n v="3"/>
    <s v="Referred"/>
    <s v="Under 18"/>
    <x v="1"/>
    <m/>
    <m/>
    <m/>
    <m/>
    <m/>
    <m/>
  </r>
  <r>
    <s v="P00576"/>
    <s v="Sathya Kumar"/>
    <n v="57"/>
    <s v="Male"/>
    <s v="Hyderabad"/>
    <x v="4"/>
    <x v="4"/>
    <s v="Diabetes"/>
    <s v="Elective"/>
    <d v="2025-08-06T00:00:00"/>
    <d v="2025-06-14T00:00:00"/>
    <n v="6"/>
    <x v="4"/>
    <s v="X-Ray"/>
    <n v="57304.800000000003"/>
    <n v="4"/>
    <s v="Left Against Medical Advice"/>
    <s v="51-65"/>
    <x v="19"/>
    <m/>
    <m/>
    <m/>
    <m/>
    <m/>
    <m/>
  </r>
  <r>
    <s v="P00577"/>
    <s v="Aditya Sharma"/>
    <n v="10"/>
    <s v="Female"/>
    <s v="Bengaluru"/>
    <x v="1"/>
    <x v="5"/>
    <s v="Skin Infection"/>
    <s v="Elective"/>
    <d v="2025-01-02T00:00:00"/>
    <d v="2025-07-02T00:00:00"/>
    <n v="6"/>
    <x v="3"/>
    <s v="CT Scan"/>
    <n v="77709.240000000005"/>
    <n v="4"/>
    <s v="Transferred"/>
    <s v="Under 18"/>
    <x v="22"/>
    <m/>
    <m/>
    <m/>
    <m/>
    <m/>
    <m/>
  </r>
  <r>
    <s v="P00578"/>
    <s v="Rohan Singh"/>
    <n v="9"/>
    <s v="Male"/>
    <s v="Hyderabad"/>
    <x v="2"/>
    <x v="5"/>
    <s v="Hypertension"/>
    <s v="Emergency"/>
    <d v="2024-12-16T00:00:00"/>
    <d v="2024-12-20T00:00:00"/>
    <n v="4"/>
    <x v="1"/>
    <s v="ECG"/>
    <n v="32321.38"/>
    <n v="1"/>
    <s v="Home"/>
    <s v="Under 18"/>
    <x v="8"/>
    <m/>
    <m/>
    <m/>
    <m/>
    <m/>
    <m/>
  </r>
  <r>
    <s v="P00579"/>
    <s v="Nisha Devi"/>
    <n v="77"/>
    <s v="Male"/>
    <s v="Madurai"/>
    <x v="2"/>
    <x v="7"/>
    <s v="Diabetes"/>
    <s v="Emergency"/>
    <d v="2024-04-03T00:00:00"/>
    <d v="2024-03-13T00:00:00"/>
    <n v="9"/>
    <x v="2"/>
    <s v="X-Ray"/>
    <n v="34298.730000000003"/>
    <n v="1"/>
    <s v="Home"/>
    <s v="66+"/>
    <x v="6"/>
    <m/>
    <m/>
    <m/>
    <m/>
    <m/>
    <m/>
  </r>
  <r>
    <s v="P00580"/>
    <s v="Nisha Nair"/>
    <n v="36"/>
    <s v="Male"/>
    <s v="Madurai"/>
    <x v="0"/>
    <x v="4"/>
    <s v="Asthma"/>
    <s v="Emergency"/>
    <d v="2024-03-24T00:00:00"/>
    <d v="2024-03-27T00:00:00"/>
    <n v="3"/>
    <x v="1"/>
    <s v="CT Scan"/>
    <n v="72630.080000000002"/>
    <n v="2"/>
    <s v="Left Against Medical Advice"/>
    <s v="36-50"/>
    <x v="18"/>
    <m/>
    <m/>
    <m/>
    <m/>
    <m/>
    <m/>
  </r>
  <r>
    <s v="P00581"/>
    <s v="Rohan Nair"/>
    <n v="61"/>
    <s v="Other"/>
    <s v="Mumbai"/>
    <x v="4"/>
    <x v="7"/>
    <s v="Hypertension"/>
    <s v="Emergency"/>
    <d v="2025-06-12T00:00:00"/>
    <d v="2025-12-16T00:00:00"/>
    <n v="10"/>
    <x v="4"/>
    <s v="X-Ray"/>
    <n v="80948.539999999994"/>
    <n v="4"/>
    <s v="Left Against Medical Advice"/>
    <s v="51-65"/>
    <x v="10"/>
    <m/>
    <m/>
    <m/>
    <m/>
    <m/>
    <m/>
  </r>
  <r>
    <s v="P00582"/>
    <s v="Deepa R"/>
    <n v="41"/>
    <s v="Female"/>
    <s v="Chennai"/>
    <x v="0"/>
    <x v="5"/>
    <s v="Asthma"/>
    <s v="Urgent"/>
    <d v="2025-11-21T00:00:00"/>
    <d v="2025-11-23T00:00:00"/>
    <n v="2"/>
    <x v="3"/>
    <s v="CT Scan"/>
    <n v="58303.39"/>
    <n v="4"/>
    <s v="Referred"/>
    <s v="36-50"/>
    <x v="11"/>
    <m/>
    <m/>
    <m/>
    <m/>
    <m/>
    <m/>
  </r>
  <r>
    <s v="P00583"/>
    <s v="Rahul R"/>
    <n v="77"/>
    <s v="Male"/>
    <s v="Delhi"/>
    <x v="2"/>
    <x v="1"/>
    <s v="Migraine"/>
    <s v="Elective"/>
    <d v="2024-09-08T00:00:00"/>
    <d v="2024-11-08T00:00:00"/>
    <n v="2"/>
    <x v="4"/>
    <s v="CT Scan"/>
    <n v="86727.61"/>
    <n v="5"/>
    <s v="Transferred"/>
    <s v="66+"/>
    <x v="13"/>
    <m/>
    <m/>
    <m/>
    <m/>
    <m/>
    <m/>
  </r>
  <r>
    <s v="P00584"/>
    <s v="Nisha Devi"/>
    <n v="46"/>
    <s v="Other"/>
    <s v="Salem"/>
    <x v="4"/>
    <x v="6"/>
    <s v="Skin Infection"/>
    <s v="Emergency"/>
    <d v="2025-12-03T00:00:00"/>
    <d v="2025-03-15T00:00:00"/>
    <n v="3"/>
    <x v="2"/>
    <s v="Blood Test"/>
    <n v="63823.42"/>
    <n v="4"/>
    <s v="Home"/>
    <s v="36-50"/>
    <x v="1"/>
    <m/>
    <m/>
    <m/>
    <m/>
    <m/>
    <m/>
  </r>
  <r>
    <s v="P00585"/>
    <s v="Ananya Reddy"/>
    <n v="79"/>
    <s v="Male"/>
    <s v="Coimbatore"/>
    <x v="0"/>
    <x v="0"/>
    <s v="Kidney Disease"/>
    <s v="Elective"/>
    <d v="2024-04-16T00:00:00"/>
    <d v="2024-04-23T00:00:00"/>
    <n v="7"/>
    <x v="0"/>
    <s v="CT Scan"/>
    <n v="48745.39"/>
    <n v="5"/>
    <s v="Home"/>
    <s v="66+"/>
    <x v="6"/>
    <m/>
    <m/>
    <m/>
    <m/>
    <m/>
    <m/>
  </r>
  <r>
    <s v="P00586"/>
    <s v="Rahul Devi"/>
    <n v="26"/>
    <s v="Male"/>
    <s v="Madurai"/>
    <x v="2"/>
    <x v="2"/>
    <s v="Diabetes"/>
    <s v="Elective"/>
    <d v="2024-07-05T00:00:00"/>
    <d v="2024-10-05T00:00:00"/>
    <n v="3"/>
    <x v="1"/>
    <s v="None"/>
    <n v="80592.03"/>
    <n v="5"/>
    <s v="Left Against Medical Advice"/>
    <s v="18-35"/>
    <x v="12"/>
    <m/>
    <m/>
    <m/>
    <m/>
    <m/>
    <m/>
  </r>
  <r>
    <s v="P00587"/>
    <s v="Manoj Reddy"/>
    <n v="87"/>
    <s v="Female"/>
    <s v="Coimbatore"/>
    <x v="3"/>
    <x v="3"/>
    <s v="Migraine"/>
    <s v="Urgent"/>
    <d v="2024-05-01T00:00:00"/>
    <d v="2024-01-14T00:00:00"/>
    <n v="9"/>
    <x v="4"/>
    <s v="None"/>
    <n v="52392.26"/>
    <n v="4"/>
    <s v="Home"/>
    <s v="66+"/>
    <x v="23"/>
    <m/>
    <m/>
    <m/>
    <m/>
    <m/>
    <m/>
  </r>
  <r>
    <s v="P00588"/>
    <s v="Arjun Sharma"/>
    <n v="74"/>
    <s v="Male"/>
    <s v="Kochi"/>
    <x v="4"/>
    <x v="2"/>
    <s v="Migraine"/>
    <s v="Urgent"/>
    <d v="2024-11-05T00:00:00"/>
    <d v="2024-05-14T00:00:00"/>
    <n v="3"/>
    <x v="0"/>
    <s v="None"/>
    <n v="49761.23"/>
    <n v="4"/>
    <s v="Left Against Medical Advice"/>
    <s v="66+"/>
    <x v="21"/>
    <m/>
    <m/>
    <m/>
    <m/>
    <m/>
    <m/>
  </r>
  <r>
    <s v="P00589"/>
    <s v="Deepa Reddy"/>
    <n v="81"/>
    <s v="Male"/>
    <s v="Chennai"/>
    <x v="2"/>
    <x v="6"/>
    <s v="Diabetes"/>
    <s v="Urgent"/>
    <d v="2025-07-20T00:00:00"/>
    <d v="2025-07-21T00:00:00"/>
    <n v="1"/>
    <x v="3"/>
    <s v="CT Scan"/>
    <n v="96495.27"/>
    <n v="5"/>
    <s v="Transferred"/>
    <s v="66+"/>
    <x v="16"/>
    <m/>
    <m/>
    <m/>
    <m/>
    <m/>
    <m/>
  </r>
  <r>
    <s v="P00590"/>
    <s v="Priya R"/>
    <n v="24"/>
    <s v="Female"/>
    <s v="Hyderabad"/>
    <x v="2"/>
    <x v="7"/>
    <s v="Pneumonia"/>
    <s v="Emergency"/>
    <d v="2025-10-30T00:00:00"/>
    <d v="2025-01-11T00:00:00"/>
    <n v="2"/>
    <x v="0"/>
    <s v="None"/>
    <n v="68238.59"/>
    <n v="4"/>
    <s v="Home"/>
    <s v="18-35"/>
    <x v="17"/>
    <m/>
    <m/>
    <m/>
    <m/>
    <m/>
    <m/>
  </r>
  <r>
    <s v="P00591"/>
    <s v="Karthik Reddy"/>
    <n v="15"/>
    <s v="Male"/>
    <s v="Bengaluru"/>
    <x v="1"/>
    <x v="6"/>
    <s v="Hypertension"/>
    <s v="Emergency"/>
    <d v="2025-02-09T00:00:00"/>
    <d v="2025-03-09T00:00:00"/>
    <n v="1"/>
    <x v="4"/>
    <s v="Blood Test"/>
    <n v="34594.58"/>
    <n v="5"/>
    <s v="Left Against Medical Advice"/>
    <s v="Under 18"/>
    <x v="15"/>
    <m/>
    <m/>
    <m/>
    <m/>
    <m/>
    <m/>
  </r>
  <r>
    <s v="P00592"/>
    <s v="Sanjay Kumar"/>
    <n v="81"/>
    <s v="Female"/>
    <s v="Bengaluru"/>
    <x v="5"/>
    <x v="5"/>
    <s v="Asthma"/>
    <s v="Elective"/>
    <d v="2024-03-08T00:00:00"/>
    <d v="2024-06-08T00:00:00"/>
    <n v="3"/>
    <x v="4"/>
    <s v="ECG"/>
    <n v="25125.87"/>
    <n v="1"/>
    <s v="Home"/>
    <s v="66+"/>
    <x v="18"/>
    <m/>
    <m/>
    <m/>
    <m/>
    <m/>
    <m/>
  </r>
  <r>
    <s v="P00593"/>
    <s v="Kavya Sharma"/>
    <n v="21"/>
    <s v="Other"/>
    <s v="Coimbatore"/>
    <x v="4"/>
    <x v="6"/>
    <s v="Heart Disease"/>
    <s v="Urgent"/>
    <d v="2024-09-17T00:00:00"/>
    <d v="2024-09-18T00:00:00"/>
    <n v="1"/>
    <x v="3"/>
    <s v="MRI"/>
    <n v="98115.520000000004"/>
    <n v="3"/>
    <s v="Transferred"/>
    <s v="18-35"/>
    <x v="13"/>
    <m/>
    <m/>
    <m/>
    <m/>
    <m/>
    <m/>
  </r>
  <r>
    <s v="P00594"/>
    <s v="Karthik Devi"/>
    <n v="62"/>
    <s v="Female"/>
    <s v="Hyderabad"/>
    <x v="0"/>
    <x v="5"/>
    <s v="Kidney Disease"/>
    <s v="Urgent"/>
    <d v="2024-04-04T00:00:00"/>
    <d v="2024-11-04T00:00:00"/>
    <n v="7"/>
    <x v="1"/>
    <s v="CT Scan"/>
    <n v="43832.53"/>
    <n v="5"/>
    <s v="Home"/>
    <s v="51-65"/>
    <x v="6"/>
    <m/>
    <m/>
    <m/>
    <m/>
    <m/>
    <m/>
  </r>
  <r>
    <s v="P00595"/>
    <s v="Priya Nair"/>
    <n v="75"/>
    <s v="Other"/>
    <s v="Salem"/>
    <x v="4"/>
    <x v="5"/>
    <s v="Pneumonia"/>
    <s v="Urgent"/>
    <d v="2024-11-15T00:00:00"/>
    <d v="2024-11-24T00:00:00"/>
    <n v="9"/>
    <x v="4"/>
    <s v="CT Scan"/>
    <n v="95560.73"/>
    <n v="4"/>
    <s v="Referred"/>
    <s v="66+"/>
    <x v="21"/>
    <m/>
    <m/>
    <m/>
    <m/>
    <m/>
    <m/>
  </r>
  <r>
    <s v="P00596"/>
    <s v="Rahul Nair"/>
    <n v="73"/>
    <s v="Male"/>
    <s v="Pune"/>
    <x v="4"/>
    <x v="1"/>
    <s v="Skin Infection"/>
    <s v="Emergency"/>
    <d v="2025-01-17T00:00:00"/>
    <d v="2025-01-26T00:00:00"/>
    <n v="9"/>
    <x v="3"/>
    <s v="None"/>
    <n v="59759.87"/>
    <n v="4"/>
    <s v="Transferred"/>
    <s v="66+"/>
    <x v="22"/>
    <m/>
    <m/>
    <m/>
    <m/>
    <m/>
    <m/>
  </r>
  <r>
    <s v="P00597"/>
    <s v="Aarav Nair"/>
    <n v="55"/>
    <s v="Female"/>
    <s v="Coimbatore"/>
    <x v="1"/>
    <x v="3"/>
    <s v="Asthma"/>
    <s v="Urgent"/>
    <d v="2025-01-01T00:00:00"/>
    <d v="2025-02-01T00:00:00"/>
    <n v="1"/>
    <x v="1"/>
    <s v="X-Ray"/>
    <n v="90270.02"/>
    <n v="3"/>
    <s v="Home"/>
    <s v="51-65"/>
    <x v="22"/>
    <m/>
    <m/>
    <m/>
    <m/>
    <m/>
    <m/>
  </r>
  <r>
    <s v="P00598"/>
    <s v="Aditya Reddy"/>
    <n v="50"/>
    <s v="Male"/>
    <s v="Pune"/>
    <x v="5"/>
    <x v="4"/>
    <s v="No Chronic Condition"/>
    <s v="Elective"/>
    <d v="2025-08-09T00:00:00"/>
    <d v="2025-12-09T00:00:00"/>
    <n v="4"/>
    <x v="3"/>
    <s v="X-Ray"/>
    <n v="81077.789999999994"/>
    <n v="5"/>
    <s v="Home"/>
    <s v="36-50"/>
    <x v="19"/>
    <m/>
    <m/>
    <m/>
    <m/>
    <m/>
    <m/>
  </r>
  <r>
    <s v="P00599"/>
    <s v="Ananya Kumar"/>
    <n v="64"/>
    <s v="Male"/>
    <s v="Salem"/>
    <x v="4"/>
    <x v="6"/>
    <s v="No Chronic Condition"/>
    <s v="Elective"/>
    <d v="2024-02-17T00:00:00"/>
    <d v="2024-02-20T00:00:00"/>
    <n v="3"/>
    <x v="1"/>
    <s v="X-Ray"/>
    <n v="55391.21"/>
    <n v="4"/>
    <s v="Left Against Medical Advice"/>
    <s v="51-65"/>
    <x v="2"/>
    <m/>
    <m/>
    <m/>
    <m/>
    <m/>
    <m/>
  </r>
  <r>
    <s v="P00600"/>
    <s v="Divya R"/>
    <n v="5"/>
    <s v="Other"/>
    <s v="Kochi"/>
    <x v="5"/>
    <x v="2"/>
    <s v="Fracture"/>
    <s v="Elective"/>
    <d v="2025-06-24T00:00:00"/>
    <d v="2025-06-28T00:00:00"/>
    <n v="4"/>
    <x v="0"/>
    <s v="Blood Test"/>
    <n v="32051.17"/>
    <n v="5"/>
    <s v="Left Against Medical Advice"/>
    <s v="Under 18"/>
    <x v="10"/>
    <m/>
    <m/>
    <m/>
    <m/>
    <m/>
    <m/>
  </r>
  <r>
    <s v="P00601"/>
    <s v="Sathya Kumar"/>
    <n v="39"/>
    <s v="Other"/>
    <s v="Chennai"/>
    <x v="0"/>
    <x v="0"/>
    <s v="Migraine"/>
    <s v="Emergency"/>
    <d v="2025-10-04T00:00:00"/>
    <d v="2025-04-21T00:00:00"/>
    <n v="11"/>
    <x v="1"/>
    <s v="None"/>
    <n v="100565.47"/>
    <n v="2"/>
    <s v="Left Against Medical Advice"/>
    <s v="36-50"/>
    <x v="17"/>
    <m/>
    <m/>
    <m/>
    <m/>
    <m/>
    <m/>
  </r>
  <r>
    <s v="P00602"/>
    <s v="Ananya R"/>
    <n v="29"/>
    <s v="Female"/>
    <s v="Madurai"/>
    <x v="5"/>
    <x v="1"/>
    <s v="Diabetes"/>
    <s v="Urgent"/>
    <d v="2024-03-31T00:00:00"/>
    <d v="2024-07-04T00:00:00"/>
    <n v="7"/>
    <x v="0"/>
    <s v="None"/>
    <n v="59018.35"/>
    <n v="2"/>
    <s v="Left Against Medical Advice"/>
    <s v="18-35"/>
    <x v="18"/>
    <m/>
    <m/>
    <m/>
    <m/>
    <m/>
    <m/>
  </r>
  <r>
    <s v="P00603"/>
    <s v="Nisha Singh"/>
    <n v="35"/>
    <s v="Other"/>
    <s v="Bengaluru"/>
    <x v="3"/>
    <x v="3"/>
    <s v="Asthma"/>
    <s v="Urgent"/>
    <d v="2024-06-23T00:00:00"/>
    <d v="2024-06-28T00:00:00"/>
    <n v="5"/>
    <x v="3"/>
    <s v="ECG"/>
    <n v="133877.35999999999"/>
    <n v="5"/>
    <s v="Left Against Medical Advice"/>
    <s v="18-35"/>
    <x v="9"/>
    <m/>
    <m/>
    <m/>
    <m/>
    <m/>
    <m/>
  </r>
  <r>
    <s v="P00604"/>
    <s v="Meera Iyer"/>
    <n v="85"/>
    <s v="Male"/>
    <s v="Coimbatore"/>
    <x v="2"/>
    <x v="0"/>
    <s v="Fracture"/>
    <s v="Emergency"/>
    <d v="2024-10-14T00:00:00"/>
    <d v="2024-10-22T00:00:00"/>
    <n v="8"/>
    <x v="2"/>
    <s v="CT Scan"/>
    <n v="84915.93"/>
    <n v="5"/>
    <s v="Home"/>
    <s v="66+"/>
    <x v="20"/>
    <m/>
    <m/>
    <m/>
    <m/>
    <m/>
    <m/>
  </r>
  <r>
    <s v="P00605"/>
    <s v="Rahul Nair"/>
    <n v="28"/>
    <s v="Female"/>
    <s v="Madurai"/>
    <x v="2"/>
    <x v="5"/>
    <s v="Hypertension"/>
    <s v="Elective"/>
    <d v="2025-11-17T00:00:00"/>
    <d v="2025-11-21T00:00:00"/>
    <n v="4"/>
    <x v="3"/>
    <s v="None"/>
    <n v="36852.86"/>
    <n v="5"/>
    <s v="Home"/>
    <s v="18-35"/>
    <x v="11"/>
    <m/>
    <m/>
    <m/>
    <m/>
    <m/>
    <m/>
  </r>
  <r>
    <s v="P00606"/>
    <s v="Ananya R"/>
    <n v="17"/>
    <s v="Female"/>
    <s v="Hyderabad"/>
    <x v="1"/>
    <x v="7"/>
    <s v="Hypertension"/>
    <s v="Emergency"/>
    <d v="2025-07-01T00:00:00"/>
    <d v="2025-11-01T00:00:00"/>
    <n v="4"/>
    <x v="2"/>
    <s v="X-Ray"/>
    <n v="32282.21"/>
    <n v="3"/>
    <s v="Home"/>
    <s v="Under 18"/>
    <x v="16"/>
    <m/>
    <m/>
    <m/>
    <m/>
    <m/>
    <m/>
  </r>
  <r>
    <s v="P00607"/>
    <s v="Karthik Sharma"/>
    <n v="59"/>
    <s v="Female"/>
    <s v="Pune"/>
    <x v="3"/>
    <x v="3"/>
    <s v="Fracture"/>
    <s v="Elective"/>
    <d v="2024-09-30T00:00:00"/>
    <d v="2024-04-10T00:00:00"/>
    <n v="4"/>
    <x v="0"/>
    <s v="MRI"/>
    <n v="34986.74"/>
    <n v="4"/>
    <s v="Home"/>
    <s v="51-65"/>
    <x v="13"/>
    <m/>
    <m/>
    <m/>
    <m/>
    <m/>
    <m/>
  </r>
  <r>
    <s v="P00608"/>
    <s v="Ishita Devi"/>
    <n v="57"/>
    <s v="Male"/>
    <s v="Kochi"/>
    <x v="3"/>
    <x v="2"/>
    <s v="Heart Disease"/>
    <s v="Elective"/>
    <d v="2025-01-13T00:00:00"/>
    <d v="2025-01-14T00:00:00"/>
    <n v="1"/>
    <x v="0"/>
    <s v="CT Scan"/>
    <n v="33462.43"/>
    <n v="4"/>
    <s v="Home"/>
    <s v="51-65"/>
    <x v="22"/>
    <m/>
    <m/>
    <m/>
    <m/>
    <m/>
    <m/>
  </r>
  <r>
    <s v="P00609"/>
    <s v="Divya Reddy"/>
    <n v="88"/>
    <s v="Female"/>
    <s v="Pune"/>
    <x v="4"/>
    <x v="0"/>
    <s v="Fracture"/>
    <s v="Emergency"/>
    <d v="2025-10-23T00:00:00"/>
    <d v="2025-10-25T00:00:00"/>
    <n v="2"/>
    <x v="1"/>
    <s v="CT Scan"/>
    <n v="28531.95"/>
    <n v="4"/>
    <s v="Referred"/>
    <s v="66+"/>
    <x v="17"/>
    <m/>
    <m/>
    <m/>
    <m/>
    <m/>
    <m/>
  </r>
  <r>
    <s v="P00610"/>
    <s v="Ananya Iyer"/>
    <n v="22"/>
    <s v="Female"/>
    <s v="Hyderabad"/>
    <x v="5"/>
    <x v="1"/>
    <s v="Hypertension"/>
    <s v="Urgent"/>
    <d v="2024-12-21T00:00:00"/>
    <d v="2024-12-23T00:00:00"/>
    <n v="2"/>
    <x v="2"/>
    <s v="X-Ray"/>
    <n v="51455.3"/>
    <n v="4"/>
    <s v="Referred"/>
    <s v="18-35"/>
    <x v="8"/>
    <m/>
    <m/>
    <m/>
    <m/>
    <m/>
    <m/>
  </r>
  <r>
    <s v="P00611"/>
    <s v="Aarav Nair"/>
    <n v="43"/>
    <s v="Male"/>
    <s v="Delhi"/>
    <x v="3"/>
    <x v="1"/>
    <s v="Asthma"/>
    <s v="Emergency"/>
    <d v="2024-05-25T00:00:00"/>
    <d v="2024-05-31T00:00:00"/>
    <n v="6"/>
    <x v="4"/>
    <s v="None"/>
    <n v="165687.20000000001"/>
    <n v="3"/>
    <s v="Referred"/>
    <s v="36-50"/>
    <x v="23"/>
    <m/>
    <m/>
    <m/>
    <m/>
    <m/>
    <m/>
  </r>
  <r>
    <s v="P00612"/>
    <s v="Arjun R"/>
    <n v="61"/>
    <s v="Female"/>
    <s v="Madurai"/>
    <x v="2"/>
    <x v="7"/>
    <s v="Skin Infection"/>
    <s v="Elective"/>
    <d v="2024-02-16T00:00:00"/>
    <d v="2024-02-21T00:00:00"/>
    <n v="5"/>
    <x v="4"/>
    <s v="CT Scan"/>
    <n v="48729.69"/>
    <n v="5"/>
    <s v="Transferred"/>
    <s v="51-65"/>
    <x v="2"/>
    <m/>
    <m/>
    <m/>
    <m/>
    <m/>
    <m/>
  </r>
  <r>
    <s v="P00613"/>
    <s v="Ishita Singh"/>
    <n v="70"/>
    <s v="Male"/>
    <s v="Bengaluru"/>
    <x v="5"/>
    <x v="3"/>
    <s v="Fracture"/>
    <s v="Urgent"/>
    <d v="2025-10-11T00:00:00"/>
    <d v="2025-12-11T00:00:00"/>
    <n v="2"/>
    <x v="0"/>
    <s v="Ultrasound"/>
    <n v="127825.64"/>
    <n v="5"/>
    <s v="Home"/>
    <s v="66+"/>
    <x v="17"/>
    <m/>
    <m/>
    <m/>
    <m/>
    <m/>
    <m/>
  </r>
  <r>
    <s v="P00614"/>
    <s v="Divya R"/>
    <n v="19"/>
    <s v="Male"/>
    <s v="Madurai"/>
    <x v="2"/>
    <x v="2"/>
    <s v="Migraine"/>
    <s v="Urgent"/>
    <d v="2024-08-13T00:00:00"/>
    <d v="2024-08-14T00:00:00"/>
    <n v="1"/>
    <x v="0"/>
    <s v="CT Scan"/>
    <n v="27060.45"/>
    <n v="2"/>
    <s v="Referred"/>
    <s v="18-35"/>
    <x v="3"/>
    <m/>
    <m/>
    <m/>
    <m/>
    <m/>
    <m/>
  </r>
  <r>
    <s v="P00615"/>
    <s v="Kavya R"/>
    <n v="34"/>
    <s v="Other"/>
    <s v="Pune"/>
    <x v="1"/>
    <x v="4"/>
    <s v="Fracture"/>
    <s v="Urgent"/>
    <d v="2024-12-23T00:00:00"/>
    <d v="2024-12-26T00:00:00"/>
    <n v="3"/>
    <x v="1"/>
    <s v="MRI"/>
    <n v="25911.8"/>
    <n v="4"/>
    <s v="Home"/>
    <s v="18-35"/>
    <x v="8"/>
    <m/>
    <m/>
    <m/>
    <m/>
    <m/>
    <m/>
  </r>
  <r>
    <s v="P00616"/>
    <s v="Lakshmi Devi"/>
    <n v="2"/>
    <s v="Male"/>
    <s v="Bengaluru"/>
    <x v="5"/>
    <x v="4"/>
    <s v="No Chronic Condition"/>
    <s v="Emergency"/>
    <d v="2025-02-12T00:00:00"/>
    <d v="2025-06-12T00:00:00"/>
    <n v="4"/>
    <x v="4"/>
    <s v="Blood Test"/>
    <n v="52744.28"/>
    <n v="3"/>
    <s v="Referred"/>
    <s v="Under 18"/>
    <x v="15"/>
    <m/>
    <m/>
    <m/>
    <m/>
    <m/>
    <m/>
  </r>
  <r>
    <s v="P00617"/>
    <s v="Rahul Sharma"/>
    <n v="37"/>
    <s v="Other"/>
    <s v="Bengaluru"/>
    <x v="2"/>
    <x v="3"/>
    <s v="Diabetes"/>
    <s v="Elective"/>
    <d v="2024-06-05T00:00:00"/>
    <d v="2024-10-05T00:00:00"/>
    <n v="4"/>
    <x v="3"/>
    <s v="Ultrasound"/>
    <n v="20710.3"/>
    <n v="5"/>
    <s v="Referred"/>
    <s v="36-50"/>
    <x v="9"/>
    <m/>
    <m/>
    <m/>
    <m/>
    <m/>
    <m/>
  </r>
  <r>
    <s v="P00618"/>
    <s v="Arjun Devi"/>
    <n v="56"/>
    <s v="Other"/>
    <s v="Madurai"/>
    <x v="3"/>
    <x v="3"/>
    <s v="Heart Disease"/>
    <s v="Elective"/>
    <d v="2024-03-23T00:00:00"/>
    <d v="2024-03-25T00:00:00"/>
    <n v="2"/>
    <x v="3"/>
    <s v="ECG"/>
    <n v="126358.94"/>
    <n v="4"/>
    <s v="Left Against Medical Advice"/>
    <s v="51-65"/>
    <x v="18"/>
    <m/>
    <m/>
    <m/>
    <m/>
    <m/>
    <m/>
  </r>
  <r>
    <s v="P00619"/>
    <s v="Deepa Singh"/>
    <n v="87"/>
    <s v="Male"/>
    <s v="Kochi"/>
    <x v="0"/>
    <x v="6"/>
    <s v="Pneumonia"/>
    <s v="Elective"/>
    <d v="2025-08-15T00:00:00"/>
    <d v="2025-08-21T00:00:00"/>
    <n v="6"/>
    <x v="4"/>
    <s v="Blood Test"/>
    <n v="77170.350000000006"/>
    <n v="2"/>
    <s v="Referred"/>
    <s v="66+"/>
    <x v="19"/>
    <m/>
    <m/>
    <m/>
    <m/>
    <m/>
    <m/>
  </r>
  <r>
    <s v="P00620"/>
    <s v="Pooja Kumar"/>
    <n v="68"/>
    <s v="Male"/>
    <s v="Kochi"/>
    <x v="4"/>
    <x v="3"/>
    <s v="Kidney Disease"/>
    <s v="Elective"/>
    <d v="2025-11-12T00:00:00"/>
    <d v="2025-12-15T00:00:00"/>
    <n v="4"/>
    <x v="2"/>
    <s v="None"/>
    <n v="61323.08"/>
    <n v="5"/>
    <s v="Referred"/>
    <s v="66+"/>
    <x v="11"/>
    <m/>
    <m/>
    <m/>
    <m/>
    <m/>
    <m/>
  </r>
  <r>
    <s v="P00621"/>
    <s v="Divya Kumar"/>
    <n v="79"/>
    <s v="Male"/>
    <s v="Delhi"/>
    <x v="3"/>
    <x v="4"/>
    <s v="Diabetes"/>
    <s v="Elective"/>
    <d v="2024-05-09T00:00:00"/>
    <d v="2024-09-09T00:00:00"/>
    <n v="4"/>
    <x v="2"/>
    <s v="Blood Test"/>
    <n v="67139.47"/>
    <n v="4"/>
    <s v="Home"/>
    <s v="66+"/>
    <x v="23"/>
    <m/>
    <m/>
    <m/>
    <m/>
    <m/>
    <m/>
  </r>
  <r>
    <s v="P00622"/>
    <s v="Deepa Kumar"/>
    <n v="35"/>
    <s v="Other"/>
    <s v="Coimbatore"/>
    <x v="3"/>
    <x v="5"/>
    <s v="Migraine"/>
    <s v="Emergency"/>
    <d v="2024-04-19T00:00:00"/>
    <d v="2024-04-24T00:00:00"/>
    <n v="5"/>
    <x v="0"/>
    <s v="Ultrasound"/>
    <n v="75094.929999999993"/>
    <n v="3"/>
    <s v="Left Against Medical Advice"/>
    <s v="18-35"/>
    <x v="6"/>
    <m/>
    <m/>
    <m/>
    <m/>
    <m/>
    <m/>
  </r>
  <r>
    <s v="P00623"/>
    <s v="Rohan R"/>
    <n v="18"/>
    <s v="Female"/>
    <s v="Kochi"/>
    <x v="4"/>
    <x v="1"/>
    <s v="Kidney Disease"/>
    <s v="Emergency"/>
    <d v="2025-11-22T00:00:00"/>
    <d v="2025-11-24T00:00:00"/>
    <n v="2"/>
    <x v="3"/>
    <s v="Blood Test"/>
    <n v="79424.14"/>
    <n v="2"/>
    <s v="Left Against Medical Advice"/>
    <s v="18-35"/>
    <x v="11"/>
    <m/>
    <m/>
    <m/>
    <m/>
    <m/>
    <m/>
  </r>
  <r>
    <s v="P00624"/>
    <s v="Manoj Devi"/>
    <n v="4"/>
    <s v="Other"/>
    <s v="Salem"/>
    <x v="2"/>
    <x v="2"/>
    <s v="Kidney Disease"/>
    <s v="Elective"/>
    <d v="2025-03-30T00:00:00"/>
    <d v="2025-03-31T00:00:00"/>
    <n v="1"/>
    <x v="0"/>
    <s v="Blood Test"/>
    <n v="83736.83"/>
    <n v="5"/>
    <s v="Left Against Medical Advice"/>
    <s v="Under 18"/>
    <x v="14"/>
    <m/>
    <m/>
    <m/>
    <m/>
    <m/>
    <m/>
  </r>
  <r>
    <s v="P00625"/>
    <s v="Karthik Singh"/>
    <n v="19"/>
    <s v="Other"/>
    <s v="Delhi"/>
    <x v="5"/>
    <x v="7"/>
    <s v="Asthma"/>
    <s v="Elective"/>
    <d v="2024-01-23T00:00:00"/>
    <d v="2024-01-24T00:00:00"/>
    <n v="1"/>
    <x v="2"/>
    <s v="ECG"/>
    <n v="49340.59"/>
    <n v="4"/>
    <s v="Left Against Medical Advice"/>
    <s v="18-35"/>
    <x v="0"/>
    <m/>
    <m/>
    <m/>
    <m/>
    <m/>
    <m/>
  </r>
  <r>
    <s v="P00626"/>
    <s v="Ananya Singh"/>
    <n v="48"/>
    <s v="Other"/>
    <s v="Bengaluru"/>
    <x v="3"/>
    <x v="5"/>
    <s v="Pneumonia"/>
    <s v="Elective"/>
    <d v="2024-08-10T00:00:00"/>
    <d v="2024-11-10T00:00:00"/>
    <n v="3"/>
    <x v="2"/>
    <s v="ECG"/>
    <n v="71385.03"/>
    <n v="3"/>
    <s v="Transferred"/>
    <s v="36-50"/>
    <x v="3"/>
    <m/>
    <m/>
    <m/>
    <m/>
    <m/>
    <m/>
  </r>
  <r>
    <s v="P00627"/>
    <s v="Sanjay Nair"/>
    <n v="5"/>
    <s v="Other"/>
    <s v="Kochi"/>
    <x v="3"/>
    <x v="3"/>
    <s v="Asthma"/>
    <s v="Emergency"/>
    <d v="2025-10-28T00:00:00"/>
    <d v="2025-02-11T00:00:00"/>
    <n v="5"/>
    <x v="1"/>
    <s v="Ultrasound"/>
    <n v="85425.88"/>
    <n v="3"/>
    <s v="Left Against Medical Advice"/>
    <s v="Under 18"/>
    <x v="17"/>
    <m/>
    <m/>
    <m/>
    <m/>
    <m/>
    <m/>
  </r>
  <r>
    <s v="P00628"/>
    <s v="Ananya Reddy"/>
    <n v="66"/>
    <s v="Female"/>
    <s v="Bengaluru"/>
    <x v="2"/>
    <x v="3"/>
    <s v="Kidney Disease"/>
    <s v="Elective"/>
    <d v="2024-06-27T00:00:00"/>
    <d v="2024-06-28T00:00:00"/>
    <n v="1"/>
    <x v="4"/>
    <s v="CT Scan"/>
    <n v="122511.2"/>
    <n v="3"/>
    <s v="Referred"/>
    <s v="66+"/>
    <x v="9"/>
    <m/>
    <m/>
    <m/>
    <m/>
    <m/>
    <m/>
  </r>
  <r>
    <s v="P00629"/>
    <s v="Divya R"/>
    <n v="74"/>
    <s v="Other"/>
    <s v="Chennai"/>
    <x v="4"/>
    <x v="3"/>
    <s v="No Chronic Condition"/>
    <s v="Urgent"/>
    <d v="2025-03-06T00:00:00"/>
    <d v="2025-07-06T00:00:00"/>
    <n v="4"/>
    <x v="3"/>
    <s v="X-Ray"/>
    <n v="123679.64"/>
    <n v="4"/>
    <s v="Home"/>
    <s v="66+"/>
    <x v="14"/>
    <m/>
    <m/>
    <m/>
    <m/>
    <m/>
    <m/>
  </r>
  <r>
    <s v="P00630"/>
    <s v="Divya Reddy"/>
    <n v="86"/>
    <s v="Female"/>
    <s v="Bengaluru"/>
    <x v="4"/>
    <x v="7"/>
    <s v="Hypertension"/>
    <s v="Urgent"/>
    <d v="2025-05-26T00:00:00"/>
    <d v="2025-05-30T00:00:00"/>
    <n v="4"/>
    <x v="1"/>
    <s v="Blood Test"/>
    <n v="77684.98"/>
    <n v="3"/>
    <s v="Home"/>
    <s v="66+"/>
    <x v="4"/>
    <m/>
    <m/>
    <m/>
    <m/>
    <m/>
    <m/>
  </r>
  <r>
    <s v="P00631"/>
    <s v="Manoj Iyer"/>
    <n v="10"/>
    <s v="Male"/>
    <s v="Coimbatore"/>
    <x v="5"/>
    <x v="5"/>
    <s v="Pneumonia"/>
    <s v="Elective"/>
    <d v="2025-01-18T00:00:00"/>
    <d v="2025-01-19T00:00:00"/>
    <n v="1"/>
    <x v="4"/>
    <s v="Ultrasound"/>
    <n v="21724.81"/>
    <n v="4"/>
    <s v="Transferred"/>
    <s v="Under 18"/>
    <x v="22"/>
    <m/>
    <m/>
    <m/>
    <m/>
    <m/>
    <m/>
  </r>
  <r>
    <s v="P00632"/>
    <s v="Arjun Iyer"/>
    <n v="29"/>
    <s v="Female"/>
    <s v="Chennai"/>
    <x v="0"/>
    <x v="7"/>
    <s v="Hypertension"/>
    <s v="Emergency"/>
    <d v="2024-06-14T00:00:00"/>
    <d v="2024-06-23T00:00:00"/>
    <n v="9"/>
    <x v="1"/>
    <s v="None"/>
    <n v="68117.350000000006"/>
    <n v="4"/>
    <s v="Left Against Medical Advice"/>
    <s v="18-35"/>
    <x v="9"/>
    <m/>
    <m/>
    <m/>
    <m/>
    <m/>
    <m/>
  </r>
  <r>
    <s v="P00633"/>
    <s v="Lakshmi Nair"/>
    <n v="73"/>
    <s v="Other"/>
    <s v="Mumbai"/>
    <x v="3"/>
    <x v="5"/>
    <s v="Heart Disease"/>
    <s v="Urgent"/>
    <d v="2024-03-14T00:00:00"/>
    <d v="2024-03-15T00:00:00"/>
    <n v="1"/>
    <x v="3"/>
    <s v="None"/>
    <n v="72765.41"/>
    <n v="4"/>
    <s v="Home"/>
    <s v="66+"/>
    <x v="18"/>
    <m/>
    <m/>
    <m/>
    <m/>
    <m/>
    <m/>
  </r>
  <r>
    <s v="P00634"/>
    <s v="Manoj Nair"/>
    <n v="57"/>
    <s v="Male"/>
    <s v="Chennai"/>
    <x v="0"/>
    <x v="0"/>
    <s v="Hypertension"/>
    <s v="Elective"/>
    <d v="2025-02-10T00:00:00"/>
    <d v="2025-03-10T00:00:00"/>
    <n v="1"/>
    <x v="1"/>
    <s v="CT Scan"/>
    <n v="48405.99"/>
    <n v="2"/>
    <s v="Transferred"/>
    <s v="51-65"/>
    <x v="15"/>
    <m/>
    <m/>
    <m/>
    <m/>
    <m/>
    <m/>
  </r>
  <r>
    <s v="P00635"/>
    <s v="Arjun Singh"/>
    <n v="9"/>
    <s v="Female"/>
    <s v="Madurai"/>
    <x v="2"/>
    <x v="4"/>
    <s v="Pneumonia"/>
    <s v="Emergency"/>
    <d v="2024-10-21T00:00:00"/>
    <d v="2024-10-25T00:00:00"/>
    <n v="4"/>
    <x v="2"/>
    <s v="MRI"/>
    <n v="57161.08"/>
    <n v="4"/>
    <s v="Left Against Medical Advice"/>
    <s v="Under 18"/>
    <x v="20"/>
    <m/>
    <m/>
    <m/>
    <m/>
    <m/>
    <m/>
  </r>
  <r>
    <s v="P00636"/>
    <s v="Ishita Kumar"/>
    <n v="34"/>
    <s v="Female"/>
    <s v="Mumbai"/>
    <x v="4"/>
    <x v="3"/>
    <s v="Diabetes"/>
    <s v="Elective"/>
    <d v="2024-08-12T00:00:00"/>
    <d v="2024-09-12T00:00:00"/>
    <n v="1"/>
    <x v="0"/>
    <s v="Ultrasound"/>
    <n v="36956.199999999997"/>
    <n v="5"/>
    <s v="Home"/>
    <s v="18-35"/>
    <x v="3"/>
    <m/>
    <m/>
    <m/>
    <m/>
    <m/>
    <m/>
  </r>
  <r>
    <s v="P00637"/>
    <s v="Sathya Kumar"/>
    <n v="71"/>
    <s v="Male"/>
    <s v="Chennai"/>
    <x v="4"/>
    <x v="3"/>
    <s v="Pneumonia"/>
    <s v="Emergency"/>
    <d v="2024-12-05T00:00:00"/>
    <d v="2024-05-16T00:00:00"/>
    <n v="4"/>
    <x v="0"/>
    <s v="ECG"/>
    <n v="89200.85"/>
    <n v="5"/>
    <s v="Left Against Medical Advice"/>
    <s v="66+"/>
    <x v="8"/>
    <m/>
    <m/>
    <m/>
    <m/>
    <m/>
    <m/>
  </r>
  <r>
    <s v="P00638"/>
    <s v="Rohan R"/>
    <n v="88"/>
    <s v="Other"/>
    <s v="Delhi"/>
    <x v="4"/>
    <x v="2"/>
    <s v="Asthma"/>
    <s v="Urgent"/>
    <d v="2024-01-19T00:00:00"/>
    <d v="2024-01-23T00:00:00"/>
    <n v="4"/>
    <x v="1"/>
    <s v="MRI"/>
    <n v="43369.46"/>
    <n v="4"/>
    <s v="Referred"/>
    <s v="66+"/>
    <x v="0"/>
    <m/>
    <m/>
    <m/>
    <m/>
    <m/>
    <m/>
  </r>
  <r>
    <s v="P00639"/>
    <s v="Manoj Kumar"/>
    <n v="44"/>
    <s v="Male"/>
    <s v="Chennai"/>
    <x v="2"/>
    <x v="7"/>
    <s v="Pneumonia"/>
    <s v="Emergency"/>
    <d v="2024-02-29T00:00:00"/>
    <d v="2024-02-03T00:00:00"/>
    <n v="2"/>
    <x v="2"/>
    <s v="Blood Test"/>
    <n v="66565.73"/>
    <n v="5"/>
    <s v="Home"/>
    <s v="36-50"/>
    <x v="2"/>
    <m/>
    <m/>
    <m/>
    <m/>
    <m/>
    <m/>
  </r>
  <r>
    <s v="P00640"/>
    <s v="Arjun R"/>
    <n v="17"/>
    <s v="Male"/>
    <s v="Bengaluru"/>
    <x v="5"/>
    <x v="7"/>
    <s v="Fracture"/>
    <s v="Urgent"/>
    <d v="2024-03-07T00:00:00"/>
    <d v="2024-04-07T00:00:00"/>
    <n v="1"/>
    <x v="3"/>
    <s v="CT Scan"/>
    <n v="21469.29"/>
    <n v="4"/>
    <s v="Transferred"/>
    <s v="Under 18"/>
    <x v="18"/>
    <m/>
    <m/>
    <m/>
    <m/>
    <m/>
    <m/>
  </r>
  <r>
    <s v="P00641"/>
    <s v="Vivaan Nair"/>
    <n v="29"/>
    <s v="Male"/>
    <s v="Pune"/>
    <x v="2"/>
    <x v="4"/>
    <s v="Migraine"/>
    <s v="Urgent"/>
    <d v="2025-12-31T00:00:00"/>
    <d v="2026-02-01T00:00:00"/>
    <n v="2"/>
    <x v="4"/>
    <s v="MRI"/>
    <n v="62937.33"/>
    <n v="4"/>
    <s v="Home"/>
    <s v="18-35"/>
    <x v="1"/>
    <m/>
    <m/>
    <m/>
    <m/>
    <m/>
    <m/>
  </r>
  <r>
    <s v="P00642"/>
    <s v="Vivaan Iyer"/>
    <n v="27"/>
    <s v="Female"/>
    <s v="Delhi"/>
    <x v="2"/>
    <x v="0"/>
    <s v="Migraine"/>
    <s v="Elective"/>
    <d v="2025-06-17T00:00:00"/>
    <d v="2025-06-19T00:00:00"/>
    <n v="2"/>
    <x v="2"/>
    <s v="Blood Test"/>
    <n v="64918.49"/>
    <n v="5"/>
    <s v="Left Against Medical Advice"/>
    <s v="18-35"/>
    <x v="10"/>
    <m/>
    <m/>
    <m/>
    <m/>
    <m/>
    <m/>
  </r>
  <r>
    <s v="P00643"/>
    <s v="Lakshmi Kumar"/>
    <n v="5"/>
    <s v="Male"/>
    <s v="Pune"/>
    <x v="1"/>
    <x v="0"/>
    <s v="Diabetes"/>
    <s v="Elective"/>
    <d v="2024-11-10T00:00:00"/>
    <d v="2024-10-14T00:00:00"/>
    <n v="3"/>
    <x v="2"/>
    <s v="X-Ray"/>
    <n v="32373.75"/>
    <n v="4"/>
    <s v="Referred"/>
    <s v="Under 18"/>
    <x v="21"/>
    <m/>
    <m/>
    <m/>
    <m/>
    <m/>
    <m/>
  </r>
  <r>
    <s v="P00644"/>
    <s v="Kavya Devi"/>
    <n v="49"/>
    <s v="Female"/>
    <s v="Salem"/>
    <x v="0"/>
    <x v="1"/>
    <s v="Skin Infection"/>
    <s v="Emergency"/>
    <d v="2025-06-11T00:00:00"/>
    <d v="2025-10-11T00:00:00"/>
    <n v="4"/>
    <x v="1"/>
    <s v="Ultrasound"/>
    <n v="138342.46"/>
    <n v="5"/>
    <s v="Left Against Medical Advice"/>
    <s v="36-50"/>
    <x v="10"/>
    <m/>
    <m/>
    <m/>
    <m/>
    <m/>
    <m/>
  </r>
  <r>
    <s v="P00645"/>
    <s v="Deepa Devi"/>
    <n v="55"/>
    <s v="Other"/>
    <s v="Hyderabad"/>
    <x v="1"/>
    <x v="4"/>
    <s v="Skin Infection"/>
    <s v="Elective"/>
    <d v="2024-02-28T00:00:00"/>
    <d v="2024-03-03T00:00:00"/>
    <n v="4"/>
    <x v="3"/>
    <s v="X-Ray"/>
    <n v="45835.69"/>
    <n v="4"/>
    <s v="Home"/>
    <s v="51-65"/>
    <x v="2"/>
    <m/>
    <m/>
    <m/>
    <m/>
    <m/>
    <m/>
  </r>
  <r>
    <s v="P00646"/>
    <s v="Ishita Kumar"/>
    <n v="36"/>
    <s v="Other"/>
    <s v="Bengaluru"/>
    <x v="5"/>
    <x v="1"/>
    <s v="No Chronic Condition"/>
    <s v="Urgent"/>
    <d v="2024-07-10T00:00:00"/>
    <d v="2024-09-10T00:00:00"/>
    <n v="2"/>
    <x v="1"/>
    <s v="None"/>
    <n v="46171.21"/>
    <n v="3"/>
    <s v="Transferred"/>
    <s v="36-50"/>
    <x v="12"/>
    <m/>
    <m/>
    <m/>
    <m/>
    <m/>
    <m/>
  </r>
  <r>
    <s v="P00647"/>
    <s v="Deepa R"/>
    <n v="23"/>
    <s v="Male"/>
    <s v="Madurai"/>
    <x v="3"/>
    <x v="3"/>
    <s v="Kidney Disease"/>
    <s v="Urgent"/>
    <d v="2025-04-18T00:00:00"/>
    <d v="2025-04-21T00:00:00"/>
    <n v="3"/>
    <x v="1"/>
    <s v="Blood Test"/>
    <n v="99599.4"/>
    <n v="4"/>
    <s v="Left Against Medical Advice"/>
    <s v="18-35"/>
    <x v="5"/>
    <m/>
    <m/>
    <m/>
    <m/>
    <m/>
    <m/>
  </r>
  <r>
    <s v="P00648"/>
    <s v="Pooja Nair"/>
    <n v="24"/>
    <s v="Male"/>
    <s v="Chennai"/>
    <x v="3"/>
    <x v="1"/>
    <s v="Heart Disease"/>
    <s v="Urgent"/>
    <d v="2024-09-10T00:00:00"/>
    <d v="2024-10-14T00:00:00"/>
    <n v="5"/>
    <x v="3"/>
    <s v="Blood Test"/>
    <n v="25130.84"/>
    <n v="4"/>
    <s v="Transferred"/>
    <s v="18-35"/>
    <x v="13"/>
    <m/>
    <m/>
    <m/>
    <m/>
    <m/>
    <m/>
  </r>
  <r>
    <s v="P00649"/>
    <s v="Arjun R"/>
    <n v="33"/>
    <s v="Female"/>
    <s v="Coimbatore"/>
    <x v="0"/>
    <x v="7"/>
    <s v="Migraine"/>
    <s v="Elective"/>
    <d v="2025-11-25T00:00:00"/>
    <d v="2025-11-29T00:00:00"/>
    <n v="4"/>
    <x v="0"/>
    <s v="MRI"/>
    <n v="19968.93"/>
    <n v="4"/>
    <s v="Left Against Medical Advice"/>
    <s v="18-35"/>
    <x v="11"/>
    <m/>
    <m/>
    <m/>
    <m/>
    <m/>
    <m/>
  </r>
  <r>
    <s v="P00650"/>
    <s v="Ananya Kumar"/>
    <n v="10"/>
    <s v="Other"/>
    <s v="Hyderabad"/>
    <x v="5"/>
    <x v="3"/>
    <s v="Migraine"/>
    <s v="Emergency"/>
    <d v="2025-12-03T00:00:00"/>
    <d v="2025-03-13T00:00:00"/>
    <n v="1"/>
    <x v="1"/>
    <s v="X-Ray"/>
    <n v="167001.01999999999"/>
    <n v="4"/>
    <s v="Home"/>
    <s v="Under 18"/>
    <x v="1"/>
    <m/>
    <m/>
    <m/>
    <m/>
    <m/>
    <m/>
  </r>
  <r>
    <s v="P00651"/>
    <s v="Rohan Reddy"/>
    <n v="14"/>
    <s v="Other"/>
    <s v="Bengaluru"/>
    <x v="4"/>
    <x v="3"/>
    <s v="Heart Disease"/>
    <s v="Emergency"/>
    <d v="2024-04-08T00:00:00"/>
    <d v="2024-08-08T00:00:00"/>
    <n v="4"/>
    <x v="0"/>
    <s v="ECG"/>
    <n v="68382.289999999994"/>
    <n v="4"/>
    <s v="Left Against Medical Advice"/>
    <s v="Under 18"/>
    <x v="6"/>
    <m/>
    <m/>
    <m/>
    <m/>
    <m/>
    <m/>
  </r>
  <r>
    <s v="P00652"/>
    <s v="Ananya Iyer"/>
    <n v="69"/>
    <s v="Other"/>
    <s v="Mumbai"/>
    <x v="0"/>
    <x v="5"/>
    <s v="Migraine"/>
    <s v="Elective"/>
    <d v="2024-04-05T00:00:00"/>
    <d v="2024-05-13T00:00:00"/>
    <n v="9"/>
    <x v="3"/>
    <s v="CT Scan"/>
    <n v="39562.92"/>
    <n v="5"/>
    <s v="Transferred"/>
    <s v="66+"/>
    <x v="6"/>
    <m/>
    <m/>
    <m/>
    <m/>
    <m/>
    <m/>
  </r>
  <r>
    <s v="P00653"/>
    <s v="Lakshmi Iyer"/>
    <n v="15"/>
    <s v="Other"/>
    <s v="Delhi"/>
    <x v="1"/>
    <x v="3"/>
    <s v="Hypertension"/>
    <s v="Emergency"/>
    <d v="2024-03-09T00:00:00"/>
    <d v="2024-10-09T00:00:00"/>
    <n v="7"/>
    <x v="0"/>
    <s v="None"/>
    <n v="62388"/>
    <n v="5"/>
    <s v="Referred"/>
    <s v="Under 18"/>
    <x v="18"/>
    <m/>
    <m/>
    <m/>
    <m/>
    <m/>
    <m/>
  </r>
  <r>
    <s v="P00654"/>
    <s v="Nisha Reddy"/>
    <n v="69"/>
    <s v="Female"/>
    <s v="Kochi"/>
    <x v="0"/>
    <x v="4"/>
    <s v="Fracture"/>
    <s v="Urgent"/>
    <d v="2025-02-21T00:00:00"/>
    <d v="2025-02-26T00:00:00"/>
    <n v="5"/>
    <x v="4"/>
    <s v="Ultrasound"/>
    <n v="36934.74"/>
    <n v="2"/>
    <s v="Referred"/>
    <s v="66+"/>
    <x v="15"/>
    <m/>
    <m/>
    <m/>
    <m/>
    <m/>
    <m/>
  </r>
  <r>
    <s v="P00655"/>
    <s v="Nisha Kumar"/>
    <n v="24"/>
    <s v="Male"/>
    <s v="Hyderabad"/>
    <x v="4"/>
    <x v="5"/>
    <s v="Hypertension"/>
    <s v="Emergency"/>
    <d v="2024-01-16T00:00:00"/>
    <d v="2024-01-17T00:00:00"/>
    <n v="1"/>
    <x v="0"/>
    <s v="None"/>
    <n v="21227.05"/>
    <n v="1"/>
    <s v="Left Against Medical Advice"/>
    <s v="18-35"/>
    <x v="0"/>
    <m/>
    <m/>
    <m/>
    <m/>
    <m/>
    <m/>
  </r>
  <r>
    <s v="P00656"/>
    <s v="Kavya R"/>
    <n v="55"/>
    <s v="Male"/>
    <s v="Chennai"/>
    <x v="4"/>
    <x v="4"/>
    <s v="Hypertension"/>
    <s v="Urgent"/>
    <d v="2024-10-05T00:00:00"/>
    <d v="2024-05-16T00:00:00"/>
    <n v="6"/>
    <x v="1"/>
    <s v="CT Scan"/>
    <n v="36587.01"/>
    <n v="5"/>
    <s v="Left Against Medical Advice"/>
    <s v="51-65"/>
    <x v="20"/>
    <m/>
    <m/>
    <m/>
    <m/>
    <m/>
    <m/>
  </r>
  <r>
    <s v="P00657"/>
    <s v="Aarav Nair"/>
    <n v="81"/>
    <s v="Male"/>
    <s v="Delhi"/>
    <x v="1"/>
    <x v="6"/>
    <s v="No Chronic Condition"/>
    <s v="Elective"/>
    <d v="2025-03-22T00:00:00"/>
    <d v="2025-03-30T00:00:00"/>
    <n v="8"/>
    <x v="4"/>
    <s v="X-Ray"/>
    <n v="201468.87"/>
    <n v="2"/>
    <s v="Transferred"/>
    <s v="66+"/>
    <x v="14"/>
    <m/>
    <m/>
    <m/>
    <m/>
    <m/>
    <m/>
  </r>
  <r>
    <s v="P00658"/>
    <s v="Sanjay Sharma"/>
    <n v="13"/>
    <s v="Female"/>
    <s v="Chennai"/>
    <x v="2"/>
    <x v="2"/>
    <s v="Fracture"/>
    <s v="Urgent"/>
    <d v="2024-10-31T00:00:00"/>
    <d v="2024-03-11T00:00:00"/>
    <n v="3"/>
    <x v="3"/>
    <s v="CT Scan"/>
    <n v="35564.410000000003"/>
    <n v="3"/>
    <s v="Transferred"/>
    <s v="Under 18"/>
    <x v="20"/>
    <m/>
    <m/>
    <m/>
    <m/>
    <m/>
    <m/>
  </r>
  <r>
    <s v="P00659"/>
    <s v="Sanjay Devi"/>
    <n v="74"/>
    <s v="Other"/>
    <s v="Madurai"/>
    <x v="3"/>
    <x v="4"/>
    <s v="Fracture"/>
    <s v="Emergency"/>
    <d v="2024-11-17T00:00:00"/>
    <d v="2024-11-20T00:00:00"/>
    <n v="3"/>
    <x v="3"/>
    <s v="Ultrasound"/>
    <n v="47524.41"/>
    <n v="3"/>
    <s v="Transferred"/>
    <s v="66+"/>
    <x v="21"/>
    <m/>
    <m/>
    <m/>
    <m/>
    <m/>
    <m/>
  </r>
  <r>
    <s v="P00660"/>
    <s v="Karthik Kumar"/>
    <n v="19"/>
    <s v="Female"/>
    <s v="Delhi"/>
    <x v="4"/>
    <x v="1"/>
    <s v="No Chronic Condition"/>
    <s v="Elective"/>
    <d v="2024-07-30T00:00:00"/>
    <d v="2024-09-08T00:00:00"/>
    <n v="10"/>
    <x v="3"/>
    <s v="MRI"/>
    <n v="200932.07"/>
    <n v="4"/>
    <s v="Left Against Medical Advice"/>
    <s v="18-35"/>
    <x v="12"/>
    <m/>
    <m/>
    <m/>
    <m/>
    <m/>
    <m/>
  </r>
  <r>
    <s v="P00661"/>
    <s v="Aditya Sharma"/>
    <n v="57"/>
    <s v="Other"/>
    <s v="Madurai"/>
    <x v="2"/>
    <x v="0"/>
    <s v="Kidney Disease"/>
    <s v="Urgent"/>
    <d v="2024-09-05T00:00:00"/>
    <d v="2024-11-05T00:00:00"/>
    <n v="2"/>
    <x v="2"/>
    <s v="MRI"/>
    <n v="76888.22"/>
    <n v="4"/>
    <s v="Home"/>
    <s v="51-65"/>
    <x v="13"/>
    <m/>
    <m/>
    <m/>
    <m/>
    <m/>
    <m/>
  </r>
  <r>
    <s v="P00662"/>
    <s v="Kavya Kumar"/>
    <n v="29"/>
    <s v="Other"/>
    <s v="Pune"/>
    <x v="4"/>
    <x v="5"/>
    <s v="Skin Infection"/>
    <s v="Urgent"/>
    <d v="2024-03-17T00:00:00"/>
    <d v="2024-03-18T00:00:00"/>
    <n v="1"/>
    <x v="0"/>
    <s v="MRI"/>
    <n v="61061.95"/>
    <n v="2"/>
    <s v="Referred"/>
    <s v="18-35"/>
    <x v="18"/>
    <m/>
    <m/>
    <m/>
    <m/>
    <m/>
    <m/>
  </r>
  <r>
    <s v="P00663"/>
    <s v="Sanjay Singh"/>
    <n v="72"/>
    <s v="Other"/>
    <s v="Madurai"/>
    <x v="0"/>
    <x v="7"/>
    <s v="Heart Disease"/>
    <s v="Emergency"/>
    <d v="2025-03-10T00:00:00"/>
    <d v="2025-05-10T00:00:00"/>
    <n v="2"/>
    <x v="2"/>
    <s v="ECG"/>
    <n v="31365.88"/>
    <n v="3"/>
    <s v="Referred"/>
    <s v="66+"/>
    <x v="14"/>
    <m/>
    <m/>
    <m/>
    <m/>
    <m/>
    <m/>
  </r>
  <r>
    <s v="P00664"/>
    <s v="Deepa Iyer"/>
    <n v="1"/>
    <s v="Male"/>
    <s v="Mumbai"/>
    <x v="1"/>
    <x v="6"/>
    <s v="Diabetes"/>
    <s v="Urgent"/>
    <d v="2024-09-03T00:00:00"/>
    <d v="2024-03-13T00:00:00"/>
    <n v="4"/>
    <x v="3"/>
    <s v="MRI"/>
    <n v="61099.4"/>
    <n v="4"/>
    <s v="Referred"/>
    <s v="Under 18"/>
    <x v="13"/>
    <m/>
    <m/>
    <m/>
    <m/>
    <m/>
    <m/>
  </r>
  <r>
    <s v="P00665"/>
    <s v="Ananya Reddy"/>
    <n v="38"/>
    <s v="Other"/>
    <s v="Delhi"/>
    <x v="5"/>
    <x v="3"/>
    <s v="Skin Infection"/>
    <s v="Emergency"/>
    <d v="2025-11-05T00:00:00"/>
    <d v="2025-05-20T00:00:00"/>
    <n v="9"/>
    <x v="4"/>
    <s v="Blood Test"/>
    <n v="75781.16"/>
    <n v="2"/>
    <s v="Referred"/>
    <s v="36-50"/>
    <x v="11"/>
    <m/>
    <m/>
    <m/>
    <m/>
    <m/>
    <m/>
  </r>
  <r>
    <s v="P00666"/>
    <s v="Sathya Kumar"/>
    <n v="60"/>
    <s v="Male"/>
    <s v="Madurai"/>
    <x v="5"/>
    <x v="6"/>
    <s v="Kidney Disease"/>
    <s v="Urgent"/>
    <d v="2025-07-11T00:00:00"/>
    <d v="2025-10-11T00:00:00"/>
    <n v="3"/>
    <x v="3"/>
    <s v="None"/>
    <n v="145015.67999999999"/>
    <n v="4"/>
    <s v="Left Against Medical Advice"/>
    <s v="51-65"/>
    <x v="16"/>
    <m/>
    <m/>
    <m/>
    <m/>
    <m/>
    <m/>
  </r>
  <r>
    <s v="P00667"/>
    <s v="Priya Singh"/>
    <n v="8"/>
    <s v="Other"/>
    <s v="Coimbatore"/>
    <x v="5"/>
    <x v="5"/>
    <s v="Pneumonia"/>
    <s v="Urgent"/>
    <d v="2024-11-26T00:00:00"/>
    <d v="2024-02-12T00:00:00"/>
    <n v="6"/>
    <x v="2"/>
    <s v="MRI"/>
    <n v="41103.599999999999"/>
    <n v="5"/>
    <s v="Left Against Medical Advice"/>
    <s v="Under 18"/>
    <x v="21"/>
    <m/>
    <m/>
    <m/>
    <m/>
    <m/>
    <m/>
  </r>
  <r>
    <s v="P00668"/>
    <s v="Manoj Kumar"/>
    <n v="53"/>
    <s v="Female"/>
    <s v="Chennai"/>
    <x v="1"/>
    <x v="0"/>
    <s v="No Chronic Condition"/>
    <s v="Emergency"/>
    <d v="2025-09-08T00:00:00"/>
    <d v="2025-08-13T00:00:00"/>
    <n v="4"/>
    <x v="1"/>
    <s v="MRI"/>
    <n v="56584.85"/>
    <n v="3"/>
    <s v="Home"/>
    <s v="51-65"/>
    <x v="7"/>
    <m/>
    <m/>
    <m/>
    <m/>
    <m/>
    <m/>
  </r>
  <r>
    <s v="P00669"/>
    <s v="Sanjay Nair"/>
    <n v="84"/>
    <s v="Female"/>
    <s v="Mumbai"/>
    <x v="1"/>
    <x v="6"/>
    <s v="Skin Infection"/>
    <s v="Emergency"/>
    <d v="2025-06-15T00:00:00"/>
    <d v="2025-06-18T00:00:00"/>
    <n v="3"/>
    <x v="0"/>
    <s v="Ultrasound"/>
    <n v="75453.899999999994"/>
    <n v="3"/>
    <s v="Referred"/>
    <s v="66+"/>
    <x v="10"/>
    <m/>
    <m/>
    <m/>
    <m/>
    <m/>
    <m/>
  </r>
  <r>
    <s v="P00670"/>
    <s v="Sathya Iyer"/>
    <n v="2"/>
    <s v="Female"/>
    <s v="Chennai"/>
    <x v="5"/>
    <x v="5"/>
    <s v="Diabetes"/>
    <s v="Urgent"/>
    <d v="2024-01-21T00:00:00"/>
    <d v="2024-01-22T00:00:00"/>
    <n v="1"/>
    <x v="2"/>
    <s v="None"/>
    <n v="23457.02"/>
    <n v="3"/>
    <s v="Left Against Medical Advice"/>
    <s v="Under 18"/>
    <x v="0"/>
    <m/>
    <m/>
    <m/>
    <m/>
    <m/>
    <m/>
  </r>
  <r>
    <s v="P00671"/>
    <s v="Nisha Kumar"/>
    <n v="84"/>
    <s v="Male"/>
    <s v="Chennai"/>
    <x v="2"/>
    <x v="0"/>
    <s v="Hypertension"/>
    <s v="Urgent"/>
    <d v="2024-05-14T00:00:00"/>
    <d v="2024-05-26T00:00:00"/>
    <n v="12"/>
    <x v="0"/>
    <s v="X-Ray"/>
    <n v="61036.51"/>
    <n v="5"/>
    <s v="Home"/>
    <s v="66+"/>
    <x v="23"/>
    <m/>
    <m/>
    <m/>
    <m/>
    <m/>
    <m/>
  </r>
  <r>
    <s v="P00672"/>
    <s v="Pooja Iyer"/>
    <n v="76"/>
    <s v="Male"/>
    <s v="Bengaluru"/>
    <x v="5"/>
    <x v="2"/>
    <s v="Skin Infection"/>
    <s v="Urgent"/>
    <d v="2024-07-17T00:00:00"/>
    <d v="2024-07-28T00:00:00"/>
    <n v="11"/>
    <x v="0"/>
    <s v="CT Scan"/>
    <n v="82842.86"/>
    <n v="3"/>
    <s v="Left Against Medical Advice"/>
    <s v="66+"/>
    <x v="12"/>
    <m/>
    <m/>
    <m/>
    <m/>
    <m/>
    <m/>
  </r>
  <r>
    <s v="P00673"/>
    <s v="Divya Nair"/>
    <n v="38"/>
    <s v="Male"/>
    <s v="Kochi"/>
    <x v="2"/>
    <x v="7"/>
    <s v="Pneumonia"/>
    <s v="Emergency"/>
    <d v="2024-05-04T00:00:00"/>
    <d v="2024-09-04T00:00:00"/>
    <n v="4"/>
    <x v="4"/>
    <s v="X-Ray"/>
    <n v="13256.51"/>
    <n v="4"/>
    <s v="Home"/>
    <s v="36-50"/>
    <x v="23"/>
    <m/>
    <m/>
    <m/>
    <m/>
    <m/>
    <m/>
  </r>
  <r>
    <s v="P00674"/>
    <s v="Aditya R"/>
    <n v="51"/>
    <s v="Female"/>
    <s v="Kochi"/>
    <x v="0"/>
    <x v="4"/>
    <s v="Migraine"/>
    <s v="Emergency"/>
    <d v="2025-02-04T00:00:00"/>
    <d v="2025-06-04T00:00:00"/>
    <n v="4"/>
    <x v="4"/>
    <s v="ECG"/>
    <n v="22495.3"/>
    <n v="4"/>
    <s v="Referred"/>
    <s v="51-65"/>
    <x v="15"/>
    <m/>
    <m/>
    <m/>
    <m/>
    <m/>
    <m/>
  </r>
  <r>
    <s v="P00675"/>
    <s v="Ananya Nair"/>
    <n v="11"/>
    <s v="Female"/>
    <s v="Hyderabad"/>
    <x v="4"/>
    <x v="7"/>
    <s v="Diabetes"/>
    <s v="Elective"/>
    <d v="2025-02-16T00:00:00"/>
    <d v="2025-02-26T00:00:00"/>
    <n v="10"/>
    <x v="0"/>
    <s v="ECG"/>
    <n v="85026.02"/>
    <n v="3"/>
    <s v="Left Against Medical Advice"/>
    <s v="Under 18"/>
    <x v="15"/>
    <m/>
    <m/>
    <m/>
    <m/>
    <m/>
    <m/>
  </r>
  <r>
    <s v="P00676"/>
    <s v="Pooja Singh"/>
    <n v="1"/>
    <s v="Male"/>
    <s v="Kochi"/>
    <x v="3"/>
    <x v="5"/>
    <s v="Migraine"/>
    <s v="Urgent"/>
    <d v="2025-07-12T00:00:00"/>
    <d v="2025-12-15T00:00:00"/>
    <n v="8"/>
    <x v="2"/>
    <s v="Blood Test"/>
    <n v="102552.12"/>
    <n v="3"/>
    <s v="Left Against Medical Advice"/>
    <s v="Under 18"/>
    <x v="16"/>
    <m/>
    <m/>
    <m/>
    <m/>
    <m/>
    <m/>
  </r>
  <r>
    <s v="P00677"/>
    <s v="Rohan Reddy"/>
    <n v="90"/>
    <s v="Female"/>
    <s v="Pune"/>
    <x v="4"/>
    <x v="1"/>
    <s v="Pneumonia"/>
    <s v="Elective"/>
    <d v="2025-01-19T00:00:00"/>
    <d v="2025-01-22T00:00:00"/>
    <n v="3"/>
    <x v="2"/>
    <s v="CT Scan"/>
    <n v="84912.16"/>
    <n v="4"/>
    <s v="Transferred"/>
    <s v="66+"/>
    <x v="22"/>
    <m/>
    <m/>
    <m/>
    <m/>
    <m/>
    <m/>
  </r>
  <r>
    <s v="P00678"/>
    <s v="Meera Devi"/>
    <n v="87"/>
    <s v="Male"/>
    <s v="Delhi"/>
    <x v="1"/>
    <x v="6"/>
    <s v="Asthma"/>
    <s v="Emergency"/>
    <d v="2025-06-19T00:00:00"/>
    <d v="2025-06-24T00:00:00"/>
    <n v="5"/>
    <x v="1"/>
    <s v="Ultrasound"/>
    <n v="60280.11"/>
    <n v="5"/>
    <s v="Referred"/>
    <s v="66+"/>
    <x v="10"/>
    <m/>
    <m/>
    <m/>
    <m/>
    <m/>
    <m/>
  </r>
  <r>
    <s v="P00679"/>
    <s v="Karthik Iyer"/>
    <n v="22"/>
    <s v="Other"/>
    <s v="Bengaluru"/>
    <x v="3"/>
    <x v="5"/>
    <s v="Hypertension"/>
    <s v="Elective"/>
    <d v="2025-04-30T00:00:00"/>
    <d v="2025-02-05T00:00:00"/>
    <n v="2"/>
    <x v="1"/>
    <s v="Blood Test"/>
    <n v="84511.65"/>
    <n v="1"/>
    <s v="Home"/>
    <s v="18-35"/>
    <x v="5"/>
    <m/>
    <m/>
    <m/>
    <m/>
    <m/>
    <m/>
  </r>
  <r>
    <s v="P00680"/>
    <s v="Priya Devi"/>
    <n v="80"/>
    <s v="Male"/>
    <s v="Pune"/>
    <x v="3"/>
    <x v="7"/>
    <s v="Migraine"/>
    <s v="Urgent"/>
    <d v="2025-08-31T00:00:00"/>
    <d v="2025-01-09T00:00:00"/>
    <n v="1"/>
    <x v="1"/>
    <s v="MRI"/>
    <n v="57903.99"/>
    <n v="5"/>
    <s v="Left Against Medical Advice"/>
    <s v="66+"/>
    <x v="19"/>
    <m/>
    <m/>
    <m/>
    <m/>
    <m/>
    <m/>
  </r>
  <r>
    <s v="P00681"/>
    <s v="Arjun Sharma"/>
    <n v="33"/>
    <s v="Other"/>
    <s v="Kochi"/>
    <x v="3"/>
    <x v="6"/>
    <s v="Hypertension"/>
    <s v="Urgent"/>
    <d v="2025-08-07T00:00:00"/>
    <d v="2025-07-14T00:00:00"/>
    <n v="6"/>
    <x v="4"/>
    <s v="MRI"/>
    <n v="94869.98"/>
    <n v="3"/>
    <s v="Transferred"/>
    <s v="18-35"/>
    <x v="19"/>
    <m/>
    <m/>
    <m/>
    <m/>
    <m/>
    <m/>
  </r>
  <r>
    <s v="P00682"/>
    <s v="Rohan Sharma"/>
    <n v="79"/>
    <s v="Other"/>
    <s v="Delhi"/>
    <x v="4"/>
    <x v="7"/>
    <s v="Hypertension"/>
    <s v="Elective"/>
    <d v="2025-04-29T00:00:00"/>
    <d v="2025-04-30T00:00:00"/>
    <n v="1"/>
    <x v="2"/>
    <s v="Blood Test"/>
    <n v="79856.94"/>
    <n v="4"/>
    <s v="Referred"/>
    <s v="66+"/>
    <x v="5"/>
    <m/>
    <m/>
    <m/>
    <m/>
    <m/>
    <m/>
  </r>
  <r>
    <s v="P00683"/>
    <s v="Divya Singh"/>
    <n v="66"/>
    <s v="Male"/>
    <s v="Mumbai"/>
    <x v="5"/>
    <x v="0"/>
    <s v="Heart Disease"/>
    <s v="Urgent"/>
    <d v="2025-11-03T00:00:00"/>
    <d v="2025-03-15T00:00:00"/>
    <n v="4"/>
    <x v="1"/>
    <s v="ECG"/>
    <n v="52890.59"/>
    <n v="4"/>
    <s v="Home"/>
    <s v="66+"/>
    <x v="11"/>
    <m/>
    <m/>
    <m/>
    <m/>
    <m/>
    <m/>
  </r>
  <r>
    <s v="P00684"/>
    <s v="Priya R"/>
    <n v="78"/>
    <s v="Female"/>
    <s v="Kochi"/>
    <x v="1"/>
    <x v="2"/>
    <s v="Skin Infection"/>
    <s v="Urgent"/>
    <d v="2024-06-19T00:00:00"/>
    <d v="2024-06-29T00:00:00"/>
    <n v="10"/>
    <x v="1"/>
    <s v="X-Ray"/>
    <n v="55300.27"/>
    <n v="4"/>
    <s v="Home"/>
    <s v="66+"/>
    <x v="9"/>
    <m/>
    <m/>
    <m/>
    <m/>
    <m/>
    <m/>
  </r>
  <r>
    <s v="P00685"/>
    <s v="Aarav Iyer"/>
    <n v="47"/>
    <s v="Male"/>
    <s v="Delhi"/>
    <x v="5"/>
    <x v="7"/>
    <s v="Pneumonia"/>
    <s v="Urgent"/>
    <d v="2025-11-17T00:00:00"/>
    <d v="2025-11-24T00:00:00"/>
    <n v="7"/>
    <x v="3"/>
    <s v="Blood Test"/>
    <n v="39317.03"/>
    <n v="5"/>
    <s v="Transferred"/>
    <s v="36-50"/>
    <x v="11"/>
    <m/>
    <m/>
    <m/>
    <m/>
    <m/>
    <m/>
  </r>
  <r>
    <s v="P00686"/>
    <s v="Divya Kumar"/>
    <n v="43"/>
    <s v="Female"/>
    <s v="Madurai"/>
    <x v="5"/>
    <x v="4"/>
    <s v="Diabetes"/>
    <s v="Urgent"/>
    <d v="2025-12-01T00:00:00"/>
    <d v="2025-01-16T00:00:00"/>
    <n v="4"/>
    <x v="2"/>
    <s v="ECG"/>
    <n v="59246.92"/>
    <n v="4"/>
    <s v="Home"/>
    <s v="36-50"/>
    <x v="1"/>
    <m/>
    <m/>
    <m/>
    <m/>
    <m/>
    <m/>
  </r>
  <r>
    <s v="P00687"/>
    <s v="Rohan Sharma"/>
    <n v="61"/>
    <s v="Other"/>
    <s v="Hyderabad"/>
    <x v="4"/>
    <x v="0"/>
    <s v="Diabetes"/>
    <s v="Elective"/>
    <d v="2025-09-10T00:00:00"/>
    <d v="2025-10-13T00:00:00"/>
    <n v="4"/>
    <x v="2"/>
    <s v="Blood Test"/>
    <n v="38975.97"/>
    <n v="4"/>
    <s v="Left Against Medical Advice"/>
    <s v="51-65"/>
    <x v="7"/>
    <m/>
    <m/>
    <m/>
    <m/>
    <m/>
    <m/>
  </r>
  <r>
    <s v="P00688"/>
    <s v="Kavya Sharma"/>
    <n v="82"/>
    <s v="Other"/>
    <s v="Salem"/>
    <x v="2"/>
    <x v="7"/>
    <s v="No Chronic Condition"/>
    <s v="Elective"/>
    <d v="2024-04-03T00:00:00"/>
    <d v="2024-05-03T00:00:00"/>
    <n v="1"/>
    <x v="0"/>
    <s v="Blood Test"/>
    <n v="65834.12"/>
    <n v="4"/>
    <s v="Left Against Medical Advice"/>
    <s v="66+"/>
    <x v="6"/>
    <m/>
    <m/>
    <m/>
    <m/>
    <m/>
    <m/>
  </r>
  <r>
    <s v="P00689"/>
    <s v="Karthik Reddy"/>
    <n v="54"/>
    <s v="Other"/>
    <s v="Hyderabad"/>
    <x v="2"/>
    <x v="6"/>
    <s v="Fracture"/>
    <s v="Urgent"/>
    <d v="2025-11-16T00:00:00"/>
    <d v="2025-11-17T00:00:00"/>
    <n v="1"/>
    <x v="2"/>
    <s v="MRI"/>
    <n v="28990.48"/>
    <n v="3"/>
    <s v="Transferred"/>
    <s v="51-65"/>
    <x v="11"/>
    <m/>
    <m/>
    <m/>
    <m/>
    <m/>
    <m/>
  </r>
  <r>
    <s v="P00690"/>
    <s v="Aditya Sharma"/>
    <n v="72"/>
    <s v="Male"/>
    <s v="Bengaluru"/>
    <x v="0"/>
    <x v="0"/>
    <s v="No Chronic Condition"/>
    <s v="Elective"/>
    <d v="2024-04-30T00:00:00"/>
    <d v="2024-04-05T00:00:00"/>
    <n v="4"/>
    <x v="0"/>
    <s v="Ultrasound"/>
    <n v="79909.919999999998"/>
    <n v="2"/>
    <s v="Home"/>
    <s v="66+"/>
    <x v="6"/>
    <m/>
    <m/>
    <m/>
    <m/>
    <m/>
    <m/>
  </r>
  <r>
    <s v="P00691"/>
    <s v="Karthik Sharma"/>
    <n v="22"/>
    <s v="Female"/>
    <s v="Madurai"/>
    <x v="4"/>
    <x v="7"/>
    <s v="Fracture"/>
    <s v="Elective"/>
    <d v="2024-10-08T00:00:00"/>
    <d v="2024-08-13T00:00:00"/>
    <n v="3"/>
    <x v="1"/>
    <s v="X-Ray"/>
    <n v="73123.509999999995"/>
    <n v="4"/>
    <s v="Transferred"/>
    <s v="18-35"/>
    <x v="20"/>
    <m/>
    <m/>
    <m/>
    <m/>
    <m/>
    <m/>
  </r>
  <r>
    <s v="P00692"/>
    <s v="Pooja Devi"/>
    <n v="18"/>
    <s v="Other"/>
    <s v="Bengaluru"/>
    <x v="1"/>
    <x v="7"/>
    <s v="Asthma"/>
    <s v="Elective"/>
    <d v="2024-11-19T00:00:00"/>
    <d v="2024-11-21T00:00:00"/>
    <n v="2"/>
    <x v="0"/>
    <s v="MRI"/>
    <n v="83487.31"/>
    <n v="3"/>
    <s v="Transferred"/>
    <s v="18-35"/>
    <x v="21"/>
    <m/>
    <m/>
    <m/>
    <m/>
    <m/>
    <m/>
  </r>
  <r>
    <s v="P00693"/>
    <s v="Nisha Nair"/>
    <n v="83"/>
    <s v="Other"/>
    <s v="Madurai"/>
    <x v="0"/>
    <x v="2"/>
    <s v="Asthma"/>
    <s v="Elective"/>
    <d v="2025-05-04T00:00:00"/>
    <d v="2025-11-04T00:00:00"/>
    <n v="6"/>
    <x v="0"/>
    <s v="ECG"/>
    <n v="51270.26"/>
    <n v="3"/>
    <s v="Transferred"/>
    <s v="66+"/>
    <x v="4"/>
    <m/>
    <m/>
    <m/>
    <m/>
    <m/>
    <m/>
  </r>
  <r>
    <s v="P00694"/>
    <s v="Rohan Singh"/>
    <n v="12"/>
    <s v="Other"/>
    <s v="Salem"/>
    <x v="5"/>
    <x v="0"/>
    <s v="Skin Infection"/>
    <s v="Elective"/>
    <d v="2024-03-08T00:00:00"/>
    <d v="2024-05-08T00:00:00"/>
    <n v="2"/>
    <x v="0"/>
    <s v="CT Scan"/>
    <n v="60058.25"/>
    <n v="3"/>
    <s v="Home"/>
    <s v="Under 18"/>
    <x v="18"/>
    <m/>
    <m/>
    <m/>
    <m/>
    <m/>
    <m/>
  </r>
  <r>
    <s v="P00695"/>
    <s v="Sanjay Nair"/>
    <n v="42"/>
    <s v="Other"/>
    <s v="Madurai"/>
    <x v="0"/>
    <x v="6"/>
    <s v="Pneumonia"/>
    <s v="Elective"/>
    <d v="2024-04-17T00:00:00"/>
    <d v="2024-04-20T00:00:00"/>
    <n v="3"/>
    <x v="0"/>
    <s v="X-Ray"/>
    <n v="70207.149999999994"/>
    <n v="5"/>
    <s v="Home"/>
    <s v="36-50"/>
    <x v="6"/>
    <m/>
    <m/>
    <m/>
    <m/>
    <m/>
    <m/>
  </r>
  <r>
    <s v="P00696"/>
    <s v="Meera Nair"/>
    <n v="57"/>
    <s v="Other"/>
    <s v="Delhi"/>
    <x v="2"/>
    <x v="2"/>
    <s v="Kidney Disease"/>
    <s v="Elective"/>
    <d v="2025-12-04T00:00:00"/>
    <d v="2025-04-17T00:00:00"/>
    <n v="5"/>
    <x v="1"/>
    <s v="Blood Test"/>
    <n v="72889.039999999994"/>
    <n v="3"/>
    <s v="Referred"/>
    <s v="51-65"/>
    <x v="1"/>
    <m/>
    <m/>
    <m/>
    <m/>
    <m/>
    <m/>
  </r>
  <r>
    <s v="P00697"/>
    <s v="Ananya Iyer"/>
    <n v="65"/>
    <s v="Female"/>
    <s v="Salem"/>
    <x v="0"/>
    <x v="2"/>
    <s v="No Chronic Condition"/>
    <s v="Emergency"/>
    <d v="2025-07-03T00:00:00"/>
    <d v="2025-03-15T00:00:00"/>
    <n v="8"/>
    <x v="1"/>
    <s v="None"/>
    <n v="17605.66"/>
    <n v="4"/>
    <s v="Home"/>
    <s v="51-65"/>
    <x v="16"/>
    <m/>
    <m/>
    <m/>
    <m/>
    <m/>
    <m/>
  </r>
  <r>
    <s v="P00698"/>
    <s v="Sanjay Iyer"/>
    <n v="12"/>
    <s v="Male"/>
    <s v="Coimbatore"/>
    <x v="1"/>
    <x v="1"/>
    <s v="Asthma"/>
    <s v="Emergency"/>
    <d v="2024-05-24T00:00:00"/>
    <d v="2024-05-28T00:00:00"/>
    <n v="4"/>
    <x v="3"/>
    <s v="X-Ray"/>
    <n v="36079.53"/>
    <n v="3"/>
    <s v="Transferred"/>
    <s v="Under 18"/>
    <x v="23"/>
    <m/>
    <m/>
    <m/>
    <m/>
    <m/>
    <m/>
  </r>
  <r>
    <s v="P00699"/>
    <s v="Pooja Iyer"/>
    <n v="1"/>
    <s v="Male"/>
    <s v="Bengaluru"/>
    <x v="1"/>
    <x v="2"/>
    <s v="Heart Disease"/>
    <s v="Emergency"/>
    <d v="2024-12-06T00:00:00"/>
    <d v="2024-06-13T00:00:00"/>
    <n v="1"/>
    <x v="1"/>
    <s v="None"/>
    <n v="78636.81"/>
    <n v="4"/>
    <s v="Referred"/>
    <s v="Under 18"/>
    <x v="8"/>
    <m/>
    <m/>
    <m/>
    <m/>
    <m/>
    <m/>
  </r>
  <r>
    <s v="P00700"/>
    <s v="Deepa Kumar"/>
    <n v="52"/>
    <s v="Male"/>
    <s v="Coimbatore"/>
    <x v="3"/>
    <x v="2"/>
    <s v="Skin Infection"/>
    <s v="Emergency"/>
    <d v="2024-10-16T00:00:00"/>
    <d v="2024-10-23T00:00:00"/>
    <n v="7"/>
    <x v="3"/>
    <s v="MRI"/>
    <n v="17230.95"/>
    <n v="4"/>
    <s v="Transferred"/>
    <s v="51-65"/>
    <x v="20"/>
    <m/>
    <m/>
    <m/>
    <m/>
    <m/>
    <m/>
  </r>
  <r>
    <s v="P00701"/>
    <s v="Karthik Devi"/>
    <n v="44"/>
    <s v="Other"/>
    <s v="Pune"/>
    <x v="4"/>
    <x v="0"/>
    <s v="Heart Disease"/>
    <s v="Elective"/>
    <d v="2024-02-01T00:00:00"/>
    <d v="2024-07-01T00:00:00"/>
    <n v="5"/>
    <x v="4"/>
    <s v="Ultrasound"/>
    <n v="22079.83"/>
    <n v="3"/>
    <s v="Referred"/>
    <s v="36-50"/>
    <x v="2"/>
    <m/>
    <m/>
    <m/>
    <m/>
    <m/>
    <m/>
  </r>
  <r>
    <s v="P00702"/>
    <s v="Rahul R"/>
    <n v="55"/>
    <s v="Female"/>
    <s v="Delhi"/>
    <x v="4"/>
    <x v="1"/>
    <s v="Fracture"/>
    <s v="Elective"/>
    <d v="2024-10-18T00:00:00"/>
    <d v="2024-10-21T00:00:00"/>
    <n v="3"/>
    <x v="2"/>
    <s v="Ultrasound"/>
    <n v="129479.06"/>
    <n v="3"/>
    <s v="Left Against Medical Advice"/>
    <s v="51-65"/>
    <x v="20"/>
    <m/>
    <m/>
    <m/>
    <m/>
    <m/>
    <m/>
  </r>
  <r>
    <s v="P00703"/>
    <s v="Divya Reddy"/>
    <n v="2"/>
    <s v="Female"/>
    <s v="Chennai"/>
    <x v="5"/>
    <x v="5"/>
    <s v="Diabetes"/>
    <s v="Elective"/>
    <d v="2024-11-22T00:00:00"/>
    <d v="2024-11-27T00:00:00"/>
    <n v="5"/>
    <x v="1"/>
    <s v="Ultrasound"/>
    <n v="47488.18"/>
    <n v="5"/>
    <s v="Home"/>
    <s v="Under 18"/>
    <x v="21"/>
    <m/>
    <m/>
    <m/>
    <m/>
    <m/>
    <m/>
  </r>
  <r>
    <s v="P00704"/>
    <s v="Divya R"/>
    <n v="78"/>
    <s v="Male"/>
    <s v="Hyderabad"/>
    <x v="4"/>
    <x v="3"/>
    <s v="Hypertension"/>
    <s v="Elective"/>
    <d v="2025-05-29T00:00:00"/>
    <d v="2025-06-06T00:00:00"/>
    <n v="8"/>
    <x v="0"/>
    <s v="MRI"/>
    <n v="180517.55"/>
    <n v="4"/>
    <s v="Referred"/>
    <s v="66+"/>
    <x v="4"/>
    <m/>
    <m/>
    <m/>
    <m/>
    <m/>
    <m/>
  </r>
  <r>
    <s v="P00705"/>
    <s v="Ishita Nair"/>
    <n v="66"/>
    <s v="Other"/>
    <s v="Madurai"/>
    <x v="1"/>
    <x v="0"/>
    <s v="Kidney Disease"/>
    <s v="Elective"/>
    <d v="2025-10-04T00:00:00"/>
    <d v="2025-11-04T00:00:00"/>
    <n v="1"/>
    <x v="1"/>
    <s v="None"/>
    <n v="45598.3"/>
    <n v="2"/>
    <s v="Home"/>
    <s v="66+"/>
    <x v="17"/>
    <m/>
    <m/>
    <m/>
    <m/>
    <m/>
    <m/>
  </r>
  <r>
    <s v="P00706"/>
    <s v="Vivaan Reddy"/>
    <n v="70"/>
    <s v="Male"/>
    <s v="Coimbatore"/>
    <x v="0"/>
    <x v="3"/>
    <s v="Fracture"/>
    <s v="Emergency"/>
    <d v="2024-02-07T00:00:00"/>
    <d v="2024-05-07T00:00:00"/>
    <n v="3"/>
    <x v="0"/>
    <s v="Blood Test"/>
    <n v="101440.56"/>
    <n v="4"/>
    <s v="Referred"/>
    <s v="66+"/>
    <x v="2"/>
    <m/>
    <m/>
    <m/>
    <m/>
    <m/>
    <m/>
  </r>
  <r>
    <s v="P00707"/>
    <s v="Rohan R"/>
    <n v="19"/>
    <s v="Other"/>
    <s v="Pune"/>
    <x v="3"/>
    <x v="5"/>
    <s v="Diabetes"/>
    <s v="Urgent"/>
    <d v="2025-05-20T00:00:00"/>
    <d v="2025-05-24T00:00:00"/>
    <n v="4"/>
    <x v="2"/>
    <s v="MRI"/>
    <n v="17587.14"/>
    <n v="4"/>
    <s v="Transferred"/>
    <s v="18-35"/>
    <x v="4"/>
    <m/>
    <m/>
    <m/>
    <m/>
    <m/>
    <m/>
  </r>
  <r>
    <s v="P00708"/>
    <s v="Ananya Iyer"/>
    <n v="55"/>
    <s v="Male"/>
    <s v="Chennai"/>
    <x v="5"/>
    <x v="2"/>
    <s v="Hypertension"/>
    <s v="Urgent"/>
    <d v="2024-01-23T00:00:00"/>
    <d v="2024-01-29T00:00:00"/>
    <n v="6"/>
    <x v="4"/>
    <s v="X-Ray"/>
    <n v="69936.070000000007"/>
    <n v="4"/>
    <s v="Left Against Medical Advice"/>
    <s v="51-65"/>
    <x v="0"/>
    <m/>
    <m/>
    <m/>
    <m/>
    <m/>
    <m/>
  </r>
  <r>
    <s v="P00709"/>
    <s v="Nisha Iyer"/>
    <n v="36"/>
    <s v="Other"/>
    <s v="Chennai"/>
    <x v="1"/>
    <x v="2"/>
    <s v="Asthma"/>
    <s v="Urgent"/>
    <d v="2025-06-12T00:00:00"/>
    <d v="2025-08-12T00:00:00"/>
    <n v="2"/>
    <x v="3"/>
    <s v="MRI"/>
    <n v="61509.2"/>
    <n v="3"/>
    <s v="Transferred"/>
    <s v="36-50"/>
    <x v="10"/>
    <m/>
    <m/>
    <m/>
    <m/>
    <m/>
    <m/>
  </r>
  <r>
    <s v="P00710"/>
    <s v="Pooja Reddy"/>
    <n v="60"/>
    <s v="Other"/>
    <s v="Salem"/>
    <x v="5"/>
    <x v="3"/>
    <s v="Heart Disease"/>
    <s v="Urgent"/>
    <d v="2025-12-10T00:00:00"/>
    <d v="2025-10-13T00:00:00"/>
    <n v="1"/>
    <x v="4"/>
    <s v="CT Scan"/>
    <n v="24295.69"/>
    <n v="5"/>
    <s v="Home"/>
    <s v="51-65"/>
    <x v="1"/>
    <m/>
    <m/>
    <m/>
    <m/>
    <m/>
    <m/>
  </r>
  <r>
    <s v="P00711"/>
    <s v="Deepa R"/>
    <n v="44"/>
    <s v="Male"/>
    <s v="Delhi"/>
    <x v="3"/>
    <x v="2"/>
    <s v="Fracture"/>
    <s v="Elective"/>
    <d v="2024-11-23T00:00:00"/>
    <d v="2024-11-27T00:00:00"/>
    <n v="4"/>
    <x v="2"/>
    <s v="X-Ray"/>
    <n v="41414.49"/>
    <n v="4"/>
    <s v="Transferred"/>
    <s v="36-50"/>
    <x v="21"/>
    <m/>
    <m/>
    <m/>
    <m/>
    <m/>
    <m/>
  </r>
  <r>
    <s v="P00712"/>
    <s v="Ananya Singh"/>
    <n v="39"/>
    <s v="Male"/>
    <s v="Coimbatore"/>
    <x v="1"/>
    <x v="3"/>
    <s v="No Chronic Condition"/>
    <s v="Urgent"/>
    <d v="2024-11-18T00:00:00"/>
    <d v="2024-11-23T00:00:00"/>
    <n v="5"/>
    <x v="3"/>
    <s v="CT Scan"/>
    <n v="91190.25"/>
    <n v="1"/>
    <s v="Home"/>
    <s v="36-50"/>
    <x v="21"/>
    <m/>
    <m/>
    <m/>
    <m/>
    <m/>
    <m/>
  </r>
  <r>
    <s v="P00713"/>
    <s v="Nisha Devi"/>
    <n v="13"/>
    <s v="Male"/>
    <s v="Mumbai"/>
    <x v="5"/>
    <x v="2"/>
    <s v="Skin Infection"/>
    <s v="Urgent"/>
    <d v="2024-11-08T00:00:00"/>
    <d v="2024-12-08T00:00:00"/>
    <n v="1"/>
    <x v="2"/>
    <s v="Ultrasound"/>
    <n v="41821.68"/>
    <n v="5"/>
    <s v="Transferred"/>
    <s v="Under 18"/>
    <x v="21"/>
    <m/>
    <m/>
    <m/>
    <m/>
    <m/>
    <m/>
  </r>
  <r>
    <s v="P00714"/>
    <s v="Sanjay Reddy"/>
    <n v="65"/>
    <s v="Other"/>
    <s v="Madurai"/>
    <x v="4"/>
    <x v="5"/>
    <s v="Fracture"/>
    <s v="Urgent"/>
    <d v="2025-06-29T00:00:00"/>
    <d v="2025-01-07T00:00:00"/>
    <n v="2"/>
    <x v="1"/>
    <s v="None"/>
    <n v="72308.11"/>
    <n v="4"/>
    <s v="Left Against Medical Advice"/>
    <s v="51-65"/>
    <x v="10"/>
    <m/>
    <m/>
    <m/>
    <m/>
    <m/>
    <m/>
  </r>
  <r>
    <s v="P00715"/>
    <s v="Sathya Sharma"/>
    <n v="84"/>
    <s v="Female"/>
    <s v="Salem"/>
    <x v="3"/>
    <x v="2"/>
    <s v="Pneumonia"/>
    <s v="Urgent"/>
    <d v="2025-11-30T00:00:00"/>
    <d v="2025-03-12T00:00:00"/>
    <n v="3"/>
    <x v="2"/>
    <s v="ECG"/>
    <n v="25787.87"/>
    <n v="1"/>
    <s v="Left Against Medical Advice"/>
    <s v="66+"/>
    <x v="11"/>
    <m/>
    <m/>
    <m/>
    <m/>
    <m/>
    <m/>
  </r>
  <r>
    <s v="P00716"/>
    <s v="Divya Iyer"/>
    <n v="3"/>
    <s v="Male"/>
    <s v="Hyderabad"/>
    <x v="1"/>
    <x v="0"/>
    <s v="Migraine"/>
    <s v="Elective"/>
    <d v="2025-09-16T00:00:00"/>
    <d v="2025-09-17T00:00:00"/>
    <n v="1"/>
    <x v="3"/>
    <s v="X-Ray"/>
    <n v="13658.52"/>
    <n v="4"/>
    <s v="Left Against Medical Advice"/>
    <s v="Under 18"/>
    <x v="7"/>
    <m/>
    <m/>
    <m/>
    <m/>
    <m/>
    <m/>
  </r>
  <r>
    <s v="P00717"/>
    <s v="Rahul R"/>
    <n v="26"/>
    <s v="Male"/>
    <s v="Salem"/>
    <x v="5"/>
    <x v="5"/>
    <s v="Heart Disease"/>
    <s v="Emergency"/>
    <d v="2024-05-15T00:00:00"/>
    <d v="2024-05-20T00:00:00"/>
    <n v="5"/>
    <x v="3"/>
    <s v="CT Scan"/>
    <n v="70163.009999999995"/>
    <n v="5"/>
    <s v="Home"/>
    <s v="18-35"/>
    <x v="23"/>
    <m/>
    <m/>
    <m/>
    <m/>
    <m/>
    <m/>
  </r>
  <r>
    <s v="P00718"/>
    <s v="Priya R"/>
    <n v="1"/>
    <s v="Other"/>
    <s v="Salem"/>
    <x v="2"/>
    <x v="5"/>
    <s v="Pneumonia"/>
    <s v="Urgent"/>
    <d v="2024-03-02T00:00:00"/>
    <d v="2024-09-02T00:00:00"/>
    <n v="6"/>
    <x v="2"/>
    <s v="CT Scan"/>
    <n v="17136.689999999999"/>
    <n v="4"/>
    <s v="Left Against Medical Advice"/>
    <s v="Under 18"/>
    <x v="18"/>
    <m/>
    <m/>
    <m/>
    <m/>
    <m/>
    <m/>
  </r>
  <r>
    <s v="P00719"/>
    <s v="Priya R"/>
    <n v="8"/>
    <s v="Male"/>
    <s v="Hyderabad"/>
    <x v="5"/>
    <x v="5"/>
    <s v="Pneumonia"/>
    <s v="Elective"/>
    <d v="2025-11-02T00:00:00"/>
    <d v="2025-02-19T00:00:00"/>
    <n v="8"/>
    <x v="1"/>
    <s v="X-Ray"/>
    <n v="86852.4"/>
    <n v="2"/>
    <s v="Referred"/>
    <s v="Under 18"/>
    <x v="11"/>
    <m/>
    <m/>
    <m/>
    <m/>
    <m/>
    <m/>
  </r>
  <r>
    <s v="P00720"/>
    <s v="Kavya Devi"/>
    <n v="62"/>
    <s v="Female"/>
    <s v="Delhi"/>
    <x v="5"/>
    <x v="5"/>
    <s v="Kidney Disease"/>
    <s v="Elective"/>
    <d v="2024-09-27T00:00:00"/>
    <d v="2024-09-29T00:00:00"/>
    <n v="2"/>
    <x v="1"/>
    <s v="ECG"/>
    <n v="66932.679999999993"/>
    <n v="5"/>
    <s v="Transferred"/>
    <s v="51-65"/>
    <x v="13"/>
    <m/>
    <m/>
    <m/>
    <m/>
    <m/>
    <m/>
  </r>
  <r>
    <s v="P00721"/>
    <s v="Sanjay Devi"/>
    <n v="77"/>
    <s v="Female"/>
    <s v="Delhi"/>
    <x v="2"/>
    <x v="3"/>
    <s v="No Chronic Condition"/>
    <s v="Elective"/>
    <d v="2024-05-23T00:00:00"/>
    <d v="2024-05-27T00:00:00"/>
    <n v="4"/>
    <x v="1"/>
    <s v="X-Ray"/>
    <n v="56259.82"/>
    <n v="5"/>
    <s v="Referred"/>
    <s v="66+"/>
    <x v="23"/>
    <m/>
    <m/>
    <m/>
    <m/>
    <m/>
    <m/>
  </r>
  <r>
    <s v="P00722"/>
    <s v="Priya Nair"/>
    <n v="19"/>
    <s v="Other"/>
    <s v="Kochi"/>
    <x v="2"/>
    <x v="7"/>
    <s v="No Chronic Condition"/>
    <s v="Urgent"/>
    <d v="2024-10-26T00:00:00"/>
    <d v="2024-10-28T00:00:00"/>
    <n v="2"/>
    <x v="4"/>
    <s v="CT Scan"/>
    <n v="34115.83"/>
    <n v="4"/>
    <s v="Referred"/>
    <s v="18-35"/>
    <x v="20"/>
    <m/>
    <m/>
    <m/>
    <m/>
    <m/>
    <m/>
  </r>
  <r>
    <s v="P00723"/>
    <s v="Lakshmi Reddy"/>
    <n v="45"/>
    <s v="Other"/>
    <s v="Chennai"/>
    <x v="2"/>
    <x v="5"/>
    <s v="Asthma"/>
    <s v="Emergency"/>
    <d v="2024-08-06T00:00:00"/>
    <d v="2024-11-06T00:00:00"/>
    <n v="3"/>
    <x v="1"/>
    <s v="X-Ray"/>
    <n v="75567.100000000006"/>
    <n v="4"/>
    <s v="Transferred"/>
    <s v="36-50"/>
    <x v="3"/>
    <m/>
    <m/>
    <m/>
    <m/>
    <m/>
    <m/>
  </r>
  <r>
    <s v="P00724"/>
    <s v="Aarav Iyer"/>
    <n v="27"/>
    <s v="Female"/>
    <s v="Coimbatore"/>
    <x v="5"/>
    <x v="0"/>
    <s v="Heart Disease"/>
    <s v="Urgent"/>
    <d v="2024-02-06T00:00:00"/>
    <d v="2024-07-06T00:00:00"/>
    <n v="5"/>
    <x v="2"/>
    <s v="CT Scan"/>
    <n v="38024.61"/>
    <n v="4"/>
    <s v="Home"/>
    <s v="18-35"/>
    <x v="2"/>
    <m/>
    <m/>
    <m/>
    <m/>
    <m/>
    <m/>
  </r>
  <r>
    <s v="P00725"/>
    <s v="Sathya Devi"/>
    <n v="43"/>
    <s v="Other"/>
    <s v="Hyderabad"/>
    <x v="2"/>
    <x v="0"/>
    <s v="Diabetes"/>
    <s v="Urgent"/>
    <d v="2024-09-03T00:00:00"/>
    <d v="2024-03-13T00:00:00"/>
    <n v="4"/>
    <x v="3"/>
    <s v="X-Ray"/>
    <n v="44604.2"/>
    <n v="4"/>
    <s v="Left Against Medical Advice"/>
    <s v="36-50"/>
    <x v="13"/>
    <m/>
    <m/>
    <m/>
    <m/>
    <m/>
    <m/>
  </r>
  <r>
    <s v="P00726"/>
    <s v="Ananya Kumar"/>
    <n v="23"/>
    <s v="Female"/>
    <s v="Coimbatore"/>
    <x v="0"/>
    <x v="7"/>
    <s v="Hypertension"/>
    <s v="Emergency"/>
    <d v="2025-09-15T00:00:00"/>
    <d v="2025-09-19T00:00:00"/>
    <n v="4"/>
    <x v="0"/>
    <s v="None"/>
    <n v="78148.289999999994"/>
    <n v="3"/>
    <s v="Left Against Medical Advice"/>
    <s v="18-35"/>
    <x v="7"/>
    <m/>
    <m/>
    <m/>
    <m/>
    <m/>
    <m/>
  </r>
  <r>
    <s v="P00727"/>
    <s v="Karthik R"/>
    <n v="60"/>
    <s v="Female"/>
    <s v="Kochi"/>
    <x v="3"/>
    <x v="7"/>
    <s v="Kidney Disease"/>
    <s v="Emergency"/>
    <d v="2025-03-07T00:00:00"/>
    <d v="2025-05-07T00:00:00"/>
    <n v="2"/>
    <x v="0"/>
    <s v="CT Scan"/>
    <n v="20497.669999999998"/>
    <n v="2"/>
    <s v="Transferred"/>
    <s v="51-65"/>
    <x v="14"/>
    <m/>
    <m/>
    <m/>
    <m/>
    <m/>
    <m/>
  </r>
  <r>
    <s v="P00728"/>
    <s v="Pooja Kumar"/>
    <n v="73"/>
    <s v="Female"/>
    <s v="Madurai"/>
    <x v="1"/>
    <x v="7"/>
    <s v="No Chronic Condition"/>
    <s v="Urgent"/>
    <d v="2025-08-18T00:00:00"/>
    <d v="2025-08-31T00:00:00"/>
    <n v="13"/>
    <x v="1"/>
    <s v="CT Scan"/>
    <n v="88526.14"/>
    <n v="4"/>
    <s v="Referred"/>
    <s v="66+"/>
    <x v="19"/>
    <m/>
    <m/>
    <m/>
    <m/>
    <m/>
    <m/>
  </r>
  <r>
    <s v="P00729"/>
    <s v="Manoj Devi"/>
    <n v="43"/>
    <s v="Other"/>
    <s v="Delhi"/>
    <x v="4"/>
    <x v="4"/>
    <s v="Skin Infection"/>
    <s v="Emergency"/>
    <d v="2025-09-05T00:00:00"/>
    <d v="2025-11-05T00:00:00"/>
    <n v="2"/>
    <x v="4"/>
    <s v="Blood Test"/>
    <n v="30178.61"/>
    <n v="3"/>
    <s v="Transferred"/>
    <s v="36-50"/>
    <x v="7"/>
    <m/>
    <m/>
    <m/>
    <m/>
    <m/>
    <m/>
  </r>
  <r>
    <s v="P00730"/>
    <s v="Manoj Sharma"/>
    <n v="66"/>
    <s v="Male"/>
    <s v="Coimbatore"/>
    <x v="4"/>
    <x v="4"/>
    <s v="Hypertension"/>
    <s v="Emergency"/>
    <d v="2025-05-22T00:00:00"/>
    <d v="2025-05-23T00:00:00"/>
    <n v="1"/>
    <x v="3"/>
    <s v="MRI"/>
    <n v="79546.559999999998"/>
    <n v="4"/>
    <s v="Transferred"/>
    <s v="66+"/>
    <x v="4"/>
    <m/>
    <m/>
    <m/>
    <m/>
    <m/>
    <m/>
  </r>
  <r>
    <s v="P00731"/>
    <s v="Karthik Reddy"/>
    <n v="41"/>
    <s v="Other"/>
    <s v="Hyderabad"/>
    <x v="0"/>
    <x v="7"/>
    <s v="No Chronic Condition"/>
    <s v="Urgent"/>
    <d v="2025-04-28T00:00:00"/>
    <d v="2025-04-05T00:00:00"/>
    <n v="6"/>
    <x v="3"/>
    <s v="MRI"/>
    <n v="61047.77"/>
    <n v="4"/>
    <s v="Left Against Medical Advice"/>
    <s v="36-50"/>
    <x v="5"/>
    <m/>
    <m/>
    <m/>
    <m/>
    <m/>
    <m/>
  </r>
  <r>
    <s v="P00732"/>
    <s v="Meera Nair"/>
    <n v="84"/>
    <s v="Other"/>
    <s v="Delhi"/>
    <x v="5"/>
    <x v="5"/>
    <s v="Fracture"/>
    <s v="Elective"/>
    <d v="2025-02-03T00:00:00"/>
    <d v="2025-04-03T00:00:00"/>
    <n v="2"/>
    <x v="0"/>
    <s v="CT Scan"/>
    <n v="39067.75"/>
    <n v="3"/>
    <s v="Left Against Medical Advice"/>
    <s v="66+"/>
    <x v="15"/>
    <m/>
    <m/>
    <m/>
    <m/>
    <m/>
    <m/>
  </r>
  <r>
    <s v="P00733"/>
    <s v="Karthik Devi"/>
    <n v="1"/>
    <s v="Male"/>
    <s v="Madurai"/>
    <x v="5"/>
    <x v="5"/>
    <s v="Fracture"/>
    <s v="Emergency"/>
    <d v="2024-02-26T00:00:00"/>
    <d v="2024-02-29T00:00:00"/>
    <n v="3"/>
    <x v="1"/>
    <s v="CT Scan"/>
    <n v="13422.01"/>
    <n v="5"/>
    <s v="Left Against Medical Advice"/>
    <s v="Under 18"/>
    <x v="2"/>
    <m/>
    <m/>
    <m/>
    <m/>
    <m/>
    <m/>
  </r>
  <r>
    <s v="P00734"/>
    <s v="Kavya Singh"/>
    <n v="42"/>
    <s v="Other"/>
    <s v="Salem"/>
    <x v="1"/>
    <x v="5"/>
    <s v="Fracture"/>
    <s v="Emergency"/>
    <d v="2025-07-27T00:00:00"/>
    <d v="2025-07-29T00:00:00"/>
    <n v="2"/>
    <x v="4"/>
    <s v="Ultrasound"/>
    <n v="19798.919999999998"/>
    <n v="3"/>
    <s v="Left Against Medical Advice"/>
    <s v="36-50"/>
    <x v="16"/>
    <m/>
    <m/>
    <m/>
    <m/>
    <m/>
    <m/>
  </r>
  <r>
    <s v="P00735"/>
    <s v="Lakshmi Sharma"/>
    <n v="32"/>
    <s v="Male"/>
    <s v="Bengaluru"/>
    <x v="5"/>
    <x v="3"/>
    <s v="Fracture"/>
    <s v="Urgent"/>
    <d v="2025-09-13T00:00:00"/>
    <d v="2025-09-16T00:00:00"/>
    <n v="3"/>
    <x v="4"/>
    <s v="None"/>
    <n v="81734.61"/>
    <n v="3"/>
    <s v="Referred"/>
    <s v="18-35"/>
    <x v="7"/>
    <m/>
    <m/>
    <m/>
    <m/>
    <m/>
    <m/>
  </r>
  <r>
    <s v="P00736"/>
    <s v="Priya Devi"/>
    <n v="20"/>
    <s v="Other"/>
    <s v="Chennai"/>
    <x v="0"/>
    <x v="7"/>
    <s v="Migraine"/>
    <s v="Emergency"/>
    <d v="2024-02-11T00:00:00"/>
    <d v="2024-04-11T00:00:00"/>
    <n v="2"/>
    <x v="1"/>
    <s v="None"/>
    <n v="53809.52"/>
    <n v="5"/>
    <s v="Transferred"/>
    <s v="18-35"/>
    <x v="2"/>
    <m/>
    <m/>
    <m/>
    <m/>
    <m/>
    <m/>
  </r>
  <r>
    <s v="P00737"/>
    <s v="Ishita Kumar"/>
    <n v="58"/>
    <s v="Other"/>
    <s v="Hyderabad"/>
    <x v="4"/>
    <x v="3"/>
    <s v="Migraine"/>
    <s v="Urgent"/>
    <d v="2024-07-08T00:00:00"/>
    <d v="2024-09-08T00:00:00"/>
    <n v="2"/>
    <x v="4"/>
    <s v="CT Scan"/>
    <n v="55022.57"/>
    <n v="3"/>
    <s v="Left Against Medical Advice"/>
    <s v="51-65"/>
    <x v="12"/>
    <m/>
    <m/>
    <m/>
    <m/>
    <m/>
    <m/>
  </r>
  <r>
    <s v="P00738"/>
    <s v="Ananya Nair"/>
    <n v="63"/>
    <s v="Female"/>
    <s v="Bengaluru"/>
    <x v="2"/>
    <x v="1"/>
    <s v="Skin Infection"/>
    <s v="Emergency"/>
    <d v="2025-06-25T00:00:00"/>
    <d v="2025-06-26T00:00:00"/>
    <n v="1"/>
    <x v="0"/>
    <s v="Blood Test"/>
    <n v="113175.44"/>
    <n v="4"/>
    <s v="Home"/>
    <s v="51-65"/>
    <x v="10"/>
    <m/>
    <m/>
    <m/>
    <m/>
    <m/>
    <m/>
  </r>
  <r>
    <s v="P00739"/>
    <s v="Priya Singh"/>
    <n v="69"/>
    <s v="Female"/>
    <s v="Delhi"/>
    <x v="2"/>
    <x v="7"/>
    <s v="Hypertension"/>
    <s v="Emergency"/>
    <d v="2025-09-06T00:00:00"/>
    <d v="2025-06-14T00:00:00"/>
    <n v="5"/>
    <x v="1"/>
    <s v="Blood Test"/>
    <n v="67999.42"/>
    <n v="4"/>
    <s v="Referred"/>
    <s v="66+"/>
    <x v="7"/>
    <m/>
    <m/>
    <m/>
    <m/>
    <m/>
    <m/>
  </r>
  <r>
    <s v="P00740"/>
    <s v="Ishita Reddy"/>
    <n v="83"/>
    <s v="Other"/>
    <s v="Chennai"/>
    <x v="4"/>
    <x v="2"/>
    <s v="Diabetes"/>
    <s v="Emergency"/>
    <d v="2024-12-13T00:00:00"/>
    <d v="2024-12-17T00:00:00"/>
    <n v="4"/>
    <x v="1"/>
    <s v="CT Scan"/>
    <n v="41307.019999999997"/>
    <n v="3"/>
    <s v="Referred"/>
    <s v="66+"/>
    <x v="8"/>
    <m/>
    <m/>
    <m/>
    <m/>
    <m/>
    <m/>
  </r>
  <r>
    <s v="P00741"/>
    <s v="Deepa Sharma"/>
    <n v="34"/>
    <s v="Female"/>
    <s v="Coimbatore"/>
    <x v="0"/>
    <x v="7"/>
    <s v="No Chronic Condition"/>
    <s v="Emergency"/>
    <d v="2025-08-21T00:00:00"/>
    <d v="2025-08-29T00:00:00"/>
    <n v="8"/>
    <x v="1"/>
    <s v="X-Ray"/>
    <n v="99438.78"/>
    <n v="5"/>
    <s v="Home"/>
    <s v="18-35"/>
    <x v="19"/>
    <m/>
    <m/>
    <m/>
    <m/>
    <m/>
    <m/>
  </r>
  <r>
    <s v="P00742"/>
    <s v="Karthik Iyer"/>
    <n v="4"/>
    <s v="Other"/>
    <s v="Madurai"/>
    <x v="0"/>
    <x v="0"/>
    <s v="Migraine"/>
    <s v="Elective"/>
    <d v="2025-08-09T00:00:00"/>
    <d v="2025-09-16T00:00:00"/>
    <n v="8"/>
    <x v="1"/>
    <s v="X-Ray"/>
    <n v="94438.24"/>
    <n v="5"/>
    <s v="Referred"/>
    <s v="Under 18"/>
    <x v="19"/>
    <m/>
    <m/>
    <m/>
    <m/>
    <m/>
    <m/>
  </r>
  <r>
    <s v="P00743"/>
    <s v="Vivaan Singh"/>
    <n v="46"/>
    <s v="Female"/>
    <s v="Delhi"/>
    <x v="1"/>
    <x v="1"/>
    <s v="Kidney Disease"/>
    <s v="Emergency"/>
    <d v="2024-05-20T00:00:00"/>
    <d v="2024-05-21T00:00:00"/>
    <n v="1"/>
    <x v="3"/>
    <s v="None"/>
    <n v="148307.18"/>
    <n v="3"/>
    <s v="Left Against Medical Advice"/>
    <s v="36-50"/>
    <x v="23"/>
    <m/>
    <m/>
    <m/>
    <m/>
    <m/>
    <m/>
  </r>
  <r>
    <s v="P00744"/>
    <s v="Lakshmi Nair"/>
    <n v="76"/>
    <s v="Female"/>
    <s v="Mumbai"/>
    <x v="1"/>
    <x v="0"/>
    <s v="Asthma"/>
    <s v="Emergency"/>
    <d v="2024-05-04T00:00:00"/>
    <d v="2024-09-04T00:00:00"/>
    <n v="4"/>
    <x v="3"/>
    <s v="Blood Test"/>
    <n v="67232.259999999995"/>
    <n v="3"/>
    <s v="Transferred"/>
    <s v="66+"/>
    <x v="23"/>
    <m/>
    <m/>
    <m/>
    <m/>
    <m/>
    <m/>
  </r>
  <r>
    <s v="P00745"/>
    <s v="Aditya Reddy"/>
    <n v="62"/>
    <s v="Male"/>
    <s v="Madurai"/>
    <x v="0"/>
    <x v="0"/>
    <s v="Migraine"/>
    <s v="Urgent"/>
    <d v="2025-04-06T00:00:00"/>
    <d v="2025-07-06T00:00:00"/>
    <n v="3"/>
    <x v="2"/>
    <s v="Ultrasound"/>
    <n v="38308.65"/>
    <n v="3"/>
    <s v="Left Against Medical Advice"/>
    <s v="51-65"/>
    <x v="5"/>
    <m/>
    <m/>
    <m/>
    <m/>
    <m/>
    <m/>
  </r>
  <r>
    <s v="P00746"/>
    <s v="Rohan Singh"/>
    <n v="61"/>
    <s v="Female"/>
    <s v="Chennai"/>
    <x v="4"/>
    <x v="6"/>
    <s v="Heart Disease"/>
    <s v="Urgent"/>
    <d v="2024-08-10T00:00:00"/>
    <d v="2024-10-14T00:00:00"/>
    <n v="6"/>
    <x v="3"/>
    <s v="None"/>
    <n v="30144.82"/>
    <n v="4"/>
    <s v="Transferred"/>
    <s v="51-65"/>
    <x v="3"/>
    <m/>
    <m/>
    <m/>
    <m/>
    <m/>
    <m/>
  </r>
  <r>
    <s v="P00747"/>
    <s v="Aarav Singh"/>
    <n v="48"/>
    <s v="Other"/>
    <s v="Coimbatore"/>
    <x v="5"/>
    <x v="6"/>
    <s v="Asthma"/>
    <s v="Elective"/>
    <d v="2025-02-28T00:00:00"/>
    <d v="2025-03-03T00:00:00"/>
    <n v="3"/>
    <x v="1"/>
    <s v="None"/>
    <n v="78554.47"/>
    <n v="5"/>
    <s v="Transferred"/>
    <s v="36-50"/>
    <x v="15"/>
    <m/>
    <m/>
    <m/>
    <m/>
    <m/>
    <m/>
  </r>
  <r>
    <s v="P00748"/>
    <s v="Ishita Sharma"/>
    <n v="80"/>
    <s v="Male"/>
    <s v="Hyderabad"/>
    <x v="4"/>
    <x v="1"/>
    <s v="Asthma"/>
    <s v="Emergency"/>
    <d v="2024-01-30T00:00:00"/>
    <d v="2024-02-02T00:00:00"/>
    <n v="3"/>
    <x v="1"/>
    <s v="X-Ray"/>
    <n v="97722.52"/>
    <n v="4"/>
    <s v="Home"/>
    <s v="66+"/>
    <x v="0"/>
    <m/>
    <m/>
    <m/>
    <m/>
    <m/>
    <m/>
  </r>
  <r>
    <s v="P00749"/>
    <s v="Aarav Devi"/>
    <n v="54"/>
    <s v="Female"/>
    <s v="Delhi"/>
    <x v="1"/>
    <x v="5"/>
    <s v="Asthma"/>
    <s v="Elective"/>
    <d v="2024-04-25T00:00:00"/>
    <d v="2024-04-29T00:00:00"/>
    <n v="4"/>
    <x v="3"/>
    <s v="MRI"/>
    <n v="74554.84"/>
    <n v="5"/>
    <s v="Transferred"/>
    <s v="51-65"/>
    <x v="6"/>
    <m/>
    <m/>
    <m/>
    <m/>
    <m/>
    <m/>
  </r>
  <r>
    <s v="P00750"/>
    <s v="Rohan Iyer"/>
    <n v="79"/>
    <s v="Other"/>
    <s v="Bengaluru"/>
    <x v="2"/>
    <x v="7"/>
    <s v="Asthma"/>
    <s v="Emergency"/>
    <d v="2024-08-04T00:00:00"/>
    <d v="2024-12-04T00:00:00"/>
    <n v="4"/>
    <x v="4"/>
    <s v="MRI"/>
    <n v="28009.71"/>
    <n v="3"/>
    <s v="Home"/>
    <s v="66+"/>
    <x v="3"/>
    <m/>
    <m/>
    <m/>
    <m/>
    <m/>
    <m/>
  </r>
  <r>
    <s v="P00751"/>
    <s v="Priya Sharma"/>
    <n v="32"/>
    <s v="Female"/>
    <s v="Mumbai"/>
    <x v="1"/>
    <x v="5"/>
    <s v="No Chronic Condition"/>
    <s v="Elective"/>
    <d v="2024-09-13T00:00:00"/>
    <d v="2024-09-20T00:00:00"/>
    <n v="7"/>
    <x v="3"/>
    <s v="ECG"/>
    <n v="49953.94"/>
    <n v="4"/>
    <s v="Home"/>
    <s v="18-35"/>
    <x v="13"/>
    <m/>
    <m/>
    <m/>
    <m/>
    <m/>
    <m/>
  </r>
  <r>
    <s v="P00752"/>
    <s v="Lakshmi Singh"/>
    <n v="50"/>
    <s v="Other"/>
    <s v="Mumbai"/>
    <x v="0"/>
    <x v="7"/>
    <s v="Asthma"/>
    <s v="Urgent"/>
    <d v="2024-02-19T00:00:00"/>
    <d v="2024-02-24T00:00:00"/>
    <n v="5"/>
    <x v="0"/>
    <s v="CT Scan"/>
    <n v="40963.74"/>
    <n v="1"/>
    <s v="Left Against Medical Advice"/>
    <s v="36-50"/>
    <x v="2"/>
    <m/>
    <m/>
    <m/>
    <m/>
    <m/>
    <m/>
  </r>
  <r>
    <s v="P00753"/>
    <s v="Sanjay Devi"/>
    <n v="28"/>
    <s v="Male"/>
    <s v="Mumbai"/>
    <x v="1"/>
    <x v="4"/>
    <s v="Skin Infection"/>
    <s v="Urgent"/>
    <d v="2025-09-28T00:00:00"/>
    <d v="2025-02-10T00:00:00"/>
    <n v="4"/>
    <x v="4"/>
    <s v="Ultrasound"/>
    <n v="79443.649999999994"/>
    <n v="4"/>
    <s v="Home"/>
    <s v="18-35"/>
    <x v="7"/>
    <m/>
    <m/>
    <m/>
    <m/>
    <m/>
    <m/>
  </r>
  <r>
    <s v="P00754"/>
    <s v="Arjun R"/>
    <n v="86"/>
    <s v="Male"/>
    <s v="Kochi"/>
    <x v="2"/>
    <x v="1"/>
    <s v="Skin Infection"/>
    <s v="Elective"/>
    <d v="2025-06-15T00:00:00"/>
    <d v="2025-06-16T00:00:00"/>
    <n v="1"/>
    <x v="3"/>
    <s v="None"/>
    <n v="29794.13"/>
    <n v="4"/>
    <s v="Transferred"/>
    <s v="66+"/>
    <x v="10"/>
    <m/>
    <m/>
    <m/>
    <m/>
    <m/>
    <m/>
  </r>
  <r>
    <s v="P00755"/>
    <s v="Aarav Iyer"/>
    <n v="40"/>
    <s v="Male"/>
    <s v="Mumbai"/>
    <x v="3"/>
    <x v="7"/>
    <s v="Asthma"/>
    <s v="Urgent"/>
    <d v="2025-03-22T00:00:00"/>
    <d v="2025-03-25T00:00:00"/>
    <n v="3"/>
    <x v="3"/>
    <s v="ECG"/>
    <n v="73320.94"/>
    <n v="3"/>
    <s v="Home"/>
    <s v="36-50"/>
    <x v="14"/>
    <m/>
    <m/>
    <m/>
    <m/>
    <m/>
    <m/>
  </r>
  <r>
    <s v="P00756"/>
    <s v="Ishita Iyer"/>
    <n v="69"/>
    <s v="Male"/>
    <s v="Hyderabad"/>
    <x v="3"/>
    <x v="6"/>
    <s v="Migraine"/>
    <s v="Urgent"/>
    <d v="2025-06-07T00:00:00"/>
    <d v="2025-12-07T00:00:00"/>
    <n v="6"/>
    <x v="4"/>
    <s v="None"/>
    <n v="42751.21"/>
    <n v="4"/>
    <s v="Referred"/>
    <s v="66+"/>
    <x v="10"/>
    <m/>
    <m/>
    <m/>
    <m/>
    <m/>
    <m/>
  </r>
  <r>
    <s v="P00757"/>
    <s v="Ananya Kumar"/>
    <n v="36"/>
    <s v="Female"/>
    <s v="Bengaluru"/>
    <x v="5"/>
    <x v="2"/>
    <s v="Kidney Disease"/>
    <s v="Urgent"/>
    <d v="2025-02-14T00:00:00"/>
    <d v="2025-02-17T00:00:00"/>
    <n v="3"/>
    <x v="0"/>
    <s v="Ultrasound"/>
    <n v="46164.3"/>
    <n v="3"/>
    <s v="Transferred"/>
    <s v="36-50"/>
    <x v="15"/>
    <m/>
    <m/>
    <m/>
    <m/>
    <m/>
    <m/>
  </r>
  <r>
    <s v="P00758"/>
    <s v="Deepa Iyer"/>
    <n v="27"/>
    <s v="Other"/>
    <s v="Coimbatore"/>
    <x v="5"/>
    <x v="6"/>
    <s v="Heart Disease"/>
    <s v="Emergency"/>
    <d v="2025-09-19T00:00:00"/>
    <d v="2025-09-22T00:00:00"/>
    <n v="3"/>
    <x v="3"/>
    <s v="MRI"/>
    <n v="54492.84"/>
    <n v="4"/>
    <s v="Referred"/>
    <s v="18-35"/>
    <x v="7"/>
    <m/>
    <m/>
    <m/>
    <m/>
    <m/>
    <m/>
  </r>
  <r>
    <s v="P00759"/>
    <s v="Ananya R"/>
    <n v="52"/>
    <s v="Female"/>
    <s v="Salem"/>
    <x v="1"/>
    <x v="4"/>
    <s v="Migraine"/>
    <s v="Emergency"/>
    <d v="2025-08-22T00:00:00"/>
    <d v="2025-08-23T00:00:00"/>
    <n v="1"/>
    <x v="4"/>
    <s v="MRI"/>
    <n v="12786.14"/>
    <n v="2"/>
    <s v="Home"/>
    <s v="51-65"/>
    <x v="19"/>
    <m/>
    <m/>
    <m/>
    <m/>
    <m/>
    <m/>
  </r>
  <r>
    <s v="P00760"/>
    <s v="Priya R"/>
    <n v="70"/>
    <s v="Other"/>
    <s v="Delhi"/>
    <x v="1"/>
    <x v="3"/>
    <s v="Fracture"/>
    <s v="Urgent"/>
    <d v="2025-09-16T00:00:00"/>
    <d v="2025-09-17T00:00:00"/>
    <n v="1"/>
    <x v="3"/>
    <s v="Ultrasound"/>
    <n v="100573.5"/>
    <n v="5"/>
    <s v="Left Against Medical Advice"/>
    <s v="66+"/>
    <x v="7"/>
    <m/>
    <m/>
    <m/>
    <m/>
    <m/>
    <m/>
  </r>
  <r>
    <s v="P00761"/>
    <s v="Nisha Reddy"/>
    <n v="38"/>
    <s v="Female"/>
    <s v="Chennai"/>
    <x v="2"/>
    <x v="3"/>
    <s v="Heart Disease"/>
    <s v="Emergency"/>
    <d v="2025-06-19T00:00:00"/>
    <d v="2025-06-20T00:00:00"/>
    <n v="1"/>
    <x v="1"/>
    <s v="None"/>
    <n v="135714.81"/>
    <n v="5"/>
    <s v="Transferred"/>
    <s v="36-50"/>
    <x v="10"/>
    <m/>
    <m/>
    <m/>
    <m/>
    <m/>
    <m/>
  </r>
  <r>
    <s v="P00762"/>
    <s v="Deepa Singh"/>
    <n v="33"/>
    <s v="Other"/>
    <s v="Coimbatore"/>
    <x v="3"/>
    <x v="3"/>
    <s v="Hypertension"/>
    <s v="Elective"/>
    <d v="2025-04-06T00:00:00"/>
    <d v="2025-07-06T00:00:00"/>
    <n v="3"/>
    <x v="1"/>
    <s v="Blood Test"/>
    <n v="23839.35"/>
    <n v="4"/>
    <s v="Left Against Medical Advice"/>
    <s v="18-35"/>
    <x v="5"/>
    <m/>
    <m/>
    <m/>
    <m/>
    <m/>
    <m/>
  </r>
  <r>
    <s v="P00763"/>
    <s v="Arjun R"/>
    <n v="72"/>
    <s v="Other"/>
    <s v="Bengaluru"/>
    <x v="0"/>
    <x v="2"/>
    <s v="Diabetes"/>
    <s v="Elective"/>
    <d v="2025-02-08T00:00:00"/>
    <d v="2025-07-08T00:00:00"/>
    <n v="5"/>
    <x v="0"/>
    <s v="Ultrasound"/>
    <n v="55921.35"/>
    <n v="4"/>
    <s v="Left Against Medical Advice"/>
    <s v="66+"/>
    <x v="15"/>
    <m/>
    <m/>
    <m/>
    <m/>
    <m/>
    <m/>
  </r>
  <r>
    <s v="P00764"/>
    <s v="Divya Reddy"/>
    <n v="51"/>
    <s v="Other"/>
    <s v="Chennai"/>
    <x v="0"/>
    <x v="5"/>
    <s v="No Chronic Condition"/>
    <s v="Urgent"/>
    <d v="2024-10-02T00:00:00"/>
    <d v="2024-02-16T00:00:00"/>
    <n v="6"/>
    <x v="3"/>
    <s v="Blood Test"/>
    <n v="75029.02"/>
    <n v="1"/>
    <s v="Transferred"/>
    <s v="51-65"/>
    <x v="20"/>
    <m/>
    <m/>
    <m/>
    <m/>
    <m/>
    <m/>
  </r>
  <r>
    <s v="P00765"/>
    <s v="Sathya Devi"/>
    <n v="13"/>
    <s v="Male"/>
    <s v="Delhi"/>
    <x v="4"/>
    <x v="4"/>
    <s v="Migraine"/>
    <s v="Elective"/>
    <d v="2025-02-26T00:00:00"/>
    <d v="2025-05-03T00:00:00"/>
    <n v="7"/>
    <x v="4"/>
    <s v="Ultrasound"/>
    <n v="71740.899999999994"/>
    <n v="4"/>
    <s v="Transferred"/>
    <s v="Under 18"/>
    <x v="15"/>
    <m/>
    <m/>
    <m/>
    <m/>
    <m/>
    <m/>
  </r>
  <r>
    <s v="P00766"/>
    <s v="Ishita Iyer"/>
    <n v="21"/>
    <s v="Female"/>
    <s v="Mumbai"/>
    <x v="5"/>
    <x v="3"/>
    <s v="Asthma"/>
    <s v="Emergency"/>
    <d v="2025-07-25T00:00:00"/>
    <d v="2025-07-31T00:00:00"/>
    <n v="6"/>
    <x v="2"/>
    <s v="Ultrasound"/>
    <n v="145191.48000000001"/>
    <n v="4"/>
    <s v="Left Against Medical Advice"/>
    <s v="18-35"/>
    <x v="16"/>
    <m/>
    <m/>
    <m/>
    <m/>
    <m/>
    <m/>
  </r>
  <r>
    <s v="P00767"/>
    <s v="Meera Sharma"/>
    <n v="41"/>
    <s v="Other"/>
    <s v="Hyderabad"/>
    <x v="5"/>
    <x v="4"/>
    <s v="Kidney Disease"/>
    <s v="Emergency"/>
    <d v="2025-05-24T00:00:00"/>
    <d v="2025-05-25T00:00:00"/>
    <n v="1"/>
    <x v="2"/>
    <s v="X-Ray"/>
    <n v="37593.360000000001"/>
    <n v="5"/>
    <s v="Transferred"/>
    <s v="36-50"/>
    <x v="4"/>
    <m/>
    <m/>
    <m/>
    <m/>
    <m/>
    <m/>
  </r>
  <r>
    <s v="P00768"/>
    <s v="Ishita Reddy"/>
    <n v="65"/>
    <s v="Other"/>
    <s v="Madurai"/>
    <x v="0"/>
    <x v="6"/>
    <s v="Pneumonia"/>
    <s v="Urgent"/>
    <d v="2025-10-19T00:00:00"/>
    <d v="2025-10-21T00:00:00"/>
    <n v="2"/>
    <x v="1"/>
    <s v="ECG"/>
    <n v="72483.679999999993"/>
    <n v="2"/>
    <s v="Transferred"/>
    <s v="51-65"/>
    <x v="17"/>
    <m/>
    <m/>
    <m/>
    <m/>
    <m/>
    <m/>
  </r>
  <r>
    <s v="P00769"/>
    <s v="Sathya Singh"/>
    <n v="51"/>
    <s v="Female"/>
    <s v="Chennai"/>
    <x v="0"/>
    <x v="4"/>
    <s v="No Chronic Condition"/>
    <s v="Urgent"/>
    <d v="2025-01-29T00:00:00"/>
    <d v="2025-09-02T00:00:00"/>
    <n v="11"/>
    <x v="3"/>
    <s v="Ultrasound"/>
    <n v="67022.240000000005"/>
    <n v="2"/>
    <s v="Transferred"/>
    <s v="51-65"/>
    <x v="22"/>
    <m/>
    <m/>
    <m/>
    <m/>
    <m/>
    <m/>
  </r>
  <r>
    <s v="P00770"/>
    <s v="Aarav Singh"/>
    <n v="4"/>
    <s v="Male"/>
    <s v="Delhi"/>
    <x v="1"/>
    <x v="7"/>
    <s v="Asthma"/>
    <s v="Urgent"/>
    <d v="2024-08-17T00:00:00"/>
    <d v="2024-08-19T00:00:00"/>
    <n v="2"/>
    <x v="0"/>
    <s v="ECG"/>
    <n v="12906.54"/>
    <n v="3"/>
    <s v="Referred"/>
    <s v="Under 18"/>
    <x v="3"/>
    <m/>
    <m/>
    <m/>
    <m/>
    <m/>
    <m/>
  </r>
  <r>
    <s v="P00771"/>
    <s v="Priya Reddy"/>
    <n v="53"/>
    <s v="Female"/>
    <s v="Mumbai"/>
    <x v="5"/>
    <x v="2"/>
    <s v="Fracture"/>
    <s v="Emergency"/>
    <d v="2025-06-15T00:00:00"/>
    <d v="2025-06-18T00:00:00"/>
    <n v="3"/>
    <x v="1"/>
    <s v="ECG"/>
    <n v="63592.45"/>
    <n v="5"/>
    <s v="Transferred"/>
    <s v="51-65"/>
    <x v="10"/>
    <m/>
    <m/>
    <m/>
    <m/>
    <m/>
    <m/>
  </r>
  <r>
    <s v="P00772"/>
    <s v="Rahul Singh"/>
    <n v="10"/>
    <s v="Other"/>
    <s v="Kochi"/>
    <x v="5"/>
    <x v="7"/>
    <s v="Skin Infection"/>
    <s v="Emergency"/>
    <d v="2024-05-17T00:00:00"/>
    <d v="2024-05-28T00:00:00"/>
    <n v="11"/>
    <x v="0"/>
    <s v="X-Ray"/>
    <n v="67829.960000000006"/>
    <n v="2"/>
    <s v="Transferred"/>
    <s v="Under 18"/>
    <x v="23"/>
    <m/>
    <m/>
    <m/>
    <m/>
    <m/>
    <m/>
  </r>
  <r>
    <s v="P00773"/>
    <s v="Sanjay Kumar"/>
    <n v="90"/>
    <s v="Other"/>
    <s v="Kochi"/>
    <x v="1"/>
    <x v="1"/>
    <s v="Kidney Disease"/>
    <s v="Urgent"/>
    <d v="2025-07-21T00:00:00"/>
    <d v="2025-07-25T00:00:00"/>
    <n v="4"/>
    <x v="2"/>
    <s v="MRI"/>
    <n v="94187.65"/>
    <n v="4"/>
    <s v="Left Against Medical Advice"/>
    <s v="66+"/>
    <x v="16"/>
    <m/>
    <m/>
    <m/>
    <m/>
    <m/>
    <m/>
  </r>
  <r>
    <s v="P00774"/>
    <s v="Rohan Reddy"/>
    <n v="19"/>
    <s v="Female"/>
    <s v="Coimbatore"/>
    <x v="2"/>
    <x v="4"/>
    <s v="Diabetes"/>
    <s v="Elective"/>
    <d v="2025-11-29T00:00:00"/>
    <d v="2025-11-30T00:00:00"/>
    <n v="1"/>
    <x v="1"/>
    <s v="ECG"/>
    <n v="64093.69"/>
    <n v="4"/>
    <s v="Transferred"/>
    <s v="18-35"/>
    <x v="11"/>
    <m/>
    <m/>
    <m/>
    <m/>
    <m/>
    <m/>
  </r>
  <r>
    <s v="P00775"/>
    <s v="Deepa R"/>
    <n v="43"/>
    <s v="Female"/>
    <s v="Bengaluru"/>
    <x v="3"/>
    <x v="3"/>
    <s v="Diabetes"/>
    <s v="Emergency"/>
    <d v="2025-06-08T00:00:00"/>
    <d v="2025-10-08T00:00:00"/>
    <n v="4"/>
    <x v="0"/>
    <s v="CT Scan"/>
    <n v="103400.8"/>
    <n v="5"/>
    <s v="Referred"/>
    <s v="36-50"/>
    <x v="10"/>
    <m/>
    <m/>
    <m/>
    <m/>
    <m/>
    <m/>
  </r>
  <r>
    <s v="P00776"/>
    <s v="Nisha Reddy"/>
    <n v="25"/>
    <s v="Female"/>
    <s v="Delhi"/>
    <x v="0"/>
    <x v="2"/>
    <s v="No Chronic Condition"/>
    <s v="Elective"/>
    <d v="2025-07-09T00:00:00"/>
    <d v="2025-10-09T00:00:00"/>
    <n v="3"/>
    <x v="3"/>
    <s v="Blood Test"/>
    <n v="63167.79"/>
    <n v="4"/>
    <s v="Transferred"/>
    <s v="18-35"/>
    <x v="16"/>
    <m/>
    <m/>
    <m/>
    <m/>
    <m/>
    <m/>
  </r>
  <r>
    <s v="P00777"/>
    <s v="Kavya Singh"/>
    <n v="46"/>
    <s v="Female"/>
    <s v="Bengaluru"/>
    <x v="3"/>
    <x v="7"/>
    <s v="Migraine"/>
    <s v="Elective"/>
    <d v="2025-12-25T00:00:00"/>
    <d v="2025-12-26T00:00:00"/>
    <n v="1"/>
    <x v="2"/>
    <s v="ECG"/>
    <n v="83951.43"/>
    <n v="4"/>
    <s v="Home"/>
    <s v="36-50"/>
    <x v="1"/>
    <m/>
    <m/>
    <m/>
    <m/>
    <m/>
    <m/>
  </r>
  <r>
    <s v="P00778"/>
    <s v="Sanjay Iyer"/>
    <n v="72"/>
    <s v="Female"/>
    <s v="Mumbai"/>
    <x v="4"/>
    <x v="3"/>
    <s v="Hypertension"/>
    <s v="Urgent"/>
    <d v="2025-11-30T00:00:00"/>
    <d v="2025-02-12T00:00:00"/>
    <n v="2"/>
    <x v="3"/>
    <s v="ECG"/>
    <n v="111990.79"/>
    <n v="4"/>
    <s v="Transferred"/>
    <s v="66+"/>
    <x v="11"/>
    <m/>
    <m/>
    <m/>
    <m/>
    <m/>
    <m/>
  </r>
  <r>
    <s v="P00779"/>
    <s v="Arjun Devi"/>
    <n v="74"/>
    <s v="Female"/>
    <s v="Madurai"/>
    <x v="4"/>
    <x v="6"/>
    <s v="Kidney Disease"/>
    <s v="Elective"/>
    <d v="2025-03-27T00:00:00"/>
    <d v="2025-07-04T00:00:00"/>
    <n v="11"/>
    <x v="3"/>
    <s v="ECG"/>
    <n v="21942.48"/>
    <n v="4"/>
    <s v="Referred"/>
    <s v="66+"/>
    <x v="14"/>
    <m/>
    <m/>
    <m/>
    <m/>
    <m/>
    <m/>
  </r>
  <r>
    <s v="P00780"/>
    <s v="Pooja R"/>
    <n v="13"/>
    <s v="Male"/>
    <s v="Kochi"/>
    <x v="4"/>
    <x v="3"/>
    <s v="Kidney Disease"/>
    <s v="Elective"/>
    <d v="2024-07-16T00:00:00"/>
    <d v="2024-07-17T00:00:00"/>
    <n v="1"/>
    <x v="3"/>
    <s v="MRI"/>
    <n v="135096.1"/>
    <n v="4"/>
    <s v="Referred"/>
    <s v="Under 18"/>
    <x v="12"/>
    <m/>
    <m/>
    <m/>
    <m/>
    <m/>
    <m/>
  </r>
  <r>
    <s v="P00781"/>
    <s v="Rahul Reddy"/>
    <n v="31"/>
    <s v="Male"/>
    <s v="Kochi"/>
    <x v="2"/>
    <x v="0"/>
    <s v="Skin Infection"/>
    <s v="Emergency"/>
    <d v="2024-11-07T00:00:00"/>
    <d v="2024-07-21T00:00:00"/>
    <n v="10"/>
    <x v="1"/>
    <s v="MRI"/>
    <n v="23299.5"/>
    <n v="4"/>
    <s v="Referred"/>
    <s v="18-35"/>
    <x v="21"/>
    <m/>
    <m/>
    <m/>
    <m/>
    <m/>
    <m/>
  </r>
  <r>
    <s v="P00782"/>
    <s v="Manoj Singh"/>
    <n v="58"/>
    <s v="Female"/>
    <s v="Salem"/>
    <x v="1"/>
    <x v="0"/>
    <s v="Kidney Disease"/>
    <s v="Elective"/>
    <d v="2024-10-26T00:00:00"/>
    <d v="2024-10-29T00:00:00"/>
    <n v="3"/>
    <x v="4"/>
    <s v="None"/>
    <n v="13739.89"/>
    <n v="2"/>
    <s v="Transferred"/>
    <s v="51-65"/>
    <x v="20"/>
    <m/>
    <m/>
    <m/>
    <m/>
    <m/>
    <m/>
  </r>
  <r>
    <s v="P00783"/>
    <s v="Ananya Reddy"/>
    <n v="88"/>
    <s v="Other"/>
    <s v="Coimbatore"/>
    <x v="5"/>
    <x v="6"/>
    <s v="Migraine"/>
    <s v="Urgent"/>
    <d v="2024-02-26T00:00:00"/>
    <d v="2024-02-27T00:00:00"/>
    <n v="1"/>
    <x v="2"/>
    <s v="None"/>
    <n v="110879.41"/>
    <n v="2"/>
    <s v="Left Against Medical Advice"/>
    <s v="66+"/>
    <x v="2"/>
    <m/>
    <m/>
    <m/>
    <m/>
    <m/>
    <m/>
  </r>
  <r>
    <s v="P00784"/>
    <s v="Sathya Nair"/>
    <n v="66"/>
    <s v="Other"/>
    <s v="Bengaluru"/>
    <x v="2"/>
    <x v="7"/>
    <s v="Hypertension"/>
    <s v="Emergency"/>
    <d v="2024-01-07T00:00:00"/>
    <d v="2024-04-07T00:00:00"/>
    <n v="3"/>
    <x v="4"/>
    <s v="X-Ray"/>
    <n v="45378.06"/>
    <n v="3"/>
    <s v="Home"/>
    <s v="66+"/>
    <x v="0"/>
    <m/>
    <m/>
    <m/>
    <m/>
    <m/>
    <m/>
  </r>
  <r>
    <s v="P00785"/>
    <s v="Sathya Nair"/>
    <n v="6"/>
    <s v="Male"/>
    <s v="Pune"/>
    <x v="4"/>
    <x v="7"/>
    <s v="Migraine"/>
    <s v="Emergency"/>
    <d v="2024-07-29T00:00:00"/>
    <d v="2024-07-30T00:00:00"/>
    <n v="1"/>
    <x v="3"/>
    <s v="ECG"/>
    <n v="83861.34"/>
    <n v="5"/>
    <s v="Referred"/>
    <s v="Under 18"/>
    <x v="12"/>
    <m/>
    <m/>
    <m/>
    <m/>
    <m/>
    <m/>
  </r>
  <r>
    <s v="P00786"/>
    <s v="Priya Reddy"/>
    <n v="80"/>
    <s v="Other"/>
    <s v="Chennai"/>
    <x v="1"/>
    <x v="4"/>
    <s v="Heart Disease"/>
    <s v="Elective"/>
    <d v="2024-09-21T00:00:00"/>
    <d v="2024-09-27T00:00:00"/>
    <n v="6"/>
    <x v="4"/>
    <s v="MRI"/>
    <n v="80639.91"/>
    <n v="4"/>
    <s v="Referred"/>
    <s v="66+"/>
    <x v="13"/>
    <m/>
    <m/>
    <m/>
    <m/>
    <m/>
    <m/>
  </r>
  <r>
    <s v="P00787"/>
    <s v="Arjun R"/>
    <n v="63"/>
    <s v="Male"/>
    <s v="Hyderabad"/>
    <x v="1"/>
    <x v="5"/>
    <s v="Asthma"/>
    <s v="Emergency"/>
    <d v="2025-06-09T00:00:00"/>
    <d v="2025-11-09T00:00:00"/>
    <n v="5"/>
    <x v="3"/>
    <s v="ECG"/>
    <n v="60396.3"/>
    <n v="3"/>
    <s v="Transferred"/>
    <s v="51-65"/>
    <x v="10"/>
    <m/>
    <m/>
    <m/>
    <m/>
    <m/>
    <m/>
  </r>
  <r>
    <s v="P00788"/>
    <s v="Priya R"/>
    <n v="22"/>
    <s v="Other"/>
    <s v="Bengaluru"/>
    <x v="1"/>
    <x v="4"/>
    <s v="Skin Infection"/>
    <s v="Emergency"/>
    <d v="2024-09-19T00:00:00"/>
    <d v="2024-09-26T00:00:00"/>
    <n v="7"/>
    <x v="2"/>
    <s v="ECG"/>
    <n v="32910.04"/>
    <n v="5"/>
    <s v="Left Against Medical Advice"/>
    <s v="18-35"/>
    <x v="13"/>
    <m/>
    <m/>
    <m/>
    <m/>
    <m/>
    <m/>
  </r>
  <r>
    <s v="P00789"/>
    <s v="Aditya Iyer"/>
    <n v="26"/>
    <s v="Female"/>
    <s v="Pune"/>
    <x v="3"/>
    <x v="7"/>
    <s v="Diabetes"/>
    <s v="Elective"/>
    <d v="2025-06-14T00:00:00"/>
    <d v="2025-06-18T00:00:00"/>
    <n v="4"/>
    <x v="4"/>
    <s v="Ultrasound"/>
    <n v="72815.92"/>
    <n v="3"/>
    <s v="Referred"/>
    <s v="18-35"/>
    <x v="10"/>
    <m/>
    <m/>
    <m/>
    <m/>
    <m/>
    <m/>
  </r>
  <r>
    <s v="P00790"/>
    <s v="Priya Sharma"/>
    <n v="57"/>
    <s v="Other"/>
    <s v="Mumbai"/>
    <x v="1"/>
    <x v="3"/>
    <s v="Diabetes"/>
    <s v="Emergency"/>
    <d v="2024-12-02T00:00:00"/>
    <d v="2024-02-13T00:00:00"/>
    <n v="1"/>
    <x v="2"/>
    <s v="CT Scan"/>
    <n v="109920.79"/>
    <n v="4"/>
    <s v="Left Against Medical Advice"/>
    <s v="51-65"/>
    <x v="8"/>
    <m/>
    <m/>
    <m/>
    <m/>
    <m/>
    <m/>
  </r>
  <r>
    <s v="P00791"/>
    <s v="Ishita Devi"/>
    <n v="20"/>
    <s v="Male"/>
    <s v="Kochi"/>
    <x v="0"/>
    <x v="3"/>
    <s v="Kidney Disease"/>
    <s v="Emergency"/>
    <d v="2025-01-06T00:00:00"/>
    <d v="2025-03-06T00:00:00"/>
    <n v="2"/>
    <x v="0"/>
    <s v="MRI"/>
    <n v="22107.39"/>
    <n v="5"/>
    <s v="Home"/>
    <s v="18-35"/>
    <x v="22"/>
    <m/>
    <m/>
    <m/>
    <m/>
    <m/>
    <m/>
  </r>
  <r>
    <s v="P00792"/>
    <s v="Sathya Kumar"/>
    <n v="15"/>
    <s v="Other"/>
    <s v="Pune"/>
    <x v="4"/>
    <x v="6"/>
    <s v="Migraine"/>
    <s v="Urgent"/>
    <d v="2024-07-03T00:00:00"/>
    <d v="2024-11-03T00:00:00"/>
    <n v="4"/>
    <x v="2"/>
    <s v="None"/>
    <n v="51885.78"/>
    <n v="2"/>
    <s v="Left Against Medical Advice"/>
    <s v="Under 18"/>
    <x v="12"/>
    <m/>
    <m/>
    <m/>
    <m/>
    <m/>
    <m/>
  </r>
  <r>
    <s v="P00793"/>
    <s v="Ishita Reddy"/>
    <n v="73"/>
    <s v="Female"/>
    <s v="Delhi"/>
    <x v="2"/>
    <x v="1"/>
    <s v="Kidney Disease"/>
    <s v="Emergency"/>
    <d v="2024-08-17T00:00:00"/>
    <d v="2024-08-18T00:00:00"/>
    <n v="1"/>
    <x v="4"/>
    <s v="ECG"/>
    <n v="143166.21"/>
    <n v="3"/>
    <s v="Transferred"/>
    <s v="66+"/>
    <x v="3"/>
    <m/>
    <m/>
    <m/>
    <m/>
    <m/>
    <m/>
  </r>
  <r>
    <s v="P00794"/>
    <s v="Priya Sharma"/>
    <n v="45"/>
    <s v="Other"/>
    <s v="Mumbai"/>
    <x v="2"/>
    <x v="6"/>
    <s v="Fracture"/>
    <s v="Emergency"/>
    <d v="2025-10-04T00:00:00"/>
    <d v="2025-04-14T00:00:00"/>
    <n v="4"/>
    <x v="4"/>
    <s v="None"/>
    <n v="79390.28"/>
    <n v="5"/>
    <s v="Transferred"/>
    <s v="36-50"/>
    <x v="17"/>
    <m/>
    <m/>
    <m/>
    <m/>
    <m/>
    <m/>
  </r>
  <r>
    <s v="P00795"/>
    <s v="Karthik Reddy"/>
    <n v="19"/>
    <s v="Female"/>
    <s v="Pune"/>
    <x v="1"/>
    <x v="7"/>
    <s v="Pneumonia"/>
    <s v="Elective"/>
    <d v="2025-04-15T00:00:00"/>
    <d v="2025-04-22T00:00:00"/>
    <n v="7"/>
    <x v="4"/>
    <s v="CT Scan"/>
    <n v="21126.77"/>
    <n v="4"/>
    <s v="Left Against Medical Advice"/>
    <s v="18-35"/>
    <x v="5"/>
    <m/>
    <m/>
    <m/>
    <m/>
    <m/>
    <m/>
  </r>
  <r>
    <s v="P00796"/>
    <s v="Karthik Nair"/>
    <n v="60"/>
    <s v="Male"/>
    <s v="Delhi"/>
    <x v="3"/>
    <x v="7"/>
    <s v="Heart Disease"/>
    <s v="Elective"/>
    <d v="2024-11-12T00:00:00"/>
    <d v="2024-12-17T00:00:00"/>
    <n v="6"/>
    <x v="1"/>
    <s v="Ultrasound"/>
    <n v="27838.03"/>
    <n v="3"/>
    <s v="Transferred"/>
    <s v="51-65"/>
    <x v="21"/>
    <m/>
    <m/>
    <m/>
    <m/>
    <m/>
    <m/>
  </r>
  <r>
    <s v="P00797"/>
    <s v="Kavya Sharma"/>
    <n v="28"/>
    <s v="Male"/>
    <s v="Pune"/>
    <x v="3"/>
    <x v="4"/>
    <s v="No Chronic Condition"/>
    <s v="Elective"/>
    <d v="2024-05-24T00:00:00"/>
    <d v="2024-05-25T00:00:00"/>
    <n v="1"/>
    <x v="3"/>
    <s v="CT Scan"/>
    <n v="42084.6"/>
    <n v="3"/>
    <s v="Home"/>
    <s v="18-35"/>
    <x v="23"/>
    <m/>
    <m/>
    <m/>
    <m/>
    <m/>
    <m/>
  </r>
  <r>
    <s v="P00798"/>
    <s v="Kavya Singh"/>
    <n v="89"/>
    <s v="Female"/>
    <s v="Coimbatore"/>
    <x v="2"/>
    <x v="6"/>
    <s v="Pneumonia"/>
    <s v="Emergency"/>
    <d v="2025-01-30T00:00:00"/>
    <d v="2025-05-02T00:00:00"/>
    <n v="6"/>
    <x v="4"/>
    <s v="MRI"/>
    <n v="103682.34"/>
    <n v="3"/>
    <s v="Home"/>
    <s v="66+"/>
    <x v="22"/>
    <m/>
    <m/>
    <m/>
    <m/>
    <m/>
    <m/>
  </r>
  <r>
    <s v="P00799"/>
    <s v="Karthik Sharma"/>
    <n v="87"/>
    <s v="Female"/>
    <s v="Coimbatore"/>
    <x v="5"/>
    <x v="1"/>
    <s v="Migraine"/>
    <s v="Emergency"/>
    <d v="2024-07-03T00:00:00"/>
    <d v="2024-08-03T00:00:00"/>
    <n v="1"/>
    <x v="1"/>
    <s v="ECG"/>
    <n v="110020.85"/>
    <n v="5"/>
    <s v="Transferred"/>
    <s v="66+"/>
    <x v="12"/>
    <m/>
    <m/>
    <m/>
    <m/>
    <m/>
    <m/>
  </r>
  <r>
    <s v="P00800"/>
    <s v="Sanjay Reddy"/>
    <n v="75"/>
    <s v="Male"/>
    <s v="Bengaluru"/>
    <x v="3"/>
    <x v="0"/>
    <s v="Skin Infection"/>
    <s v="Urgent"/>
    <d v="2025-01-05T00:00:00"/>
    <d v="2025-08-05T00:00:00"/>
    <n v="7"/>
    <x v="4"/>
    <s v="X-Ray"/>
    <n v="23666.31"/>
    <n v="5"/>
    <s v="Left Against Medical Advice"/>
    <s v="66+"/>
    <x v="22"/>
    <m/>
    <m/>
    <m/>
    <m/>
    <m/>
    <m/>
  </r>
  <r>
    <s v="P00801"/>
    <s v="Aarav Nair"/>
    <n v="90"/>
    <s v="Male"/>
    <s v="Delhi"/>
    <x v="3"/>
    <x v="1"/>
    <s v="Asthma"/>
    <s v="Urgent"/>
    <d v="2025-07-12T00:00:00"/>
    <d v="2025-08-12T00:00:00"/>
    <n v="1"/>
    <x v="3"/>
    <s v="CT Scan"/>
    <n v="123958.05"/>
    <n v="4"/>
    <s v="Home"/>
    <s v="66+"/>
    <x v="16"/>
    <m/>
    <m/>
    <m/>
    <m/>
    <m/>
    <m/>
  </r>
  <r>
    <s v="P00802"/>
    <s v="Rohan R"/>
    <n v="63"/>
    <s v="Other"/>
    <s v="Coimbatore"/>
    <x v="2"/>
    <x v="3"/>
    <s v="Hypertension"/>
    <s v="Elective"/>
    <d v="2025-03-08T00:00:00"/>
    <d v="2025-08-16T00:00:00"/>
    <n v="13"/>
    <x v="1"/>
    <s v="Ultrasound"/>
    <n v="54914.77"/>
    <n v="4"/>
    <s v="Home"/>
    <s v="51-65"/>
    <x v="14"/>
    <m/>
    <m/>
    <m/>
    <m/>
    <m/>
    <m/>
  </r>
  <r>
    <s v="P00803"/>
    <s v="Rahul Kumar"/>
    <n v="46"/>
    <s v="Other"/>
    <s v="Delhi"/>
    <x v="5"/>
    <x v="6"/>
    <s v="Migraine"/>
    <s v="Emergency"/>
    <d v="2025-05-21T00:00:00"/>
    <d v="2025-05-26T00:00:00"/>
    <n v="5"/>
    <x v="2"/>
    <s v="Ultrasound"/>
    <n v="101782.94"/>
    <n v="3"/>
    <s v="Referred"/>
    <s v="36-50"/>
    <x v="4"/>
    <m/>
    <m/>
    <m/>
    <m/>
    <m/>
    <m/>
  </r>
  <r>
    <s v="P00804"/>
    <s v="Ishita Kumar"/>
    <n v="90"/>
    <s v="Male"/>
    <s v="Salem"/>
    <x v="4"/>
    <x v="5"/>
    <s v="Hypertension"/>
    <s v="Elective"/>
    <d v="2024-09-26T00:00:00"/>
    <d v="2024-09-28T00:00:00"/>
    <n v="2"/>
    <x v="4"/>
    <s v="X-Ray"/>
    <n v="36303.08"/>
    <n v="1"/>
    <s v="Left Against Medical Advice"/>
    <s v="66+"/>
    <x v="13"/>
    <m/>
    <m/>
    <m/>
    <m/>
    <m/>
    <m/>
  </r>
  <r>
    <s v="P00805"/>
    <s v="Nisha Nair"/>
    <n v="49"/>
    <s v="Male"/>
    <s v="Hyderabad"/>
    <x v="5"/>
    <x v="3"/>
    <s v="Migraine"/>
    <s v="Urgent"/>
    <d v="2024-06-02T00:00:00"/>
    <d v="2024-12-02T00:00:00"/>
    <n v="6"/>
    <x v="1"/>
    <s v="ECG"/>
    <n v="139017.82"/>
    <n v="5"/>
    <s v="Referred"/>
    <s v="36-50"/>
    <x v="9"/>
    <m/>
    <m/>
    <m/>
    <m/>
    <m/>
    <m/>
  </r>
  <r>
    <s v="P00806"/>
    <s v="Aarav Sharma"/>
    <n v="63"/>
    <s v="Male"/>
    <s v="Bengaluru"/>
    <x v="0"/>
    <x v="0"/>
    <s v="Migraine"/>
    <s v="Emergency"/>
    <d v="2024-09-30T00:00:00"/>
    <d v="2024-10-15T00:00:00"/>
    <n v="15"/>
    <x v="3"/>
    <s v="MRI"/>
    <n v="93609.97"/>
    <n v="5"/>
    <s v="Home"/>
    <s v="51-65"/>
    <x v="13"/>
    <m/>
    <m/>
    <m/>
    <m/>
    <m/>
    <m/>
  </r>
  <r>
    <s v="P00807"/>
    <s v="Pooja Nair"/>
    <n v="20"/>
    <s v="Other"/>
    <s v="Bengaluru"/>
    <x v="3"/>
    <x v="0"/>
    <s v="Asthma"/>
    <s v="Emergency"/>
    <d v="2024-08-30T00:00:00"/>
    <d v="2024-08-31T00:00:00"/>
    <n v="1"/>
    <x v="2"/>
    <s v="Ultrasound"/>
    <n v="54541.11"/>
    <n v="5"/>
    <s v="Referred"/>
    <s v="18-35"/>
    <x v="3"/>
    <m/>
    <m/>
    <m/>
    <m/>
    <m/>
    <m/>
  </r>
  <r>
    <s v="P00808"/>
    <s v="Aditya Reddy"/>
    <n v="26"/>
    <s v="Other"/>
    <s v="Mumbai"/>
    <x v="2"/>
    <x v="1"/>
    <s v="Pneumonia"/>
    <s v="Urgent"/>
    <d v="2024-03-24T00:00:00"/>
    <d v="2024-03-25T00:00:00"/>
    <n v="1"/>
    <x v="3"/>
    <s v="CT Scan"/>
    <n v="98382.46"/>
    <n v="2"/>
    <s v="Referred"/>
    <s v="18-35"/>
    <x v="18"/>
    <m/>
    <m/>
    <m/>
    <m/>
    <m/>
    <m/>
  </r>
  <r>
    <s v="P00809"/>
    <s v="Karthik Devi"/>
    <n v="64"/>
    <s v="Other"/>
    <s v="Hyderabad"/>
    <x v="3"/>
    <x v="1"/>
    <s v="Kidney Disease"/>
    <s v="Urgent"/>
    <d v="2025-12-24T00:00:00"/>
    <d v="2025-12-28T00:00:00"/>
    <n v="4"/>
    <x v="3"/>
    <s v="Ultrasound"/>
    <n v="30744.57"/>
    <n v="3"/>
    <s v="Home"/>
    <s v="51-65"/>
    <x v="1"/>
    <m/>
    <m/>
    <m/>
    <m/>
    <m/>
    <m/>
  </r>
  <r>
    <s v="P00810"/>
    <s v="Ananya Reddy"/>
    <n v="90"/>
    <s v="Female"/>
    <s v="Kochi"/>
    <x v="2"/>
    <x v="7"/>
    <s v="Asthma"/>
    <s v="Elective"/>
    <d v="2024-11-07T00:00:00"/>
    <d v="2024-07-22T00:00:00"/>
    <n v="11"/>
    <x v="3"/>
    <s v="CT Scan"/>
    <n v="51013.45"/>
    <n v="5"/>
    <s v="Transferred"/>
    <s v="66+"/>
    <x v="21"/>
    <m/>
    <m/>
    <m/>
    <m/>
    <m/>
    <m/>
  </r>
  <r>
    <s v="P00811"/>
    <s v="Aditya Singh"/>
    <n v="45"/>
    <s v="Other"/>
    <s v="Mumbai"/>
    <x v="2"/>
    <x v="4"/>
    <s v="Fracture"/>
    <s v="Emergency"/>
    <d v="2024-03-09T00:00:00"/>
    <d v="2024-04-09T00:00:00"/>
    <n v="1"/>
    <x v="0"/>
    <s v="None"/>
    <n v="67063.69"/>
    <n v="2"/>
    <s v="Left Against Medical Advice"/>
    <s v="36-50"/>
    <x v="18"/>
    <m/>
    <m/>
    <m/>
    <m/>
    <m/>
    <m/>
  </r>
  <r>
    <s v="P00812"/>
    <s v="Kavya Singh"/>
    <n v="11"/>
    <s v="Other"/>
    <s v="Mumbai"/>
    <x v="2"/>
    <x v="3"/>
    <s v="No Chronic Condition"/>
    <s v="Elective"/>
    <d v="2025-01-04T00:00:00"/>
    <d v="2025-03-04T00:00:00"/>
    <n v="2"/>
    <x v="1"/>
    <s v="CT Scan"/>
    <n v="77456.81"/>
    <n v="3"/>
    <s v="Transferred"/>
    <s v="Under 18"/>
    <x v="22"/>
    <m/>
    <m/>
    <m/>
    <m/>
    <m/>
    <m/>
  </r>
  <r>
    <s v="P00813"/>
    <s v="Divya Singh"/>
    <n v="63"/>
    <s v="Male"/>
    <s v="Delhi"/>
    <x v="1"/>
    <x v="1"/>
    <s v="Migraine"/>
    <s v="Emergency"/>
    <d v="2025-07-13T00:00:00"/>
    <d v="2025-07-15T00:00:00"/>
    <n v="2"/>
    <x v="3"/>
    <s v="Ultrasound"/>
    <n v="83484.69"/>
    <n v="4"/>
    <s v="Left Against Medical Advice"/>
    <s v="51-65"/>
    <x v="16"/>
    <m/>
    <m/>
    <m/>
    <m/>
    <m/>
    <m/>
  </r>
  <r>
    <s v="P00814"/>
    <s v="Sanjay Sharma"/>
    <n v="54"/>
    <s v="Female"/>
    <s v="Salem"/>
    <x v="0"/>
    <x v="6"/>
    <s v="Pneumonia"/>
    <s v="Emergency"/>
    <d v="2024-05-22T00:00:00"/>
    <d v="2024-05-25T00:00:00"/>
    <n v="3"/>
    <x v="2"/>
    <s v="Blood Test"/>
    <n v="61564.46"/>
    <n v="5"/>
    <s v="Left Against Medical Advice"/>
    <s v="51-65"/>
    <x v="23"/>
    <m/>
    <m/>
    <m/>
    <m/>
    <m/>
    <m/>
  </r>
  <r>
    <s v="P00815"/>
    <s v="Karthik Singh"/>
    <n v="61"/>
    <s v="Female"/>
    <s v="Salem"/>
    <x v="2"/>
    <x v="6"/>
    <s v="Fracture"/>
    <s v="Elective"/>
    <d v="2024-04-10T00:00:00"/>
    <d v="2024-06-10T00:00:00"/>
    <n v="2"/>
    <x v="4"/>
    <s v="CT Scan"/>
    <n v="142856.69"/>
    <n v="3"/>
    <s v="Referred"/>
    <s v="51-65"/>
    <x v="6"/>
    <m/>
    <m/>
    <m/>
    <m/>
    <m/>
    <m/>
  </r>
  <r>
    <s v="P00816"/>
    <s v="Karthik Reddy"/>
    <n v="63"/>
    <s v="Other"/>
    <s v="Delhi"/>
    <x v="4"/>
    <x v="4"/>
    <s v="Asthma"/>
    <s v="Elective"/>
    <d v="2024-02-03T00:00:00"/>
    <d v="2024-04-03T00:00:00"/>
    <n v="2"/>
    <x v="3"/>
    <s v="MRI"/>
    <n v="29166.13"/>
    <n v="5"/>
    <s v="Transferred"/>
    <s v="51-65"/>
    <x v="2"/>
    <m/>
    <m/>
    <m/>
    <m/>
    <m/>
    <m/>
  </r>
  <r>
    <s v="P00817"/>
    <s v="Rohan Nair"/>
    <n v="88"/>
    <s v="Other"/>
    <s v="Salem"/>
    <x v="1"/>
    <x v="4"/>
    <s v="Migraine"/>
    <s v="Emergency"/>
    <d v="2025-03-15T00:00:00"/>
    <d v="2025-03-16T00:00:00"/>
    <n v="1"/>
    <x v="2"/>
    <s v="CT Scan"/>
    <n v="64907.24"/>
    <n v="5"/>
    <s v="Transferred"/>
    <s v="66+"/>
    <x v="14"/>
    <m/>
    <m/>
    <m/>
    <m/>
    <m/>
    <m/>
  </r>
  <r>
    <s v="P00818"/>
    <s v="Kavya Iyer"/>
    <n v="54"/>
    <s v="Female"/>
    <s v="Hyderabad"/>
    <x v="5"/>
    <x v="3"/>
    <s v="Kidney Disease"/>
    <s v="Urgent"/>
    <d v="2024-02-08T00:00:00"/>
    <d v="2024-08-08T00:00:00"/>
    <n v="6"/>
    <x v="0"/>
    <s v="X-Ray"/>
    <n v="118007.66"/>
    <n v="4"/>
    <s v="Referred"/>
    <s v="51-65"/>
    <x v="2"/>
    <m/>
    <m/>
    <m/>
    <m/>
    <m/>
    <m/>
  </r>
  <r>
    <s v="P00819"/>
    <s v="Priya R"/>
    <n v="32"/>
    <s v="Male"/>
    <s v="Delhi"/>
    <x v="1"/>
    <x v="5"/>
    <s v="Kidney Disease"/>
    <s v="Emergency"/>
    <d v="2025-07-30T00:00:00"/>
    <d v="2025-07-31T00:00:00"/>
    <n v="1"/>
    <x v="1"/>
    <s v="Ultrasound"/>
    <n v="55989.78"/>
    <n v="5"/>
    <s v="Referred"/>
    <s v="18-35"/>
    <x v="16"/>
    <m/>
    <m/>
    <m/>
    <m/>
    <m/>
    <m/>
  </r>
  <r>
    <s v="P00820"/>
    <s v="Manoj Iyer"/>
    <n v="47"/>
    <s v="Female"/>
    <s v="Coimbatore"/>
    <x v="3"/>
    <x v="6"/>
    <s v="Fracture"/>
    <s v="Urgent"/>
    <d v="2025-04-30T00:00:00"/>
    <d v="2025-03-05T00:00:00"/>
    <n v="3"/>
    <x v="2"/>
    <s v="MRI"/>
    <n v="133903.56"/>
    <n v="3"/>
    <s v="Home"/>
    <s v="36-50"/>
    <x v="5"/>
    <m/>
    <m/>
    <m/>
    <m/>
    <m/>
    <m/>
  </r>
  <r>
    <s v="P00821"/>
    <s v="Nisha R"/>
    <n v="25"/>
    <s v="Other"/>
    <s v="Mumbai"/>
    <x v="1"/>
    <x v="1"/>
    <s v="Fracture"/>
    <s v="Emergency"/>
    <d v="2025-05-31T00:00:00"/>
    <d v="2025-02-06T00:00:00"/>
    <n v="2"/>
    <x v="4"/>
    <s v="Ultrasound"/>
    <n v="41288.559999999998"/>
    <n v="1"/>
    <s v="Left Against Medical Advice"/>
    <s v="18-35"/>
    <x v="4"/>
    <m/>
    <m/>
    <m/>
    <m/>
    <m/>
    <m/>
  </r>
  <r>
    <s v="P00822"/>
    <s v="Aarav R"/>
    <n v="72"/>
    <s v="Female"/>
    <s v="Chennai"/>
    <x v="5"/>
    <x v="5"/>
    <s v="Fracture"/>
    <s v="Urgent"/>
    <d v="2025-08-31T00:00:00"/>
    <d v="2025-02-09T00:00:00"/>
    <n v="2"/>
    <x v="4"/>
    <s v="MRI"/>
    <n v="23891.78"/>
    <n v="3"/>
    <s v="Referred"/>
    <s v="66+"/>
    <x v="19"/>
    <m/>
    <m/>
    <m/>
    <m/>
    <m/>
    <m/>
  </r>
  <r>
    <s v="P00823"/>
    <s v="Ananya Nair"/>
    <n v="41"/>
    <s v="Other"/>
    <s v="Salem"/>
    <x v="3"/>
    <x v="3"/>
    <s v="Pneumonia"/>
    <s v="Emergency"/>
    <d v="2025-01-19T00:00:00"/>
    <d v="2025-01-20T00:00:00"/>
    <n v="1"/>
    <x v="0"/>
    <s v="Blood Test"/>
    <n v="43783.64"/>
    <n v="5"/>
    <s v="Referred"/>
    <s v="36-50"/>
    <x v="22"/>
    <m/>
    <m/>
    <m/>
    <m/>
    <m/>
    <m/>
  </r>
  <r>
    <s v="P00824"/>
    <s v="Kavya R"/>
    <n v="64"/>
    <s v="Female"/>
    <s v="Pune"/>
    <x v="5"/>
    <x v="7"/>
    <s v="Hypertension"/>
    <s v="Emergency"/>
    <d v="2024-10-03T00:00:00"/>
    <d v="2024-11-03T00:00:00"/>
    <n v="1"/>
    <x v="4"/>
    <s v="CT Scan"/>
    <n v="67090.149999999994"/>
    <n v="5"/>
    <s v="Home"/>
    <s v="51-65"/>
    <x v="20"/>
    <m/>
    <m/>
    <m/>
    <m/>
    <m/>
    <m/>
  </r>
  <r>
    <s v="P00825"/>
    <s v="Priya Iyer"/>
    <n v="68"/>
    <s v="Male"/>
    <s v="Coimbatore"/>
    <x v="4"/>
    <x v="0"/>
    <s v="Heart Disease"/>
    <s v="Urgent"/>
    <d v="2025-10-19T00:00:00"/>
    <d v="2025-10-25T00:00:00"/>
    <n v="6"/>
    <x v="0"/>
    <s v="Blood Test"/>
    <n v="44740.36"/>
    <n v="2"/>
    <s v="Home"/>
    <s v="66+"/>
    <x v="17"/>
    <m/>
    <m/>
    <m/>
    <m/>
    <m/>
    <m/>
  </r>
  <r>
    <s v="P00826"/>
    <s v="Kavya Nair"/>
    <n v="83"/>
    <s v="Other"/>
    <s v="Pune"/>
    <x v="2"/>
    <x v="7"/>
    <s v="Asthma"/>
    <s v="Urgent"/>
    <d v="2024-08-18T00:00:00"/>
    <d v="2024-08-19T00:00:00"/>
    <n v="1"/>
    <x v="4"/>
    <s v="Blood Test"/>
    <n v="81672.73"/>
    <n v="3"/>
    <s v="Transferred"/>
    <s v="66+"/>
    <x v="3"/>
    <m/>
    <m/>
    <m/>
    <m/>
    <m/>
    <m/>
  </r>
  <r>
    <s v="P00827"/>
    <s v="Aarav Nair"/>
    <n v="64"/>
    <s v="Female"/>
    <s v="Bengaluru"/>
    <x v="3"/>
    <x v="1"/>
    <s v="Heart Disease"/>
    <s v="Elective"/>
    <d v="2025-11-16T00:00:00"/>
    <d v="2025-11-22T00:00:00"/>
    <n v="6"/>
    <x v="0"/>
    <s v="None"/>
    <n v="76401"/>
    <n v="4"/>
    <s v="Referred"/>
    <s v="51-65"/>
    <x v="11"/>
    <m/>
    <m/>
    <m/>
    <m/>
    <m/>
    <m/>
  </r>
  <r>
    <s v="P00828"/>
    <s v="Sanjay Iyer"/>
    <n v="51"/>
    <s v="Female"/>
    <s v="Salem"/>
    <x v="5"/>
    <x v="4"/>
    <s v="Fracture"/>
    <s v="Elective"/>
    <d v="2024-04-06T00:00:00"/>
    <d v="2024-05-06T00:00:00"/>
    <n v="1"/>
    <x v="3"/>
    <s v="MRI"/>
    <n v="52607.18"/>
    <n v="4"/>
    <s v="Transferred"/>
    <s v="51-65"/>
    <x v="6"/>
    <m/>
    <m/>
    <m/>
    <m/>
    <m/>
    <m/>
  </r>
  <r>
    <s v="P00829"/>
    <s v="Arjun Iyer"/>
    <n v="51"/>
    <s v="Female"/>
    <s v="Coimbatore"/>
    <x v="3"/>
    <x v="2"/>
    <s v="Heart Disease"/>
    <s v="Urgent"/>
    <d v="2025-10-28T00:00:00"/>
    <d v="2025-10-31T00:00:00"/>
    <n v="3"/>
    <x v="1"/>
    <s v="None"/>
    <n v="25492.74"/>
    <n v="2"/>
    <s v="Referred"/>
    <s v="51-65"/>
    <x v="17"/>
    <m/>
    <m/>
    <m/>
    <m/>
    <m/>
    <m/>
  </r>
  <r>
    <s v="P00830"/>
    <s v="Karthik Sharma"/>
    <n v="76"/>
    <s v="Male"/>
    <s v="Mumbai"/>
    <x v="0"/>
    <x v="4"/>
    <s v="Heart Disease"/>
    <s v="Elective"/>
    <d v="2025-04-01T00:00:00"/>
    <d v="2025-05-01T00:00:00"/>
    <n v="1"/>
    <x v="4"/>
    <s v="Ultrasound"/>
    <n v="49310.25"/>
    <n v="3"/>
    <s v="Transferred"/>
    <s v="66+"/>
    <x v="5"/>
    <m/>
    <m/>
    <m/>
    <m/>
    <m/>
    <m/>
  </r>
  <r>
    <s v="P00831"/>
    <s v="Aarav Kumar"/>
    <n v="59"/>
    <s v="Male"/>
    <s v="Chennai"/>
    <x v="5"/>
    <x v="7"/>
    <s v="Hypertension"/>
    <s v="Emergency"/>
    <d v="2025-08-09T00:00:00"/>
    <d v="2025-09-13T00:00:00"/>
    <n v="5"/>
    <x v="1"/>
    <s v="CT Scan"/>
    <n v="56995.03"/>
    <n v="5"/>
    <s v="Left Against Medical Advice"/>
    <s v="51-65"/>
    <x v="19"/>
    <m/>
    <m/>
    <m/>
    <m/>
    <m/>
    <m/>
  </r>
  <r>
    <s v="P00832"/>
    <s v="Aarav Devi"/>
    <n v="73"/>
    <s v="Female"/>
    <s v="Chennai"/>
    <x v="4"/>
    <x v="2"/>
    <s v="Migraine"/>
    <s v="Elective"/>
    <d v="2024-09-04T00:00:00"/>
    <d v="2024-12-04T00:00:00"/>
    <n v="3"/>
    <x v="3"/>
    <s v="MRI"/>
    <n v="17555.259999999998"/>
    <n v="4"/>
    <s v="Left Against Medical Advice"/>
    <s v="66+"/>
    <x v="13"/>
    <m/>
    <m/>
    <m/>
    <m/>
    <m/>
    <m/>
  </r>
  <r>
    <s v="P00833"/>
    <s v="Deepa Devi"/>
    <n v="27"/>
    <s v="Female"/>
    <s v="Madurai"/>
    <x v="4"/>
    <x v="6"/>
    <s v="Diabetes"/>
    <s v="Urgent"/>
    <d v="2025-10-13T00:00:00"/>
    <d v="2025-10-25T00:00:00"/>
    <n v="12"/>
    <x v="0"/>
    <s v="CT Scan"/>
    <n v="46814.89"/>
    <n v="4"/>
    <s v="Home"/>
    <s v="18-35"/>
    <x v="17"/>
    <m/>
    <m/>
    <m/>
    <m/>
    <m/>
    <m/>
  </r>
  <r>
    <s v="P00834"/>
    <s v="Aarav Kumar"/>
    <n v="89"/>
    <s v="Female"/>
    <s v="Bengaluru"/>
    <x v="5"/>
    <x v="1"/>
    <s v="Kidney Disease"/>
    <s v="Urgent"/>
    <d v="2024-08-08T00:00:00"/>
    <d v="2024-11-08T00:00:00"/>
    <n v="3"/>
    <x v="1"/>
    <s v="Ultrasound"/>
    <n v="70548.13"/>
    <n v="3"/>
    <s v="Left Against Medical Advice"/>
    <s v="66+"/>
    <x v="3"/>
    <m/>
    <m/>
    <m/>
    <m/>
    <m/>
    <m/>
  </r>
  <r>
    <s v="P00835"/>
    <s v="Vivaan Reddy"/>
    <n v="26"/>
    <s v="Male"/>
    <s v="Kochi"/>
    <x v="2"/>
    <x v="7"/>
    <s v="Kidney Disease"/>
    <s v="Elective"/>
    <d v="2024-01-25T00:00:00"/>
    <d v="2024-01-27T00:00:00"/>
    <n v="2"/>
    <x v="3"/>
    <s v="Ultrasound"/>
    <n v="71155.839999999997"/>
    <n v="5"/>
    <s v="Home"/>
    <s v="18-35"/>
    <x v="0"/>
    <m/>
    <m/>
    <m/>
    <m/>
    <m/>
    <m/>
  </r>
  <r>
    <s v="P00836"/>
    <s v="Rohan Nair"/>
    <n v="37"/>
    <s v="Male"/>
    <s v="Mumbai"/>
    <x v="1"/>
    <x v="6"/>
    <s v="Migraine"/>
    <s v="Emergency"/>
    <d v="2024-03-31T00:00:00"/>
    <d v="2024-03-04T00:00:00"/>
    <n v="3"/>
    <x v="0"/>
    <s v="CT Scan"/>
    <n v="92168.21"/>
    <n v="4"/>
    <s v="Transferred"/>
    <s v="36-50"/>
    <x v="18"/>
    <m/>
    <m/>
    <m/>
    <m/>
    <m/>
    <m/>
  </r>
  <r>
    <s v="P00837"/>
    <s v="Aditya Devi"/>
    <n v="60"/>
    <s v="Male"/>
    <s v="Hyderabad"/>
    <x v="5"/>
    <x v="5"/>
    <s v="Skin Infection"/>
    <s v="Elective"/>
    <d v="2024-10-26T00:00:00"/>
    <d v="2024-04-11T00:00:00"/>
    <n v="9"/>
    <x v="4"/>
    <s v="CT Scan"/>
    <n v="52214.1"/>
    <n v="5"/>
    <s v="Referred"/>
    <s v="51-65"/>
    <x v="20"/>
    <m/>
    <m/>
    <m/>
    <m/>
    <m/>
    <m/>
  </r>
  <r>
    <s v="P00838"/>
    <s v="Divya R"/>
    <n v="6"/>
    <s v="Male"/>
    <s v="Pune"/>
    <x v="4"/>
    <x v="6"/>
    <s v="No Chronic Condition"/>
    <s v="Urgent"/>
    <d v="2025-02-06T00:00:00"/>
    <d v="2025-03-06T00:00:00"/>
    <n v="1"/>
    <x v="0"/>
    <s v="Blood Test"/>
    <n v="42919.93"/>
    <n v="3"/>
    <s v="Home"/>
    <s v="Under 18"/>
    <x v="15"/>
    <m/>
    <m/>
    <m/>
    <m/>
    <m/>
    <m/>
  </r>
  <r>
    <s v="P00839"/>
    <s v="Meera Reddy"/>
    <n v="74"/>
    <s v="Female"/>
    <s v="Kochi"/>
    <x v="2"/>
    <x v="7"/>
    <s v="Migraine"/>
    <s v="Elective"/>
    <d v="2024-09-17T00:00:00"/>
    <d v="2024-09-23T00:00:00"/>
    <n v="6"/>
    <x v="3"/>
    <s v="ECG"/>
    <n v="47710.14"/>
    <n v="4"/>
    <s v="Transferred"/>
    <s v="66+"/>
    <x v="13"/>
    <m/>
    <m/>
    <m/>
    <m/>
    <m/>
    <m/>
  </r>
  <r>
    <s v="P00840"/>
    <s v="Arjun Singh"/>
    <n v="53"/>
    <s v="Other"/>
    <s v="Hyderabad"/>
    <x v="4"/>
    <x v="7"/>
    <s v="Diabetes"/>
    <s v="Urgent"/>
    <d v="2024-04-18T00:00:00"/>
    <d v="2024-04-24T00:00:00"/>
    <n v="6"/>
    <x v="1"/>
    <s v="X-Ray"/>
    <n v="77202.399999999994"/>
    <n v="5"/>
    <s v="Left Against Medical Advice"/>
    <s v="51-65"/>
    <x v="6"/>
    <m/>
    <m/>
    <m/>
    <m/>
    <m/>
    <m/>
  </r>
  <r>
    <s v="P00841"/>
    <s v="Aditya R"/>
    <n v="39"/>
    <s v="Female"/>
    <s v="Madurai"/>
    <x v="1"/>
    <x v="1"/>
    <s v="Diabetes"/>
    <s v="Emergency"/>
    <d v="2025-08-07T00:00:00"/>
    <d v="2025-09-07T00:00:00"/>
    <n v="1"/>
    <x v="4"/>
    <s v="MRI"/>
    <n v="18679.12"/>
    <n v="3"/>
    <s v="Left Against Medical Advice"/>
    <s v="36-50"/>
    <x v="19"/>
    <m/>
    <m/>
    <m/>
    <m/>
    <m/>
    <m/>
  </r>
  <r>
    <s v="P00842"/>
    <s v="Ishita Kumar"/>
    <n v="2"/>
    <s v="Other"/>
    <s v="Delhi"/>
    <x v="4"/>
    <x v="4"/>
    <s v="Pneumonia"/>
    <s v="Elective"/>
    <d v="2025-03-09T00:00:00"/>
    <d v="2025-06-09T00:00:00"/>
    <n v="3"/>
    <x v="1"/>
    <s v="MRI"/>
    <n v="57205.82"/>
    <n v="5"/>
    <s v="Home"/>
    <s v="Under 18"/>
    <x v="14"/>
    <m/>
    <m/>
    <m/>
    <m/>
    <m/>
    <m/>
  </r>
  <r>
    <s v="P00843"/>
    <s v="Lakshmi Kumar"/>
    <n v="33"/>
    <s v="Other"/>
    <s v="Pune"/>
    <x v="4"/>
    <x v="2"/>
    <s v="No Chronic Condition"/>
    <s v="Elective"/>
    <d v="2025-04-29T00:00:00"/>
    <d v="2025-07-05T00:00:00"/>
    <n v="8"/>
    <x v="2"/>
    <s v="CT Scan"/>
    <n v="71596.14"/>
    <n v="4"/>
    <s v="Transferred"/>
    <s v="18-35"/>
    <x v="5"/>
    <m/>
    <m/>
    <m/>
    <m/>
    <m/>
    <m/>
  </r>
  <r>
    <s v="P00844"/>
    <s v="Ishita Singh"/>
    <n v="70"/>
    <s v="Female"/>
    <s v="Chennai"/>
    <x v="5"/>
    <x v="0"/>
    <s v="Kidney Disease"/>
    <s v="Elective"/>
    <d v="2024-03-25T00:00:00"/>
    <d v="2024-01-04T00:00:00"/>
    <n v="7"/>
    <x v="0"/>
    <s v="None"/>
    <n v="39729.129999999997"/>
    <n v="4"/>
    <s v="Left Against Medical Advice"/>
    <s v="66+"/>
    <x v="18"/>
    <m/>
    <m/>
    <m/>
    <m/>
    <m/>
    <m/>
  </r>
  <r>
    <s v="P00845"/>
    <s v="Deepa Reddy"/>
    <n v="28"/>
    <s v="Other"/>
    <s v="Kochi"/>
    <x v="2"/>
    <x v="5"/>
    <s v="Hypertension"/>
    <s v="Urgent"/>
    <d v="2025-02-24T00:00:00"/>
    <d v="2025-07-03T00:00:00"/>
    <n v="11"/>
    <x v="2"/>
    <s v="MRI"/>
    <n v="60814.13"/>
    <n v="4"/>
    <s v="Home"/>
    <s v="18-35"/>
    <x v="15"/>
    <m/>
    <m/>
    <m/>
    <m/>
    <m/>
    <m/>
  </r>
  <r>
    <s v="P00846"/>
    <s v="Karthik Singh"/>
    <n v="90"/>
    <s v="Other"/>
    <s v="Delhi"/>
    <x v="0"/>
    <x v="3"/>
    <s v="Pneumonia"/>
    <s v="Emergency"/>
    <d v="2025-05-17T00:00:00"/>
    <d v="2025-05-18T00:00:00"/>
    <n v="1"/>
    <x v="4"/>
    <s v="None"/>
    <n v="26794.69"/>
    <n v="5"/>
    <s v="Referred"/>
    <s v="66+"/>
    <x v="4"/>
    <m/>
    <m/>
    <m/>
    <m/>
    <m/>
    <m/>
  </r>
  <r>
    <s v="P00847"/>
    <s v="Arjun R"/>
    <n v="49"/>
    <s v="Female"/>
    <s v="Hyderabad"/>
    <x v="0"/>
    <x v="5"/>
    <s v="Heart Disease"/>
    <s v="Emergency"/>
    <d v="2024-05-11T00:00:00"/>
    <d v="2024-07-11T00:00:00"/>
    <n v="2"/>
    <x v="0"/>
    <s v="ECG"/>
    <n v="64109.440000000002"/>
    <n v="5"/>
    <s v="Home"/>
    <s v="36-50"/>
    <x v="23"/>
    <m/>
    <m/>
    <m/>
    <m/>
    <m/>
    <m/>
  </r>
  <r>
    <s v="P00848"/>
    <s v="Manoj Reddy"/>
    <n v="57"/>
    <s v="Male"/>
    <s v="Bengaluru"/>
    <x v="4"/>
    <x v="3"/>
    <s v="Skin Infection"/>
    <s v="Emergency"/>
    <d v="2025-10-01T00:00:00"/>
    <d v="2025-01-13T00:00:00"/>
    <n v="3"/>
    <x v="1"/>
    <s v="Ultrasound"/>
    <n v="32138.71"/>
    <n v="3"/>
    <s v="Transferred"/>
    <s v="51-65"/>
    <x v="17"/>
    <m/>
    <m/>
    <m/>
    <m/>
    <m/>
    <m/>
  </r>
  <r>
    <s v="P00849"/>
    <s v="Karthik Singh"/>
    <n v="61"/>
    <s v="Male"/>
    <s v="Kochi"/>
    <x v="5"/>
    <x v="0"/>
    <s v="Diabetes"/>
    <s v="Urgent"/>
    <d v="2025-03-06T00:00:00"/>
    <d v="2025-06-18T00:00:00"/>
    <n v="15"/>
    <x v="1"/>
    <s v="CT Scan"/>
    <n v="29782.07"/>
    <n v="4"/>
    <s v="Home"/>
    <s v="51-65"/>
    <x v="14"/>
    <m/>
    <m/>
    <m/>
    <m/>
    <m/>
    <m/>
  </r>
  <r>
    <s v="P00850"/>
    <s v="Aarav R"/>
    <n v="85"/>
    <s v="Female"/>
    <s v="Kochi"/>
    <x v="2"/>
    <x v="2"/>
    <s v="Diabetes"/>
    <s v="Elective"/>
    <d v="2025-08-19T00:00:00"/>
    <d v="2025-08-21T00:00:00"/>
    <n v="2"/>
    <x v="0"/>
    <s v="ECG"/>
    <n v="39145.67"/>
    <n v="4"/>
    <s v="Home"/>
    <s v="66+"/>
    <x v="19"/>
    <m/>
    <m/>
    <m/>
    <m/>
    <m/>
    <m/>
  </r>
  <r>
    <s v="P00851"/>
    <s v="Sanjay Reddy"/>
    <n v="39"/>
    <s v="Female"/>
    <s v="Kochi"/>
    <x v="2"/>
    <x v="7"/>
    <s v="Kidney Disease"/>
    <s v="Urgent"/>
    <d v="2024-11-23T00:00:00"/>
    <d v="2024-04-12T00:00:00"/>
    <n v="11"/>
    <x v="0"/>
    <s v="None"/>
    <n v="58642.63"/>
    <n v="3"/>
    <s v="Home"/>
    <s v="36-50"/>
    <x v="21"/>
    <m/>
    <m/>
    <m/>
    <m/>
    <m/>
    <m/>
  </r>
  <r>
    <s v="P00852"/>
    <s v="Sanjay Iyer"/>
    <n v="19"/>
    <s v="Other"/>
    <s v="Pune"/>
    <x v="2"/>
    <x v="5"/>
    <s v="Skin Infection"/>
    <s v="Elective"/>
    <d v="2024-10-05T00:00:00"/>
    <d v="2024-11-05T00:00:00"/>
    <n v="1"/>
    <x v="3"/>
    <s v="None"/>
    <n v="84260.29"/>
    <n v="2"/>
    <s v="Transferred"/>
    <s v="18-35"/>
    <x v="20"/>
    <m/>
    <m/>
    <m/>
    <m/>
    <m/>
    <m/>
  </r>
  <r>
    <s v="P00853"/>
    <s v="Ishita Iyer"/>
    <n v="53"/>
    <s v="Female"/>
    <s v="Hyderabad"/>
    <x v="1"/>
    <x v="1"/>
    <s v="Heart Disease"/>
    <s v="Urgent"/>
    <d v="2025-03-18T00:00:00"/>
    <d v="2025-03-30T00:00:00"/>
    <n v="12"/>
    <x v="0"/>
    <s v="CT Scan"/>
    <n v="155453.45000000001"/>
    <n v="4"/>
    <s v="Referred"/>
    <s v="51-65"/>
    <x v="14"/>
    <m/>
    <m/>
    <m/>
    <m/>
    <m/>
    <m/>
  </r>
  <r>
    <s v="P00854"/>
    <s v="Rohan Kumar"/>
    <n v="31"/>
    <s v="Other"/>
    <s v="Mumbai"/>
    <x v="5"/>
    <x v="1"/>
    <s v="Pneumonia"/>
    <s v="Elective"/>
    <d v="2025-06-17T00:00:00"/>
    <d v="2025-06-21T00:00:00"/>
    <n v="4"/>
    <x v="1"/>
    <s v="CT Scan"/>
    <n v="21496.91"/>
    <n v="5"/>
    <s v="Transferred"/>
    <s v="18-35"/>
    <x v="10"/>
    <m/>
    <m/>
    <m/>
    <m/>
    <m/>
    <m/>
  </r>
  <r>
    <s v="P00855"/>
    <s v="Deepa Sharma"/>
    <n v="39"/>
    <s v="Other"/>
    <s v="Delhi"/>
    <x v="5"/>
    <x v="5"/>
    <s v="Skin Infection"/>
    <s v="Emergency"/>
    <d v="2025-11-09T00:00:00"/>
    <d v="2025-09-27T00:00:00"/>
    <n v="16"/>
    <x v="4"/>
    <s v="MRI"/>
    <n v="59510.61"/>
    <n v="5"/>
    <s v="Home"/>
    <s v="36-50"/>
    <x v="11"/>
    <m/>
    <m/>
    <m/>
    <m/>
    <m/>
    <m/>
  </r>
  <r>
    <s v="P00856"/>
    <s v="Kavya Reddy"/>
    <n v="33"/>
    <s v="Other"/>
    <s v="Madurai"/>
    <x v="5"/>
    <x v="3"/>
    <s v="Heart Disease"/>
    <s v="Urgent"/>
    <d v="2024-01-10T00:00:00"/>
    <d v="2024-03-10T00:00:00"/>
    <n v="2"/>
    <x v="4"/>
    <s v="Ultrasound"/>
    <n v="80707.070000000007"/>
    <n v="3"/>
    <s v="Referred"/>
    <s v="18-35"/>
    <x v="0"/>
    <m/>
    <m/>
    <m/>
    <m/>
    <m/>
    <m/>
  </r>
  <r>
    <s v="P00857"/>
    <s v="Ananya Iyer"/>
    <n v="79"/>
    <s v="Female"/>
    <s v="Coimbatore"/>
    <x v="3"/>
    <x v="3"/>
    <s v="Heart Disease"/>
    <s v="Urgent"/>
    <d v="2025-05-12T00:00:00"/>
    <d v="2025-07-12T00:00:00"/>
    <n v="2"/>
    <x v="1"/>
    <s v="X-Ray"/>
    <n v="121091.83"/>
    <n v="3"/>
    <s v="Left Against Medical Advice"/>
    <s v="66+"/>
    <x v="4"/>
    <m/>
    <m/>
    <m/>
    <m/>
    <m/>
    <m/>
  </r>
  <r>
    <s v="P00858"/>
    <s v="Aditya Devi"/>
    <n v="48"/>
    <s v="Female"/>
    <s v="Bengaluru"/>
    <x v="1"/>
    <x v="5"/>
    <s v="Skin Infection"/>
    <s v="Urgent"/>
    <d v="2025-05-02T00:00:00"/>
    <d v="2025-12-02T00:00:00"/>
    <n v="7"/>
    <x v="4"/>
    <s v="Blood Test"/>
    <n v="36922.160000000003"/>
    <n v="3"/>
    <s v="Home"/>
    <s v="36-50"/>
    <x v="4"/>
    <m/>
    <m/>
    <m/>
    <m/>
    <m/>
    <m/>
  </r>
  <r>
    <s v="P00859"/>
    <s v="Lakshmi R"/>
    <n v="25"/>
    <s v="Male"/>
    <s v="Delhi"/>
    <x v="1"/>
    <x v="2"/>
    <s v="Heart Disease"/>
    <s v="Elective"/>
    <d v="2025-05-21T00:00:00"/>
    <d v="2025-05-31T00:00:00"/>
    <n v="10"/>
    <x v="1"/>
    <s v="Blood Test"/>
    <n v="39245.230000000003"/>
    <n v="5"/>
    <s v="Referred"/>
    <s v="18-35"/>
    <x v="4"/>
    <m/>
    <m/>
    <m/>
    <m/>
    <m/>
    <m/>
  </r>
  <r>
    <s v="P00860"/>
    <s v="Deepa Kumar"/>
    <n v="24"/>
    <s v="Female"/>
    <s v="Chennai"/>
    <x v="4"/>
    <x v="6"/>
    <s v="Hypertension"/>
    <s v="Elective"/>
    <d v="2025-05-01T00:00:00"/>
    <d v="2025-06-01T00:00:00"/>
    <n v="1"/>
    <x v="0"/>
    <s v="Ultrasound"/>
    <n v="144679.82"/>
    <n v="3"/>
    <s v="Transferred"/>
    <s v="18-35"/>
    <x v="4"/>
    <m/>
    <m/>
    <m/>
    <m/>
    <m/>
    <m/>
  </r>
  <r>
    <s v="P00861"/>
    <s v="Aarav Nair"/>
    <n v="37"/>
    <s v="Male"/>
    <s v="Coimbatore"/>
    <x v="0"/>
    <x v="4"/>
    <s v="Skin Infection"/>
    <s v="Elective"/>
    <d v="2024-03-09T00:00:00"/>
    <d v="2024-05-09T00:00:00"/>
    <n v="2"/>
    <x v="3"/>
    <s v="ECG"/>
    <n v="37809.26"/>
    <n v="3"/>
    <s v="Home"/>
    <s v="36-50"/>
    <x v="18"/>
    <m/>
    <m/>
    <m/>
    <m/>
    <m/>
    <m/>
  </r>
  <r>
    <s v="P00862"/>
    <s v="Sathya Iyer"/>
    <n v="21"/>
    <s v="Female"/>
    <s v="Delhi"/>
    <x v="3"/>
    <x v="5"/>
    <s v="Hypertension"/>
    <s v="Emergency"/>
    <d v="2025-07-08T00:00:00"/>
    <d v="2025-12-08T00:00:00"/>
    <n v="5"/>
    <x v="3"/>
    <s v="X-Ray"/>
    <n v="18984.91"/>
    <n v="5"/>
    <s v="Transferred"/>
    <s v="18-35"/>
    <x v="16"/>
    <m/>
    <m/>
    <m/>
    <m/>
    <m/>
    <m/>
  </r>
  <r>
    <s v="P00863"/>
    <s v="Aditya Reddy"/>
    <n v="14"/>
    <s v="Female"/>
    <s v="Delhi"/>
    <x v="1"/>
    <x v="2"/>
    <s v="Kidney Disease"/>
    <s v="Emergency"/>
    <d v="2024-01-09T00:00:00"/>
    <d v="2024-03-09T00:00:00"/>
    <n v="2"/>
    <x v="4"/>
    <s v="None"/>
    <n v="27577.31"/>
    <n v="2"/>
    <s v="Left Against Medical Advice"/>
    <s v="Under 18"/>
    <x v="0"/>
    <m/>
    <m/>
    <m/>
    <m/>
    <m/>
    <m/>
  </r>
  <r>
    <s v="P00864"/>
    <s v="Ishita Iyer"/>
    <n v="3"/>
    <s v="Other"/>
    <s v="Mumbai"/>
    <x v="0"/>
    <x v="3"/>
    <s v="Diabetes"/>
    <s v="Urgent"/>
    <d v="2024-05-10T00:00:00"/>
    <d v="2024-10-14T00:00:00"/>
    <n v="9"/>
    <x v="2"/>
    <s v="ECG"/>
    <n v="106185.83"/>
    <n v="5"/>
    <s v="Left Against Medical Advice"/>
    <s v="Under 18"/>
    <x v="23"/>
    <m/>
    <m/>
    <m/>
    <m/>
    <m/>
    <m/>
  </r>
  <r>
    <s v="P00865"/>
    <s v="Lakshmi Kumar"/>
    <n v="22"/>
    <s v="Male"/>
    <s v="Salem"/>
    <x v="0"/>
    <x v="7"/>
    <s v="Fracture"/>
    <s v="Urgent"/>
    <d v="2024-07-31T00:00:00"/>
    <d v="2024-02-08T00:00:00"/>
    <n v="2"/>
    <x v="2"/>
    <s v="CT Scan"/>
    <n v="77587.039999999994"/>
    <n v="4"/>
    <s v="Home"/>
    <s v="18-35"/>
    <x v="12"/>
    <m/>
    <m/>
    <m/>
    <m/>
    <m/>
    <m/>
  </r>
  <r>
    <s v="P00866"/>
    <s v="Sathya Devi"/>
    <n v="50"/>
    <s v="Other"/>
    <s v="Mumbai"/>
    <x v="5"/>
    <x v="5"/>
    <s v="Pneumonia"/>
    <s v="Elective"/>
    <d v="2024-12-19T00:00:00"/>
    <d v="2024-12-22T00:00:00"/>
    <n v="3"/>
    <x v="3"/>
    <s v="X-Ray"/>
    <n v="18530.650000000001"/>
    <n v="3"/>
    <s v="Referred"/>
    <s v="36-50"/>
    <x v="8"/>
    <m/>
    <m/>
    <m/>
    <m/>
    <m/>
    <m/>
  </r>
  <r>
    <s v="P00867"/>
    <s v="Sanjay R"/>
    <n v="75"/>
    <s v="Other"/>
    <s v="Salem"/>
    <x v="2"/>
    <x v="1"/>
    <s v="Pneumonia"/>
    <s v="Urgent"/>
    <d v="2025-06-13T00:00:00"/>
    <d v="2025-06-17T00:00:00"/>
    <n v="4"/>
    <x v="2"/>
    <s v="MRI"/>
    <n v="72772.98"/>
    <n v="2"/>
    <s v="Home"/>
    <s v="66+"/>
    <x v="10"/>
    <m/>
    <m/>
    <m/>
    <m/>
    <m/>
    <m/>
  </r>
  <r>
    <s v="P00868"/>
    <s v="Rahul R"/>
    <n v="68"/>
    <s v="Male"/>
    <s v="Coimbatore"/>
    <x v="4"/>
    <x v="4"/>
    <s v="Asthma"/>
    <s v="Urgent"/>
    <d v="2025-08-04T00:00:00"/>
    <d v="2025-10-04T00:00:00"/>
    <n v="2"/>
    <x v="2"/>
    <s v="ECG"/>
    <n v="28723.47"/>
    <n v="3"/>
    <s v="Referred"/>
    <s v="66+"/>
    <x v="19"/>
    <m/>
    <m/>
    <m/>
    <m/>
    <m/>
    <m/>
  </r>
  <r>
    <s v="P00869"/>
    <s v="Sanjay Sharma"/>
    <n v="37"/>
    <s v="Other"/>
    <s v="Kochi"/>
    <x v="0"/>
    <x v="6"/>
    <s v="Skin Infection"/>
    <s v="Emergency"/>
    <d v="2025-04-26T00:00:00"/>
    <d v="2025-04-27T00:00:00"/>
    <n v="1"/>
    <x v="2"/>
    <s v="MRI"/>
    <n v="34042.199999999997"/>
    <n v="5"/>
    <s v="Referred"/>
    <s v="36-50"/>
    <x v="5"/>
    <m/>
    <m/>
    <m/>
    <m/>
    <m/>
    <m/>
  </r>
  <r>
    <s v="P00870"/>
    <s v="Ishita Nair"/>
    <n v="35"/>
    <s v="Other"/>
    <s v="Salem"/>
    <x v="5"/>
    <x v="6"/>
    <s v="Asthma"/>
    <s v="Elective"/>
    <d v="2024-01-22T00:00:00"/>
    <d v="2024-01-26T00:00:00"/>
    <n v="4"/>
    <x v="3"/>
    <s v="CT Scan"/>
    <n v="20814"/>
    <n v="3"/>
    <s v="Referred"/>
    <s v="18-35"/>
    <x v="0"/>
    <m/>
    <m/>
    <m/>
    <m/>
    <m/>
    <m/>
  </r>
  <r>
    <s v="P00871"/>
    <s v="Rahul Singh"/>
    <n v="15"/>
    <s v="Other"/>
    <s v="Pune"/>
    <x v="3"/>
    <x v="0"/>
    <s v="Pneumonia"/>
    <s v="Urgent"/>
    <d v="2024-11-09T00:00:00"/>
    <d v="2024-09-17T00:00:00"/>
    <n v="6"/>
    <x v="4"/>
    <s v="ECG"/>
    <n v="21921.01"/>
    <n v="3"/>
    <s v="Left Against Medical Advice"/>
    <s v="Under 18"/>
    <x v="21"/>
    <m/>
    <m/>
    <m/>
    <m/>
    <m/>
    <m/>
  </r>
  <r>
    <s v="P00872"/>
    <s v="Rahul Singh"/>
    <n v="83"/>
    <s v="Other"/>
    <s v="Hyderabad"/>
    <x v="4"/>
    <x v="2"/>
    <s v="Fracture"/>
    <s v="Emergency"/>
    <d v="2024-12-28T00:00:00"/>
    <d v="2025-02-01T00:00:00"/>
    <n v="5"/>
    <x v="2"/>
    <s v="ECG"/>
    <n v="50213.34"/>
    <n v="4"/>
    <s v="Transferred"/>
    <s v="66+"/>
    <x v="8"/>
    <m/>
    <m/>
    <m/>
    <m/>
    <m/>
    <m/>
  </r>
  <r>
    <s v="P00873"/>
    <s v="Rohan Singh"/>
    <n v="39"/>
    <s v="Female"/>
    <s v="Salem"/>
    <x v="2"/>
    <x v="1"/>
    <s v="Migraine"/>
    <s v="Emergency"/>
    <d v="2025-10-09T00:00:00"/>
    <d v="2025-09-13T00:00:00"/>
    <n v="3"/>
    <x v="1"/>
    <s v="CT Scan"/>
    <n v="89201.79"/>
    <n v="3"/>
    <s v="Referred"/>
    <s v="36-50"/>
    <x v="17"/>
    <m/>
    <m/>
    <m/>
    <m/>
    <m/>
    <m/>
  </r>
  <r>
    <s v="P00874"/>
    <s v="Nisha Kumar"/>
    <n v="19"/>
    <s v="Female"/>
    <s v="Coimbatore"/>
    <x v="0"/>
    <x v="5"/>
    <s v="Migraine"/>
    <s v="Urgent"/>
    <d v="2024-08-20T00:00:00"/>
    <d v="2024-08-22T00:00:00"/>
    <n v="2"/>
    <x v="2"/>
    <s v="MRI"/>
    <n v="76413.990000000005"/>
    <n v="4"/>
    <s v="Transferred"/>
    <s v="18-35"/>
    <x v="3"/>
    <m/>
    <m/>
    <m/>
    <m/>
    <m/>
    <m/>
  </r>
  <r>
    <s v="P00875"/>
    <s v="Manoj Singh"/>
    <n v="7"/>
    <s v="Male"/>
    <s v="Chennai"/>
    <x v="1"/>
    <x v="0"/>
    <s v="No Chronic Condition"/>
    <s v="Emergency"/>
    <d v="2025-04-21T00:00:00"/>
    <d v="2025-04-05T00:00:00"/>
    <n v="13"/>
    <x v="1"/>
    <s v="MRI"/>
    <n v="41823.03"/>
    <n v="5"/>
    <s v="Referred"/>
    <s v="Under 18"/>
    <x v="5"/>
    <m/>
    <m/>
    <m/>
    <m/>
    <m/>
    <m/>
  </r>
  <r>
    <s v="P00876"/>
    <s v="Divya Nair"/>
    <n v="40"/>
    <s v="Other"/>
    <s v="Salem"/>
    <x v="1"/>
    <x v="1"/>
    <s v="Skin Infection"/>
    <s v="Elective"/>
    <d v="2024-06-18T00:00:00"/>
    <d v="2024-06-25T00:00:00"/>
    <n v="7"/>
    <x v="0"/>
    <s v="MRI"/>
    <n v="46672.49"/>
    <n v="1"/>
    <s v="Transferred"/>
    <s v="36-50"/>
    <x v="9"/>
    <m/>
    <m/>
    <m/>
    <m/>
    <m/>
    <m/>
  </r>
  <r>
    <s v="P00877"/>
    <s v="Manoj R"/>
    <n v="48"/>
    <s v="Female"/>
    <s v="Hyderabad"/>
    <x v="1"/>
    <x v="5"/>
    <s v="Pneumonia"/>
    <s v="Elective"/>
    <d v="2025-06-13T00:00:00"/>
    <d v="2025-06-14T00:00:00"/>
    <n v="1"/>
    <x v="4"/>
    <s v="Ultrasound"/>
    <n v="67745.69"/>
    <n v="1"/>
    <s v="Transferred"/>
    <s v="36-50"/>
    <x v="10"/>
    <m/>
    <m/>
    <m/>
    <m/>
    <m/>
    <m/>
  </r>
  <r>
    <s v="P00878"/>
    <s v="Rohan Iyer"/>
    <n v="19"/>
    <s v="Female"/>
    <s v="Pune"/>
    <x v="3"/>
    <x v="7"/>
    <s v="Diabetes"/>
    <s v="Emergency"/>
    <d v="2024-07-20T00:00:00"/>
    <d v="2024-07-25T00:00:00"/>
    <n v="5"/>
    <x v="4"/>
    <s v="None"/>
    <n v="15212.98"/>
    <n v="1"/>
    <s v="Referred"/>
    <s v="18-35"/>
    <x v="12"/>
    <m/>
    <m/>
    <m/>
    <m/>
    <m/>
    <m/>
  </r>
  <r>
    <s v="P00879"/>
    <s v="Lakshmi R"/>
    <n v="55"/>
    <s v="Other"/>
    <s v="Bengaluru"/>
    <x v="2"/>
    <x v="0"/>
    <s v="Heart Disease"/>
    <s v="Elective"/>
    <d v="2025-04-08T00:00:00"/>
    <d v="2025-05-08T00:00:00"/>
    <n v="1"/>
    <x v="1"/>
    <s v="ECG"/>
    <n v="46186.38"/>
    <n v="5"/>
    <s v="Transferred"/>
    <s v="51-65"/>
    <x v="5"/>
    <m/>
    <m/>
    <m/>
    <m/>
    <m/>
    <m/>
  </r>
  <r>
    <s v="P00880"/>
    <s v="Deepa Devi"/>
    <n v="61"/>
    <s v="Male"/>
    <s v="Salem"/>
    <x v="0"/>
    <x v="3"/>
    <s v="Migraine"/>
    <s v="Emergency"/>
    <d v="2025-08-13T00:00:00"/>
    <d v="2025-08-17T00:00:00"/>
    <n v="4"/>
    <x v="2"/>
    <s v="CT Scan"/>
    <n v="90858.86"/>
    <n v="5"/>
    <s v="Left Against Medical Advice"/>
    <s v="51-65"/>
    <x v="19"/>
    <m/>
    <m/>
    <m/>
    <m/>
    <m/>
    <m/>
  </r>
  <r>
    <s v="P00881"/>
    <s v="Priya R"/>
    <n v="35"/>
    <s v="Male"/>
    <s v="Hyderabad"/>
    <x v="3"/>
    <x v="2"/>
    <s v="Diabetes"/>
    <s v="Emergency"/>
    <d v="2025-05-06T00:00:00"/>
    <d v="2025-09-06T00:00:00"/>
    <n v="4"/>
    <x v="3"/>
    <s v="X-Ray"/>
    <n v="81503.33"/>
    <n v="3"/>
    <s v="Left Against Medical Advice"/>
    <s v="18-35"/>
    <x v="4"/>
    <m/>
    <m/>
    <m/>
    <m/>
    <m/>
    <m/>
  </r>
  <r>
    <s v="P00882"/>
    <s v="Sathya Sharma"/>
    <n v="20"/>
    <s v="Female"/>
    <s v="Salem"/>
    <x v="1"/>
    <x v="2"/>
    <s v="Pneumonia"/>
    <s v="Urgent"/>
    <d v="2025-12-15T00:00:00"/>
    <d v="2025-12-19T00:00:00"/>
    <n v="4"/>
    <x v="2"/>
    <s v="None"/>
    <n v="53359.82"/>
    <n v="3"/>
    <s v="Transferred"/>
    <s v="18-35"/>
    <x v="1"/>
    <m/>
    <m/>
    <m/>
    <m/>
    <m/>
    <m/>
  </r>
  <r>
    <s v="P00883"/>
    <s v="Lakshmi Reddy"/>
    <n v="8"/>
    <s v="Male"/>
    <s v="Salem"/>
    <x v="0"/>
    <x v="1"/>
    <s v="Migraine"/>
    <s v="Elective"/>
    <d v="2025-02-19T00:00:00"/>
    <d v="2025-02-20T00:00:00"/>
    <n v="1"/>
    <x v="4"/>
    <s v="None"/>
    <n v="105092.82"/>
    <n v="3"/>
    <s v="Referred"/>
    <s v="Under 18"/>
    <x v="15"/>
    <m/>
    <m/>
    <m/>
    <m/>
    <m/>
    <m/>
  </r>
  <r>
    <s v="P00884"/>
    <s v="Aarav Sharma"/>
    <n v="37"/>
    <s v="Female"/>
    <s v="Kochi"/>
    <x v="1"/>
    <x v="2"/>
    <s v="Hypertension"/>
    <s v="Elective"/>
    <d v="2025-09-17T00:00:00"/>
    <d v="2025-09-20T00:00:00"/>
    <n v="3"/>
    <x v="2"/>
    <s v="None"/>
    <n v="19348.169999999998"/>
    <n v="2"/>
    <s v="Referred"/>
    <s v="36-50"/>
    <x v="7"/>
    <m/>
    <m/>
    <m/>
    <m/>
    <m/>
    <m/>
  </r>
  <r>
    <s v="P00885"/>
    <s v="Ananya Nair"/>
    <n v="7"/>
    <s v="Female"/>
    <s v="Bengaluru"/>
    <x v="4"/>
    <x v="3"/>
    <s v="Migraine"/>
    <s v="Urgent"/>
    <d v="2025-04-27T00:00:00"/>
    <d v="2025-04-28T00:00:00"/>
    <n v="1"/>
    <x v="2"/>
    <s v="Blood Test"/>
    <n v="77521.8"/>
    <n v="3"/>
    <s v="Home"/>
    <s v="Under 18"/>
    <x v="5"/>
    <m/>
    <m/>
    <m/>
    <m/>
    <m/>
    <m/>
  </r>
  <r>
    <s v="P00886"/>
    <s v="Ishita Devi"/>
    <n v="25"/>
    <s v="Female"/>
    <s v="Hyderabad"/>
    <x v="2"/>
    <x v="0"/>
    <s v="No Chronic Condition"/>
    <s v="Urgent"/>
    <d v="2025-04-02T00:00:00"/>
    <d v="2025-05-02T00:00:00"/>
    <n v="1"/>
    <x v="0"/>
    <s v="Blood Test"/>
    <n v="32764.47"/>
    <n v="2"/>
    <s v="Left Against Medical Advice"/>
    <s v="18-35"/>
    <x v="5"/>
    <m/>
    <m/>
    <m/>
    <m/>
    <m/>
    <m/>
  </r>
  <r>
    <s v="P00887"/>
    <s v="Ananya Reddy"/>
    <n v="78"/>
    <s v="Female"/>
    <s v="Pune"/>
    <x v="0"/>
    <x v="6"/>
    <s v="Kidney Disease"/>
    <s v="Elective"/>
    <d v="2025-06-12T00:00:00"/>
    <d v="2025-07-12T00:00:00"/>
    <n v="1"/>
    <x v="1"/>
    <s v="X-Ray"/>
    <n v="108352.33"/>
    <n v="4"/>
    <s v="Referred"/>
    <s v="66+"/>
    <x v="10"/>
    <m/>
    <m/>
    <m/>
    <m/>
    <m/>
    <m/>
  </r>
  <r>
    <s v="P00888"/>
    <s v="Arjun Devi"/>
    <n v="60"/>
    <s v="Female"/>
    <s v="Coimbatore"/>
    <x v="1"/>
    <x v="3"/>
    <s v="Migraine"/>
    <s v="Urgent"/>
    <d v="2025-12-21T00:00:00"/>
    <d v="2025-12-28T00:00:00"/>
    <n v="7"/>
    <x v="2"/>
    <s v="MRI"/>
    <n v="100255.46"/>
    <n v="4"/>
    <s v="Referred"/>
    <s v="51-65"/>
    <x v="1"/>
    <m/>
    <m/>
    <m/>
    <m/>
    <m/>
    <m/>
  </r>
  <r>
    <s v="P00889"/>
    <s v="Divya Nair"/>
    <n v="51"/>
    <s v="Female"/>
    <s v="Delhi"/>
    <x v="0"/>
    <x v="4"/>
    <s v="Pneumonia"/>
    <s v="Elective"/>
    <d v="2024-12-19T00:00:00"/>
    <d v="2024-12-20T00:00:00"/>
    <n v="1"/>
    <x v="4"/>
    <s v="Ultrasound"/>
    <n v="25619.06"/>
    <n v="4"/>
    <s v="Transferred"/>
    <s v="51-65"/>
    <x v="8"/>
    <m/>
    <m/>
    <m/>
    <m/>
    <m/>
    <m/>
  </r>
  <r>
    <s v="P00890"/>
    <s v="Lakshmi Devi"/>
    <n v="73"/>
    <s v="Other"/>
    <s v="Coimbatore"/>
    <x v="2"/>
    <x v="3"/>
    <s v="Asthma"/>
    <s v="Emergency"/>
    <d v="2024-07-07T00:00:00"/>
    <d v="2024-09-07T00:00:00"/>
    <n v="2"/>
    <x v="4"/>
    <s v="Blood Test"/>
    <n v="19984.61"/>
    <n v="4"/>
    <s v="Home"/>
    <s v="66+"/>
    <x v="12"/>
    <m/>
    <m/>
    <m/>
    <m/>
    <m/>
    <m/>
  </r>
  <r>
    <s v="P00891"/>
    <s v="Karthik Sharma"/>
    <n v="81"/>
    <s v="Male"/>
    <s v="Mumbai"/>
    <x v="2"/>
    <x v="1"/>
    <s v="Hypertension"/>
    <s v="Urgent"/>
    <d v="2025-12-29T00:00:00"/>
    <d v="2026-07-01T00:00:00"/>
    <n v="9"/>
    <x v="0"/>
    <s v="MRI"/>
    <n v="114679.09"/>
    <n v="4"/>
    <s v="Left Against Medical Advice"/>
    <s v="66+"/>
    <x v="1"/>
    <m/>
    <m/>
    <m/>
    <m/>
    <m/>
    <m/>
  </r>
  <r>
    <s v="P00892"/>
    <s v="Pooja Kumar"/>
    <n v="68"/>
    <s v="Other"/>
    <s v="Madurai"/>
    <x v="5"/>
    <x v="1"/>
    <s v="Kidney Disease"/>
    <s v="Emergency"/>
    <d v="2025-09-19T00:00:00"/>
    <d v="2025-09-21T00:00:00"/>
    <n v="2"/>
    <x v="4"/>
    <s v="ECG"/>
    <n v="142676.24"/>
    <n v="3"/>
    <s v="Home"/>
    <s v="66+"/>
    <x v="7"/>
    <m/>
    <m/>
    <m/>
    <m/>
    <m/>
    <m/>
  </r>
  <r>
    <s v="P00893"/>
    <s v="Vivaan Iyer"/>
    <n v="61"/>
    <s v="Male"/>
    <s v="Salem"/>
    <x v="5"/>
    <x v="7"/>
    <s v="Kidney Disease"/>
    <s v="Elective"/>
    <d v="2025-04-19T00:00:00"/>
    <d v="2025-04-24T00:00:00"/>
    <n v="5"/>
    <x v="1"/>
    <s v="Blood Test"/>
    <n v="31323.14"/>
    <n v="5"/>
    <s v="Referred"/>
    <s v="51-65"/>
    <x v="5"/>
    <m/>
    <m/>
    <m/>
    <m/>
    <m/>
    <m/>
  </r>
  <r>
    <s v="P00894"/>
    <s v="Nisha Kumar"/>
    <n v="6"/>
    <s v="Female"/>
    <s v="Kochi"/>
    <x v="2"/>
    <x v="0"/>
    <s v="Fracture"/>
    <s v="Urgent"/>
    <d v="2025-05-04T00:00:00"/>
    <d v="2025-08-04T00:00:00"/>
    <n v="3"/>
    <x v="1"/>
    <s v="None"/>
    <n v="51073.81"/>
    <n v="5"/>
    <s v="Home"/>
    <s v="Under 18"/>
    <x v="4"/>
    <m/>
    <m/>
    <m/>
    <m/>
    <m/>
    <m/>
  </r>
  <r>
    <s v="P00895"/>
    <s v="Kavya Sharma"/>
    <n v="64"/>
    <s v="Other"/>
    <s v="Kochi"/>
    <x v="2"/>
    <x v="0"/>
    <s v="Heart Disease"/>
    <s v="Emergency"/>
    <d v="2024-06-08T00:00:00"/>
    <d v="2024-12-08T00:00:00"/>
    <n v="6"/>
    <x v="2"/>
    <s v="Ultrasound"/>
    <n v="79570.929999999993"/>
    <n v="4"/>
    <s v="Left Against Medical Advice"/>
    <s v="51-65"/>
    <x v="9"/>
    <m/>
    <m/>
    <m/>
    <m/>
    <m/>
    <m/>
  </r>
  <r>
    <s v="P00896"/>
    <s v="Nisha Sharma"/>
    <n v="11"/>
    <s v="Male"/>
    <s v="Pune"/>
    <x v="0"/>
    <x v="4"/>
    <s v="Asthma"/>
    <s v="Urgent"/>
    <d v="2025-10-24T00:00:00"/>
    <d v="2025-10-25T00:00:00"/>
    <n v="1"/>
    <x v="3"/>
    <s v="MRI"/>
    <n v="59994.37"/>
    <n v="4"/>
    <s v="Home"/>
    <s v="Under 18"/>
    <x v="17"/>
    <m/>
    <m/>
    <m/>
    <m/>
    <m/>
    <m/>
  </r>
  <r>
    <s v="P00897"/>
    <s v="Priya Sharma"/>
    <n v="37"/>
    <s v="Male"/>
    <s v="Bengaluru"/>
    <x v="1"/>
    <x v="6"/>
    <s v="Hypertension"/>
    <s v="Elective"/>
    <d v="2025-09-07T00:00:00"/>
    <d v="2025-07-13T00:00:00"/>
    <n v="4"/>
    <x v="2"/>
    <s v="ECG"/>
    <n v="89347.92"/>
    <n v="3"/>
    <s v="Left Against Medical Advice"/>
    <s v="36-50"/>
    <x v="7"/>
    <m/>
    <m/>
    <m/>
    <m/>
    <m/>
    <m/>
  </r>
  <r>
    <s v="P00898"/>
    <s v="Priya Kumar"/>
    <n v="66"/>
    <s v="Female"/>
    <s v="Salem"/>
    <x v="4"/>
    <x v="3"/>
    <s v="Hypertension"/>
    <s v="Emergency"/>
    <d v="2025-07-05T00:00:00"/>
    <d v="2025-12-05T00:00:00"/>
    <n v="5"/>
    <x v="3"/>
    <s v="X-Ray"/>
    <n v="58534.84"/>
    <n v="3"/>
    <s v="Transferred"/>
    <s v="66+"/>
    <x v="16"/>
    <m/>
    <m/>
    <m/>
    <m/>
    <m/>
    <m/>
  </r>
  <r>
    <s v="P00899"/>
    <s v="Arjun Reddy"/>
    <n v="21"/>
    <s v="Other"/>
    <s v="Coimbatore"/>
    <x v="0"/>
    <x v="3"/>
    <s v="Diabetes"/>
    <s v="Emergency"/>
    <d v="2025-07-12T00:00:00"/>
    <d v="2025-09-12T00:00:00"/>
    <n v="2"/>
    <x v="0"/>
    <s v="Ultrasound"/>
    <n v="57104.36"/>
    <n v="5"/>
    <s v="Left Against Medical Advice"/>
    <s v="18-35"/>
    <x v="16"/>
    <m/>
    <m/>
    <m/>
    <m/>
    <m/>
    <m/>
  </r>
  <r>
    <s v="P00900"/>
    <s v="Meera Iyer"/>
    <n v="76"/>
    <s v="Other"/>
    <s v="Chennai"/>
    <x v="4"/>
    <x v="5"/>
    <s v="Skin Infection"/>
    <s v="Elective"/>
    <d v="2025-12-15T00:00:00"/>
    <d v="2025-12-25T00:00:00"/>
    <n v="10"/>
    <x v="3"/>
    <s v="Blood Test"/>
    <n v="85339.06"/>
    <n v="4"/>
    <s v="Transferred"/>
    <s v="66+"/>
    <x v="1"/>
    <m/>
    <m/>
    <m/>
    <m/>
    <m/>
    <m/>
  </r>
  <r>
    <s v="P00901"/>
    <s v="Ishita R"/>
    <n v="3"/>
    <s v="Other"/>
    <s v="Salem"/>
    <x v="0"/>
    <x v="1"/>
    <s v="Migraine"/>
    <s v="Elective"/>
    <d v="2025-01-16T00:00:00"/>
    <d v="2025-01-19T00:00:00"/>
    <n v="3"/>
    <x v="4"/>
    <s v="ECG"/>
    <n v="95658.87"/>
    <n v="5"/>
    <s v="Transferred"/>
    <s v="Under 18"/>
    <x v="22"/>
    <m/>
    <m/>
    <m/>
    <m/>
    <m/>
    <m/>
  </r>
  <r>
    <s v="P00902"/>
    <s v="Ananya Sharma"/>
    <n v="16"/>
    <s v="Other"/>
    <s v="Madurai"/>
    <x v="1"/>
    <x v="2"/>
    <s v="Fracture"/>
    <s v="Emergency"/>
    <d v="2024-03-02T00:00:00"/>
    <d v="2024-05-02T00:00:00"/>
    <n v="2"/>
    <x v="1"/>
    <s v="MRI"/>
    <n v="14842.53"/>
    <n v="2"/>
    <s v="Left Against Medical Advice"/>
    <s v="Under 18"/>
    <x v="18"/>
    <m/>
    <m/>
    <m/>
    <m/>
    <m/>
    <m/>
  </r>
  <r>
    <s v="P00903"/>
    <s v="Sanjay R"/>
    <n v="10"/>
    <s v="Other"/>
    <s v="Hyderabad"/>
    <x v="3"/>
    <x v="2"/>
    <s v="Diabetes"/>
    <s v="Urgent"/>
    <d v="2025-07-01T00:00:00"/>
    <d v="2025-11-01T00:00:00"/>
    <n v="4"/>
    <x v="0"/>
    <s v="None"/>
    <n v="13908.79"/>
    <n v="3"/>
    <s v="Home"/>
    <s v="Under 18"/>
    <x v="16"/>
    <m/>
    <m/>
    <m/>
    <m/>
    <m/>
    <m/>
  </r>
  <r>
    <s v="P00904"/>
    <s v="Aditya Iyer"/>
    <n v="47"/>
    <s v="Female"/>
    <s v="Chennai"/>
    <x v="5"/>
    <x v="0"/>
    <s v="Asthma"/>
    <s v="Elective"/>
    <d v="2024-07-04T00:00:00"/>
    <d v="2024-04-15T00:00:00"/>
    <n v="8"/>
    <x v="0"/>
    <s v="None"/>
    <n v="67597.539999999994"/>
    <n v="4"/>
    <s v="Home"/>
    <s v="36-50"/>
    <x v="12"/>
    <m/>
    <m/>
    <m/>
    <m/>
    <m/>
    <m/>
  </r>
  <r>
    <s v="P00905"/>
    <s v="Vivaan Devi"/>
    <n v="71"/>
    <s v="Other"/>
    <s v="Pune"/>
    <x v="4"/>
    <x v="4"/>
    <s v="Hypertension"/>
    <s v="Urgent"/>
    <d v="2025-08-12T00:00:00"/>
    <d v="2025-10-12T00:00:00"/>
    <n v="2"/>
    <x v="1"/>
    <s v="MRI"/>
    <n v="77358.78"/>
    <n v="5"/>
    <s v="Home"/>
    <s v="66+"/>
    <x v="19"/>
    <m/>
    <m/>
    <m/>
    <m/>
    <m/>
    <m/>
  </r>
  <r>
    <s v="P00906"/>
    <s v="Sanjay Iyer"/>
    <n v="18"/>
    <s v="Female"/>
    <s v="Bengaluru"/>
    <x v="5"/>
    <x v="1"/>
    <s v="Kidney Disease"/>
    <s v="Emergency"/>
    <d v="2024-06-04T00:00:00"/>
    <d v="2024-07-04T00:00:00"/>
    <n v="1"/>
    <x v="3"/>
    <s v="Ultrasound"/>
    <n v="111289.11"/>
    <n v="2"/>
    <s v="Home"/>
    <s v="18-35"/>
    <x v="9"/>
    <m/>
    <m/>
    <m/>
    <m/>
    <m/>
    <m/>
  </r>
  <r>
    <s v="P00907"/>
    <s v="Priya Iyer"/>
    <n v="81"/>
    <s v="Female"/>
    <s v="Delhi"/>
    <x v="3"/>
    <x v="7"/>
    <s v="Pneumonia"/>
    <s v="Emergency"/>
    <d v="2025-04-26T00:00:00"/>
    <d v="2025-03-05T00:00:00"/>
    <n v="7"/>
    <x v="2"/>
    <s v="CT Scan"/>
    <n v="12385.91"/>
    <n v="4"/>
    <s v="Referred"/>
    <s v="66+"/>
    <x v="5"/>
    <m/>
    <m/>
    <m/>
    <m/>
    <m/>
    <m/>
  </r>
  <r>
    <s v="P00908"/>
    <s v="Arjun Reddy"/>
    <n v="79"/>
    <s v="Other"/>
    <s v="Madurai"/>
    <x v="2"/>
    <x v="2"/>
    <s v="No Chronic Condition"/>
    <s v="Urgent"/>
    <d v="2025-01-02T00:00:00"/>
    <d v="2025-02-02T00:00:00"/>
    <n v="1"/>
    <x v="4"/>
    <s v="Blood Test"/>
    <n v="32999.379999999997"/>
    <n v="3"/>
    <s v="Home"/>
    <s v="66+"/>
    <x v="22"/>
    <m/>
    <m/>
    <m/>
    <m/>
    <m/>
    <m/>
  </r>
  <r>
    <s v="P00909"/>
    <s v="Vivaan Iyer"/>
    <n v="52"/>
    <s v="Other"/>
    <s v="Coimbatore"/>
    <x v="2"/>
    <x v="6"/>
    <s v="No Chronic Condition"/>
    <s v="Emergency"/>
    <d v="2024-07-14T00:00:00"/>
    <d v="2024-07-16T00:00:00"/>
    <n v="2"/>
    <x v="2"/>
    <s v="Ultrasound"/>
    <n v="37446.410000000003"/>
    <n v="3"/>
    <s v="Left Against Medical Advice"/>
    <s v="51-65"/>
    <x v="12"/>
    <m/>
    <m/>
    <m/>
    <m/>
    <m/>
    <m/>
  </r>
  <r>
    <s v="P00910"/>
    <s v="Pooja Sharma"/>
    <n v="18"/>
    <s v="Female"/>
    <s v="Hyderabad"/>
    <x v="2"/>
    <x v="0"/>
    <s v="Diabetes"/>
    <s v="Urgent"/>
    <d v="2024-10-10T00:00:00"/>
    <d v="2024-10-15T00:00:00"/>
    <n v="5"/>
    <x v="2"/>
    <s v="None"/>
    <n v="42174.98"/>
    <n v="4"/>
    <s v="Transferred"/>
    <s v="18-35"/>
    <x v="20"/>
    <m/>
    <m/>
    <m/>
    <m/>
    <m/>
    <m/>
  </r>
  <r>
    <s v="P00911"/>
    <s v="Sathya Singh"/>
    <n v="42"/>
    <s v="Male"/>
    <s v="Delhi"/>
    <x v="5"/>
    <x v="7"/>
    <s v="Asthma"/>
    <s v="Elective"/>
    <d v="2025-01-22T00:00:00"/>
    <d v="2025-01-26T00:00:00"/>
    <n v="4"/>
    <x v="2"/>
    <s v="MRI"/>
    <n v="27095.05"/>
    <n v="4"/>
    <s v="Home"/>
    <s v="36-50"/>
    <x v="22"/>
    <m/>
    <m/>
    <m/>
    <m/>
    <m/>
    <m/>
  </r>
  <r>
    <s v="P00912"/>
    <s v="Ananya Sharma"/>
    <n v="56"/>
    <s v="Male"/>
    <s v="Madurai"/>
    <x v="5"/>
    <x v="5"/>
    <s v="Skin Infection"/>
    <s v="Emergency"/>
    <d v="2024-11-06T00:00:00"/>
    <d v="2024-06-19T00:00:00"/>
    <n v="8"/>
    <x v="4"/>
    <s v="None"/>
    <n v="41377.9"/>
    <n v="4"/>
    <s v="Home"/>
    <s v="51-65"/>
    <x v="21"/>
    <m/>
    <m/>
    <m/>
    <m/>
    <m/>
    <m/>
  </r>
  <r>
    <s v="P00913"/>
    <s v="Lakshmi Reddy"/>
    <n v="61"/>
    <s v="Other"/>
    <s v="Madurai"/>
    <x v="0"/>
    <x v="7"/>
    <s v="Kidney Disease"/>
    <s v="Elective"/>
    <d v="2024-07-03T00:00:00"/>
    <d v="2024-10-03T00:00:00"/>
    <n v="3"/>
    <x v="3"/>
    <s v="CT Scan"/>
    <n v="26667.45"/>
    <n v="5"/>
    <s v="Referred"/>
    <s v="51-65"/>
    <x v="12"/>
    <m/>
    <m/>
    <m/>
    <m/>
    <m/>
    <m/>
  </r>
  <r>
    <s v="P00914"/>
    <s v="Arjun Devi"/>
    <n v="3"/>
    <s v="Female"/>
    <s v="Kochi"/>
    <x v="5"/>
    <x v="6"/>
    <s v="Hypertension"/>
    <s v="Urgent"/>
    <d v="2025-10-22T00:00:00"/>
    <d v="2025-10-25T00:00:00"/>
    <n v="3"/>
    <x v="4"/>
    <s v="Blood Test"/>
    <n v="48375.01"/>
    <n v="3"/>
    <s v="Home"/>
    <s v="Under 18"/>
    <x v="17"/>
    <m/>
    <m/>
    <m/>
    <m/>
    <m/>
    <m/>
  </r>
  <r>
    <s v="P00915"/>
    <s v="Kavya Reddy"/>
    <n v="73"/>
    <s v="Female"/>
    <s v="Salem"/>
    <x v="5"/>
    <x v="6"/>
    <s v="Kidney Disease"/>
    <s v="Emergency"/>
    <d v="2024-04-09T00:00:00"/>
    <d v="2024-06-09T00:00:00"/>
    <n v="2"/>
    <x v="4"/>
    <s v="X-Ray"/>
    <n v="100277.65"/>
    <n v="5"/>
    <s v="Referred"/>
    <s v="66+"/>
    <x v="6"/>
    <m/>
    <m/>
    <m/>
    <m/>
    <m/>
    <m/>
  </r>
  <r>
    <s v="P00916"/>
    <s v="Ishita Nair"/>
    <n v="14"/>
    <s v="Other"/>
    <s v="Bengaluru"/>
    <x v="1"/>
    <x v="4"/>
    <s v="No Chronic Condition"/>
    <s v="Elective"/>
    <d v="2024-09-11T00:00:00"/>
    <d v="2024-11-17T00:00:00"/>
    <n v="8"/>
    <x v="0"/>
    <s v="X-Ray"/>
    <n v="33201.339999999997"/>
    <n v="4"/>
    <s v="Referred"/>
    <s v="Under 18"/>
    <x v="13"/>
    <m/>
    <m/>
    <m/>
    <m/>
    <m/>
    <m/>
  </r>
  <r>
    <s v="P00917"/>
    <s v="Aditya R"/>
    <n v="42"/>
    <s v="Female"/>
    <s v="Salem"/>
    <x v="0"/>
    <x v="3"/>
    <s v="Kidney Disease"/>
    <s v="Emergency"/>
    <d v="2024-10-12T00:00:00"/>
    <d v="2024-12-14T00:00:00"/>
    <n v="4"/>
    <x v="4"/>
    <s v="None"/>
    <n v="58993.25"/>
    <n v="1"/>
    <s v="Home"/>
    <s v="36-50"/>
    <x v="20"/>
    <m/>
    <m/>
    <m/>
    <m/>
    <m/>
    <m/>
  </r>
  <r>
    <s v="P00918"/>
    <s v="Meera R"/>
    <n v="27"/>
    <s v="Male"/>
    <s v="Chennai"/>
    <x v="5"/>
    <x v="5"/>
    <s v="Asthma"/>
    <s v="Emergency"/>
    <d v="2025-02-26T00:00:00"/>
    <d v="2025-04-03T00:00:00"/>
    <n v="6"/>
    <x v="0"/>
    <s v="CT Scan"/>
    <n v="28113.45"/>
    <n v="3"/>
    <s v="Home"/>
    <s v="18-35"/>
    <x v="15"/>
    <m/>
    <m/>
    <m/>
    <m/>
    <m/>
    <m/>
  </r>
  <r>
    <s v="P00919"/>
    <s v="Sanjay Kumar"/>
    <n v="36"/>
    <s v="Other"/>
    <s v="Delhi"/>
    <x v="0"/>
    <x v="7"/>
    <s v="Diabetes"/>
    <s v="Elective"/>
    <d v="2025-08-25T00:00:00"/>
    <d v="2025-08-26T00:00:00"/>
    <n v="1"/>
    <x v="1"/>
    <s v="Blood Test"/>
    <n v="46748.91"/>
    <n v="3"/>
    <s v="Home"/>
    <s v="36-50"/>
    <x v="19"/>
    <m/>
    <m/>
    <m/>
    <m/>
    <m/>
    <m/>
  </r>
  <r>
    <s v="P00920"/>
    <s v="Arjun Kumar"/>
    <n v="65"/>
    <s v="Other"/>
    <s v="Madurai"/>
    <x v="0"/>
    <x v="3"/>
    <s v="Migraine"/>
    <s v="Emergency"/>
    <d v="2024-08-22T00:00:00"/>
    <d v="2024-08-24T00:00:00"/>
    <n v="2"/>
    <x v="3"/>
    <s v="X-Ray"/>
    <n v="113932.02"/>
    <n v="3"/>
    <s v="Home"/>
    <s v="51-65"/>
    <x v="3"/>
    <m/>
    <m/>
    <m/>
    <m/>
    <m/>
    <m/>
  </r>
  <r>
    <s v="P00921"/>
    <s v="Karthik Nair"/>
    <n v="23"/>
    <s v="Female"/>
    <s v="Madurai"/>
    <x v="2"/>
    <x v="5"/>
    <s v="Heart Disease"/>
    <s v="Elective"/>
    <d v="2024-02-08T00:00:00"/>
    <d v="2024-03-08T00:00:00"/>
    <n v="1"/>
    <x v="3"/>
    <s v="Ultrasound"/>
    <n v="57161.17"/>
    <n v="1"/>
    <s v="Home"/>
    <s v="18-35"/>
    <x v="2"/>
    <m/>
    <m/>
    <m/>
    <m/>
    <m/>
    <m/>
  </r>
  <r>
    <s v="P00922"/>
    <s v="Aditya Sharma"/>
    <n v="21"/>
    <s v="Male"/>
    <s v="Pune"/>
    <x v="4"/>
    <x v="2"/>
    <s v="Hypertension"/>
    <s v="Elective"/>
    <d v="2025-01-22T00:00:00"/>
    <d v="2025-01-23T00:00:00"/>
    <n v="1"/>
    <x v="3"/>
    <s v="Ultrasound"/>
    <n v="18192.39"/>
    <n v="3"/>
    <s v="Referred"/>
    <s v="18-35"/>
    <x v="22"/>
    <m/>
    <m/>
    <m/>
    <m/>
    <m/>
    <m/>
  </r>
  <r>
    <s v="P00923"/>
    <s v="Deepa Iyer"/>
    <n v="35"/>
    <s v="Other"/>
    <s v="Delhi"/>
    <x v="1"/>
    <x v="3"/>
    <s v="Kidney Disease"/>
    <s v="Emergency"/>
    <d v="2025-06-16T00:00:00"/>
    <d v="2025-06-20T00:00:00"/>
    <n v="4"/>
    <x v="0"/>
    <s v="None"/>
    <n v="49270.16"/>
    <n v="4"/>
    <s v="Left Against Medical Advice"/>
    <s v="18-35"/>
    <x v="10"/>
    <m/>
    <m/>
    <m/>
    <m/>
    <m/>
    <m/>
  </r>
  <r>
    <s v="P00924"/>
    <s v="Aditya R"/>
    <n v="36"/>
    <s v="Male"/>
    <s v="Hyderabad"/>
    <x v="4"/>
    <x v="1"/>
    <s v="Heart Disease"/>
    <s v="Emergency"/>
    <d v="2024-09-23T00:00:00"/>
    <d v="2024-09-25T00:00:00"/>
    <n v="2"/>
    <x v="0"/>
    <s v="None"/>
    <n v="64017.5"/>
    <n v="4"/>
    <s v="Home"/>
    <s v="36-50"/>
    <x v="13"/>
    <m/>
    <m/>
    <m/>
    <m/>
    <m/>
    <m/>
  </r>
  <r>
    <s v="P00925"/>
    <s v="Rohan Iyer"/>
    <n v="72"/>
    <s v="Male"/>
    <s v="Chennai"/>
    <x v="3"/>
    <x v="6"/>
    <s v="Diabetes"/>
    <s v="Urgent"/>
    <d v="2025-08-02T00:00:00"/>
    <d v="2025-02-13T00:00:00"/>
    <n v="5"/>
    <x v="0"/>
    <s v="Blood Test"/>
    <n v="83937.1"/>
    <n v="3"/>
    <s v="Referred"/>
    <s v="66+"/>
    <x v="19"/>
    <m/>
    <m/>
    <m/>
    <m/>
    <m/>
    <m/>
  </r>
  <r>
    <s v="P00926"/>
    <s v="Vivaan Reddy"/>
    <n v="69"/>
    <s v="Other"/>
    <s v="Delhi"/>
    <x v="0"/>
    <x v="4"/>
    <s v="Migraine"/>
    <s v="Emergency"/>
    <d v="2024-03-26T00:00:00"/>
    <d v="2024-03-30T00:00:00"/>
    <n v="4"/>
    <x v="3"/>
    <s v="Ultrasound"/>
    <n v="52070.239999999998"/>
    <n v="5"/>
    <s v="Home"/>
    <s v="66+"/>
    <x v="18"/>
    <m/>
    <m/>
    <m/>
    <m/>
    <m/>
    <m/>
  </r>
  <r>
    <s v="P00927"/>
    <s v="Kavya Kumar"/>
    <n v="67"/>
    <s v="Female"/>
    <s v="Chennai"/>
    <x v="4"/>
    <x v="0"/>
    <s v="Migraine"/>
    <s v="Emergency"/>
    <d v="2025-01-10T00:00:00"/>
    <d v="2025-02-10T00:00:00"/>
    <n v="1"/>
    <x v="2"/>
    <s v="None"/>
    <n v="45645.64"/>
    <n v="4"/>
    <s v="Home"/>
    <s v="66+"/>
    <x v="22"/>
    <m/>
    <m/>
    <m/>
    <m/>
    <m/>
    <m/>
  </r>
  <r>
    <s v="P00928"/>
    <s v="Pooja Nair"/>
    <n v="11"/>
    <s v="Male"/>
    <s v="Chennai"/>
    <x v="2"/>
    <x v="0"/>
    <s v="Heart Disease"/>
    <s v="Urgent"/>
    <d v="2024-06-17T00:00:00"/>
    <d v="2024-06-26T00:00:00"/>
    <n v="9"/>
    <x v="0"/>
    <s v="Blood Test"/>
    <n v="58871.16"/>
    <n v="5"/>
    <s v="Referred"/>
    <s v="Under 18"/>
    <x v="9"/>
    <m/>
    <m/>
    <m/>
    <m/>
    <m/>
    <m/>
  </r>
  <r>
    <s v="P00929"/>
    <s v="Rohan Singh"/>
    <n v="46"/>
    <s v="Male"/>
    <s v="Madurai"/>
    <x v="1"/>
    <x v="4"/>
    <s v="Fracture"/>
    <s v="Urgent"/>
    <d v="2025-01-23T00:00:00"/>
    <d v="2025-01-24T00:00:00"/>
    <n v="1"/>
    <x v="2"/>
    <s v="X-Ray"/>
    <n v="31038.7"/>
    <n v="2"/>
    <s v="Referred"/>
    <s v="36-50"/>
    <x v="22"/>
    <m/>
    <m/>
    <m/>
    <m/>
    <m/>
    <m/>
  </r>
  <r>
    <s v="P00930"/>
    <s v="Aarav Devi"/>
    <n v="37"/>
    <s v="Other"/>
    <s v="Coimbatore"/>
    <x v="1"/>
    <x v="2"/>
    <s v="Kidney Disease"/>
    <s v="Elective"/>
    <d v="2025-09-28T00:00:00"/>
    <d v="2025-09-30T00:00:00"/>
    <n v="2"/>
    <x v="1"/>
    <s v="Blood Test"/>
    <n v="13916.35"/>
    <n v="4"/>
    <s v="Transferred"/>
    <s v="36-50"/>
    <x v="7"/>
    <m/>
    <m/>
    <m/>
    <m/>
    <m/>
    <m/>
  </r>
  <r>
    <s v="P00931"/>
    <s v="Sathya Nair"/>
    <n v="67"/>
    <s v="Male"/>
    <s v="Mumbai"/>
    <x v="2"/>
    <x v="7"/>
    <s v="Pneumonia"/>
    <s v="Emergency"/>
    <d v="2025-06-26T00:00:00"/>
    <d v="2025-06-29T00:00:00"/>
    <n v="3"/>
    <x v="1"/>
    <s v="MRI"/>
    <n v="22896.93"/>
    <n v="3"/>
    <s v="Referred"/>
    <s v="66+"/>
    <x v="10"/>
    <m/>
    <m/>
    <m/>
    <m/>
    <m/>
    <m/>
  </r>
  <r>
    <s v="P00932"/>
    <s v="Manoj Singh"/>
    <n v="74"/>
    <s v="Male"/>
    <s v="Salem"/>
    <x v="5"/>
    <x v="1"/>
    <s v="Pneumonia"/>
    <s v="Emergency"/>
    <d v="2024-12-02T00:00:00"/>
    <d v="2024-02-19T00:00:00"/>
    <n v="7"/>
    <x v="0"/>
    <s v="None"/>
    <n v="42646.62"/>
    <n v="5"/>
    <s v="Referred"/>
    <s v="66+"/>
    <x v="8"/>
    <m/>
    <m/>
    <m/>
    <m/>
    <m/>
    <m/>
  </r>
  <r>
    <s v="P00933"/>
    <s v="Manoj Kumar"/>
    <n v="17"/>
    <s v="Female"/>
    <s v="Madurai"/>
    <x v="2"/>
    <x v="2"/>
    <s v="Fracture"/>
    <s v="Urgent"/>
    <d v="2024-03-03T00:00:00"/>
    <d v="2024-12-03T00:00:00"/>
    <n v="9"/>
    <x v="1"/>
    <s v="None"/>
    <n v="91184.46"/>
    <n v="3"/>
    <s v="Referred"/>
    <s v="Under 18"/>
    <x v="18"/>
    <m/>
    <m/>
    <m/>
    <m/>
    <m/>
    <m/>
  </r>
  <r>
    <s v="P00934"/>
    <s v="Sathya Sharma"/>
    <n v="71"/>
    <s v="Male"/>
    <s v="Bengaluru"/>
    <x v="0"/>
    <x v="7"/>
    <s v="Skin Infection"/>
    <s v="Urgent"/>
    <d v="2025-05-25T00:00:00"/>
    <d v="2025-05-29T00:00:00"/>
    <n v="4"/>
    <x v="4"/>
    <s v="ECG"/>
    <n v="59285.21"/>
    <n v="4"/>
    <s v="Transferred"/>
    <s v="66+"/>
    <x v="4"/>
    <m/>
    <m/>
    <m/>
    <m/>
    <m/>
    <m/>
  </r>
  <r>
    <s v="P00935"/>
    <s v="Nisha Sharma"/>
    <n v="22"/>
    <s v="Other"/>
    <s v="Mumbai"/>
    <x v="2"/>
    <x v="2"/>
    <s v="Fracture"/>
    <s v="Urgent"/>
    <d v="2025-08-08T00:00:00"/>
    <d v="2025-08-14T00:00:00"/>
    <n v="6"/>
    <x v="0"/>
    <s v="CT Scan"/>
    <n v="23577.279999999999"/>
    <n v="3"/>
    <s v="Referred"/>
    <s v="18-35"/>
    <x v="19"/>
    <m/>
    <m/>
    <m/>
    <m/>
    <m/>
    <m/>
  </r>
  <r>
    <s v="P00936"/>
    <s v="Sanjay Nair"/>
    <n v="14"/>
    <s v="Male"/>
    <s v="Mumbai"/>
    <x v="5"/>
    <x v="2"/>
    <s v="Fracture"/>
    <s v="Emergency"/>
    <d v="2024-09-14T00:00:00"/>
    <d v="2024-09-18T00:00:00"/>
    <n v="4"/>
    <x v="3"/>
    <s v="CT Scan"/>
    <n v="81018.06"/>
    <n v="4"/>
    <s v="Referred"/>
    <s v="Under 18"/>
    <x v="13"/>
    <m/>
    <m/>
    <m/>
    <m/>
    <m/>
    <m/>
  </r>
  <r>
    <s v="P00937"/>
    <s v="Ananya Kumar"/>
    <n v="87"/>
    <s v="Male"/>
    <s v="Coimbatore"/>
    <x v="2"/>
    <x v="1"/>
    <s v="Hypertension"/>
    <s v="Emergency"/>
    <d v="2024-12-14T00:00:00"/>
    <d v="2024-12-20T00:00:00"/>
    <n v="6"/>
    <x v="1"/>
    <s v="X-Ray"/>
    <n v="68379.75"/>
    <n v="5"/>
    <s v="Referred"/>
    <s v="66+"/>
    <x v="8"/>
    <m/>
    <m/>
    <m/>
    <m/>
    <m/>
    <m/>
  </r>
  <r>
    <s v="P00938"/>
    <s v="Ananya Iyer"/>
    <n v="36"/>
    <s v="Male"/>
    <s v="Coimbatore"/>
    <x v="0"/>
    <x v="3"/>
    <s v="Diabetes"/>
    <s v="Emergency"/>
    <d v="2024-05-17T00:00:00"/>
    <d v="2024-05-22T00:00:00"/>
    <n v="5"/>
    <x v="1"/>
    <s v="X-Ray"/>
    <n v="58843.12"/>
    <n v="5"/>
    <s v="Transferred"/>
    <s v="36-50"/>
    <x v="23"/>
    <m/>
    <m/>
    <m/>
    <m/>
    <m/>
    <m/>
  </r>
  <r>
    <s v="P00939"/>
    <s v="Pooja R"/>
    <n v="76"/>
    <s v="Male"/>
    <s v="Kochi"/>
    <x v="4"/>
    <x v="6"/>
    <s v="Hypertension"/>
    <s v="Urgent"/>
    <d v="2025-12-26T00:00:00"/>
    <d v="2025-12-29T00:00:00"/>
    <n v="3"/>
    <x v="3"/>
    <s v="X-Ray"/>
    <n v="34179.79"/>
    <n v="4"/>
    <s v="Home"/>
    <s v="66+"/>
    <x v="1"/>
    <m/>
    <m/>
    <m/>
    <m/>
    <m/>
    <m/>
  </r>
  <r>
    <s v="P00940"/>
    <s v="Aditya R"/>
    <n v="81"/>
    <s v="Other"/>
    <s v="Salem"/>
    <x v="3"/>
    <x v="3"/>
    <s v="Heart Disease"/>
    <s v="Elective"/>
    <d v="2024-07-21T00:00:00"/>
    <d v="2024-07-23T00:00:00"/>
    <n v="2"/>
    <x v="1"/>
    <s v="CT Scan"/>
    <n v="23274.28"/>
    <n v="1"/>
    <s v="Home"/>
    <s v="66+"/>
    <x v="12"/>
    <m/>
    <m/>
    <m/>
    <m/>
    <m/>
    <m/>
  </r>
  <r>
    <s v="P00941"/>
    <s v="Aarav R"/>
    <n v="60"/>
    <s v="Other"/>
    <s v="Mumbai"/>
    <x v="1"/>
    <x v="1"/>
    <s v="Diabetes"/>
    <s v="Emergency"/>
    <d v="2025-02-20T00:00:00"/>
    <d v="2025-02-27T00:00:00"/>
    <n v="7"/>
    <x v="0"/>
    <s v="X-Ray"/>
    <n v="109000.83"/>
    <n v="1"/>
    <s v="Home"/>
    <s v="51-65"/>
    <x v="15"/>
    <m/>
    <m/>
    <m/>
    <m/>
    <m/>
    <m/>
  </r>
  <r>
    <s v="P00942"/>
    <s v="Nisha Kumar"/>
    <n v="32"/>
    <s v="Other"/>
    <s v="Salem"/>
    <x v="2"/>
    <x v="4"/>
    <s v="Fracture"/>
    <s v="Emergency"/>
    <d v="2025-01-21T00:00:00"/>
    <d v="2025-01-25T00:00:00"/>
    <n v="4"/>
    <x v="4"/>
    <s v="MRI"/>
    <n v="72081.990000000005"/>
    <n v="4"/>
    <s v="Transferred"/>
    <s v="18-35"/>
    <x v="22"/>
    <m/>
    <m/>
    <m/>
    <m/>
    <m/>
    <m/>
  </r>
  <r>
    <s v="P00943"/>
    <s v="Divya Singh"/>
    <n v="18"/>
    <s v="Female"/>
    <s v="Mumbai"/>
    <x v="4"/>
    <x v="4"/>
    <s v="Hypertension"/>
    <s v="Urgent"/>
    <d v="2024-03-19T00:00:00"/>
    <d v="2024-03-24T00:00:00"/>
    <n v="5"/>
    <x v="3"/>
    <s v="None"/>
    <n v="51363.74"/>
    <n v="3"/>
    <s v="Left Against Medical Advice"/>
    <s v="18-35"/>
    <x v="18"/>
    <m/>
    <m/>
    <m/>
    <m/>
    <m/>
    <m/>
  </r>
  <r>
    <s v="P00944"/>
    <s v="Nisha R"/>
    <n v="25"/>
    <s v="Female"/>
    <s v="Bengaluru"/>
    <x v="5"/>
    <x v="0"/>
    <s v="Heart Disease"/>
    <s v="Emergency"/>
    <d v="2024-10-06T00:00:00"/>
    <d v="2024-06-15T00:00:00"/>
    <n v="5"/>
    <x v="1"/>
    <s v="X-Ray"/>
    <n v="44944.31"/>
    <n v="4"/>
    <s v="Left Against Medical Advice"/>
    <s v="18-35"/>
    <x v="20"/>
    <m/>
    <m/>
    <m/>
    <m/>
    <m/>
    <m/>
  </r>
  <r>
    <s v="P00945"/>
    <s v="Vivaan R"/>
    <n v="6"/>
    <s v="Male"/>
    <s v="Bengaluru"/>
    <x v="2"/>
    <x v="5"/>
    <s v="Pneumonia"/>
    <s v="Emergency"/>
    <d v="2025-07-10T00:00:00"/>
    <d v="2025-10-15T00:00:00"/>
    <n v="8"/>
    <x v="4"/>
    <s v="None"/>
    <n v="54116.09"/>
    <n v="5"/>
    <s v="Home"/>
    <s v="Under 18"/>
    <x v="16"/>
    <m/>
    <m/>
    <m/>
    <m/>
    <m/>
    <m/>
  </r>
  <r>
    <s v="P00946"/>
    <s v="Karthik R"/>
    <n v="6"/>
    <s v="Female"/>
    <s v="Hyderabad"/>
    <x v="0"/>
    <x v="1"/>
    <s v="Pneumonia"/>
    <s v="Elective"/>
    <d v="2024-02-26T00:00:00"/>
    <d v="2024-02-29T00:00:00"/>
    <n v="3"/>
    <x v="1"/>
    <s v="MRI"/>
    <n v="37420.19"/>
    <n v="4"/>
    <s v="Home"/>
    <s v="Under 18"/>
    <x v="2"/>
    <m/>
    <m/>
    <m/>
    <m/>
    <m/>
    <m/>
  </r>
  <r>
    <s v="P00947"/>
    <s v="Rohan Iyer"/>
    <n v="56"/>
    <s v="Other"/>
    <s v="Kochi"/>
    <x v="5"/>
    <x v="5"/>
    <s v="Pneumonia"/>
    <s v="Elective"/>
    <d v="2025-07-17T00:00:00"/>
    <d v="2025-07-20T00:00:00"/>
    <n v="3"/>
    <x v="2"/>
    <s v="Blood Test"/>
    <n v="67702.789999999994"/>
    <n v="4"/>
    <s v="Referred"/>
    <s v="51-65"/>
    <x v="16"/>
    <m/>
    <m/>
    <m/>
    <m/>
    <m/>
    <m/>
  </r>
  <r>
    <s v="P00948"/>
    <s v="Arjun Kumar"/>
    <n v="39"/>
    <s v="Other"/>
    <s v="Bengaluru"/>
    <x v="2"/>
    <x v="6"/>
    <s v="Pneumonia"/>
    <s v="Elective"/>
    <d v="2024-06-01T00:00:00"/>
    <d v="2024-09-01T00:00:00"/>
    <n v="3"/>
    <x v="4"/>
    <s v="Ultrasound"/>
    <n v="21672.92"/>
    <n v="4"/>
    <s v="Home"/>
    <s v="36-50"/>
    <x v="9"/>
    <m/>
    <m/>
    <m/>
    <m/>
    <m/>
    <m/>
  </r>
  <r>
    <s v="P00949"/>
    <s v="Sanjay Reddy"/>
    <n v="78"/>
    <s v="Female"/>
    <s v="Salem"/>
    <x v="2"/>
    <x v="6"/>
    <s v="Diabetes"/>
    <s v="Urgent"/>
    <d v="2025-03-06T00:00:00"/>
    <d v="2025-04-06T00:00:00"/>
    <n v="1"/>
    <x v="0"/>
    <s v="Ultrasound"/>
    <n v="103171.78"/>
    <n v="3"/>
    <s v="Left Against Medical Advice"/>
    <s v="66+"/>
    <x v="14"/>
    <m/>
    <m/>
    <m/>
    <m/>
    <m/>
    <m/>
  </r>
  <r>
    <s v="P00950"/>
    <s v="Manoj Nair"/>
    <n v="80"/>
    <s v="Other"/>
    <s v="Salem"/>
    <x v="1"/>
    <x v="5"/>
    <s v="Hypertension"/>
    <s v="Urgent"/>
    <d v="2025-01-19T00:00:00"/>
    <d v="2025-01-21T00:00:00"/>
    <n v="2"/>
    <x v="0"/>
    <s v="X-Ray"/>
    <n v="76908.05"/>
    <n v="3"/>
    <s v="Referred"/>
    <s v="66+"/>
    <x v="22"/>
    <m/>
    <m/>
    <m/>
    <m/>
    <m/>
    <m/>
  </r>
  <r>
    <s v="P00951"/>
    <s v="Karthik Sharma"/>
    <n v="43"/>
    <s v="Other"/>
    <s v="Coimbatore"/>
    <x v="4"/>
    <x v="4"/>
    <s v="No Chronic Condition"/>
    <s v="Emergency"/>
    <d v="2024-04-15T00:00:00"/>
    <d v="2024-04-16T00:00:00"/>
    <n v="1"/>
    <x v="3"/>
    <s v="MRI"/>
    <n v="57171.199999999997"/>
    <n v="5"/>
    <s v="Referred"/>
    <s v="36-50"/>
    <x v="6"/>
    <m/>
    <m/>
    <m/>
    <m/>
    <m/>
    <m/>
  </r>
  <r>
    <s v="P00952"/>
    <s v="Aarav Singh"/>
    <n v="56"/>
    <s v="Male"/>
    <s v="Hyderabad"/>
    <x v="2"/>
    <x v="0"/>
    <s v="Kidney Disease"/>
    <s v="Emergency"/>
    <d v="2025-07-31T00:00:00"/>
    <d v="2025-04-08T00:00:00"/>
    <n v="4"/>
    <x v="1"/>
    <s v="ECG"/>
    <n v="67756.789999999994"/>
    <n v="5"/>
    <s v="Referred"/>
    <s v="51-65"/>
    <x v="16"/>
    <m/>
    <m/>
    <m/>
    <m/>
    <m/>
    <m/>
  </r>
  <r>
    <s v="P00953"/>
    <s v="Manoj Kumar"/>
    <n v="67"/>
    <s v="Other"/>
    <s v="Madurai"/>
    <x v="4"/>
    <x v="3"/>
    <s v="Heart Disease"/>
    <s v="Elective"/>
    <d v="2024-08-13T00:00:00"/>
    <d v="2024-08-19T00:00:00"/>
    <n v="6"/>
    <x v="4"/>
    <s v="Ultrasound"/>
    <n v="129438.18"/>
    <n v="4"/>
    <s v="Home"/>
    <s v="66+"/>
    <x v="3"/>
    <m/>
    <m/>
    <m/>
    <m/>
    <m/>
    <m/>
  </r>
  <r>
    <s v="P00954"/>
    <s v="Nisha Devi"/>
    <n v="19"/>
    <s v="Other"/>
    <s v="Bengaluru"/>
    <x v="3"/>
    <x v="6"/>
    <s v="Pneumonia"/>
    <s v="Elective"/>
    <d v="2025-02-08T00:00:00"/>
    <d v="2025-05-08T00:00:00"/>
    <n v="3"/>
    <x v="0"/>
    <s v="CT Scan"/>
    <n v="83920.28"/>
    <n v="4"/>
    <s v="Transferred"/>
    <s v="18-35"/>
    <x v="15"/>
    <m/>
    <m/>
    <m/>
    <m/>
    <m/>
    <m/>
  </r>
  <r>
    <s v="P00955"/>
    <s v="Rohan Iyer"/>
    <n v="53"/>
    <s v="Other"/>
    <s v="Kochi"/>
    <x v="5"/>
    <x v="2"/>
    <s v="Hypertension"/>
    <s v="Urgent"/>
    <d v="2024-03-15T00:00:00"/>
    <d v="2024-03-16T00:00:00"/>
    <n v="1"/>
    <x v="1"/>
    <s v="None"/>
    <n v="61056.85"/>
    <n v="4"/>
    <s v="Home"/>
    <s v="51-65"/>
    <x v="18"/>
    <m/>
    <m/>
    <m/>
    <m/>
    <m/>
    <m/>
  </r>
  <r>
    <s v="P00956"/>
    <s v="Aarav Sharma"/>
    <n v="33"/>
    <s v="Female"/>
    <s v="Delhi"/>
    <x v="0"/>
    <x v="4"/>
    <s v="Skin Infection"/>
    <s v="Emergency"/>
    <d v="2024-09-30T00:00:00"/>
    <d v="2024-04-10T00:00:00"/>
    <n v="4"/>
    <x v="2"/>
    <s v="Ultrasound"/>
    <n v="31848.81"/>
    <n v="5"/>
    <s v="Left Against Medical Advice"/>
    <s v="18-35"/>
    <x v="13"/>
    <m/>
    <m/>
    <m/>
    <m/>
    <m/>
    <m/>
  </r>
  <r>
    <s v="P00957"/>
    <s v="Aarav Kumar"/>
    <n v="77"/>
    <s v="Male"/>
    <s v="Bengaluru"/>
    <x v="1"/>
    <x v="7"/>
    <s v="No Chronic Condition"/>
    <s v="Urgent"/>
    <d v="2025-02-02T00:00:00"/>
    <d v="2025-04-02T00:00:00"/>
    <n v="2"/>
    <x v="2"/>
    <s v="ECG"/>
    <n v="36443.39"/>
    <n v="5"/>
    <s v="Transferred"/>
    <s v="66+"/>
    <x v="15"/>
    <m/>
    <m/>
    <m/>
    <m/>
    <m/>
    <m/>
  </r>
  <r>
    <s v="P00958"/>
    <s v="Karthik Singh"/>
    <n v="11"/>
    <s v="Male"/>
    <s v="Pune"/>
    <x v="2"/>
    <x v="1"/>
    <s v="Kidney Disease"/>
    <s v="Emergency"/>
    <d v="2025-06-10T00:00:00"/>
    <d v="2025-07-10T00:00:00"/>
    <n v="1"/>
    <x v="2"/>
    <s v="Ultrasound"/>
    <n v="56783.37"/>
    <n v="4"/>
    <s v="Transferred"/>
    <s v="Under 18"/>
    <x v="10"/>
    <m/>
    <m/>
    <m/>
    <m/>
    <m/>
    <m/>
  </r>
  <r>
    <s v="P00959"/>
    <s v="Pooja Sharma"/>
    <n v="29"/>
    <s v="Other"/>
    <s v="Pune"/>
    <x v="1"/>
    <x v="5"/>
    <s v="No Chronic Condition"/>
    <s v="Urgent"/>
    <d v="2024-10-13T00:00:00"/>
    <d v="2024-10-14T00:00:00"/>
    <n v="1"/>
    <x v="3"/>
    <s v="ECG"/>
    <n v="32549.57"/>
    <n v="3"/>
    <s v="Referred"/>
    <s v="18-35"/>
    <x v="20"/>
    <m/>
    <m/>
    <m/>
    <m/>
    <m/>
    <m/>
  </r>
  <r>
    <s v="P00960"/>
    <s v="Deepa R"/>
    <n v="45"/>
    <s v="Female"/>
    <s v="Madurai"/>
    <x v="4"/>
    <x v="5"/>
    <s v="Pneumonia"/>
    <s v="Elective"/>
    <d v="2025-07-22T00:00:00"/>
    <d v="2025-07-29T00:00:00"/>
    <n v="7"/>
    <x v="0"/>
    <s v="Ultrasound"/>
    <n v="79385.570000000007"/>
    <n v="5"/>
    <s v="Transferred"/>
    <s v="36-50"/>
    <x v="16"/>
    <m/>
    <m/>
    <m/>
    <m/>
    <m/>
    <m/>
  </r>
  <r>
    <s v="P00961"/>
    <s v="Divya R"/>
    <n v="9"/>
    <s v="Female"/>
    <s v="Delhi"/>
    <x v="3"/>
    <x v="6"/>
    <s v="Migraine"/>
    <s v="Emergency"/>
    <d v="2024-07-22T00:00:00"/>
    <d v="2024-07-25T00:00:00"/>
    <n v="3"/>
    <x v="4"/>
    <s v="Blood Test"/>
    <n v="77681.919999999998"/>
    <n v="3"/>
    <s v="Referred"/>
    <s v="Under 18"/>
    <x v="12"/>
    <m/>
    <m/>
    <m/>
    <m/>
    <m/>
    <m/>
  </r>
  <r>
    <s v="P00962"/>
    <s v="Pooja Singh"/>
    <n v="22"/>
    <s v="Other"/>
    <s v="Kochi"/>
    <x v="3"/>
    <x v="7"/>
    <s v="Skin Infection"/>
    <s v="Elective"/>
    <d v="2024-04-14T00:00:00"/>
    <d v="2024-04-15T00:00:00"/>
    <n v="1"/>
    <x v="4"/>
    <s v="Blood Test"/>
    <n v="83506.73"/>
    <n v="3"/>
    <s v="Referred"/>
    <s v="18-35"/>
    <x v="6"/>
    <m/>
    <m/>
    <m/>
    <m/>
    <m/>
    <m/>
  </r>
  <r>
    <s v="P00963"/>
    <s v="Divya Devi"/>
    <n v="28"/>
    <s v="Male"/>
    <s v="Kochi"/>
    <x v="4"/>
    <x v="1"/>
    <s v="Asthma"/>
    <s v="Emergency"/>
    <d v="2024-03-17T00:00:00"/>
    <d v="2024-03-21T00:00:00"/>
    <n v="4"/>
    <x v="4"/>
    <s v="MRI"/>
    <n v="111972.08"/>
    <n v="3"/>
    <s v="Transferred"/>
    <s v="18-35"/>
    <x v="18"/>
    <m/>
    <m/>
    <m/>
    <m/>
    <m/>
    <m/>
  </r>
  <r>
    <s v="P00964"/>
    <s v="Pooja Singh"/>
    <n v="7"/>
    <s v="Female"/>
    <s v="Kochi"/>
    <x v="0"/>
    <x v="2"/>
    <s v="Kidney Disease"/>
    <s v="Emergency"/>
    <d v="2025-07-04T00:00:00"/>
    <d v="2025-04-13T00:00:00"/>
    <n v="6"/>
    <x v="2"/>
    <s v="Blood Test"/>
    <n v="50995.27"/>
    <n v="5"/>
    <s v="Referred"/>
    <s v="Under 18"/>
    <x v="16"/>
    <m/>
    <m/>
    <m/>
    <m/>
    <m/>
    <m/>
  </r>
  <r>
    <s v="P00965"/>
    <s v="Sanjay Nair"/>
    <n v="82"/>
    <s v="Female"/>
    <s v="Delhi"/>
    <x v="2"/>
    <x v="7"/>
    <s v="Fracture"/>
    <s v="Urgent"/>
    <d v="2025-05-18T00:00:00"/>
    <d v="2025-05-22T00:00:00"/>
    <n v="4"/>
    <x v="0"/>
    <s v="CT Scan"/>
    <n v="49917.99"/>
    <n v="5"/>
    <s v="Referred"/>
    <s v="66+"/>
    <x v="4"/>
    <m/>
    <m/>
    <m/>
    <m/>
    <m/>
    <m/>
  </r>
  <r>
    <s v="P00966"/>
    <s v="Sathya Singh"/>
    <n v="55"/>
    <s v="Female"/>
    <s v="Chennai"/>
    <x v="1"/>
    <x v="6"/>
    <s v="Skin Infection"/>
    <s v="Urgent"/>
    <d v="2025-06-07T00:00:00"/>
    <d v="2025-07-18T00:00:00"/>
    <n v="12"/>
    <x v="0"/>
    <s v="ECG"/>
    <n v="114750.12"/>
    <n v="1"/>
    <s v="Left Against Medical Advice"/>
    <s v="51-65"/>
    <x v="10"/>
    <m/>
    <m/>
    <m/>
    <m/>
    <m/>
    <m/>
  </r>
  <r>
    <s v="P00967"/>
    <s v="Rohan Kumar"/>
    <n v="52"/>
    <s v="Other"/>
    <s v="Mumbai"/>
    <x v="4"/>
    <x v="5"/>
    <s v="Heart Disease"/>
    <s v="Elective"/>
    <d v="2024-01-05T00:00:00"/>
    <d v="2024-05-05T00:00:00"/>
    <n v="4"/>
    <x v="0"/>
    <s v="X-Ray"/>
    <n v="77722.81"/>
    <n v="4"/>
    <s v="Home"/>
    <s v="51-65"/>
    <x v="0"/>
    <m/>
    <m/>
    <m/>
    <m/>
    <m/>
    <m/>
  </r>
  <r>
    <s v="P00968"/>
    <s v="Aarav Nair"/>
    <n v="85"/>
    <s v="Female"/>
    <s v="Kochi"/>
    <x v="1"/>
    <x v="6"/>
    <s v="Hypertension"/>
    <s v="Emergency"/>
    <d v="2024-03-07T00:00:00"/>
    <d v="2024-08-07T00:00:00"/>
    <n v="5"/>
    <x v="1"/>
    <s v="CT Scan"/>
    <n v="152886.54"/>
    <n v="4"/>
    <s v="Referred"/>
    <s v="66+"/>
    <x v="18"/>
    <m/>
    <m/>
    <m/>
    <m/>
    <m/>
    <m/>
  </r>
  <r>
    <s v="P00969"/>
    <s v="Vivaan Devi"/>
    <n v="10"/>
    <s v="Other"/>
    <s v="Coimbatore"/>
    <x v="1"/>
    <x v="3"/>
    <s v="No Chronic Condition"/>
    <s v="Urgent"/>
    <d v="2025-10-28T00:00:00"/>
    <d v="2025-10-29T00:00:00"/>
    <n v="1"/>
    <x v="0"/>
    <s v="ECG"/>
    <n v="66132"/>
    <n v="4"/>
    <s v="Transferred"/>
    <s v="Under 18"/>
    <x v="17"/>
    <m/>
    <m/>
    <m/>
    <m/>
    <m/>
    <m/>
  </r>
  <r>
    <s v="P00970"/>
    <s v="Priya Devi"/>
    <n v="70"/>
    <s v="Female"/>
    <s v="Hyderabad"/>
    <x v="5"/>
    <x v="7"/>
    <s v="Skin Infection"/>
    <s v="Urgent"/>
    <d v="2024-11-06T00:00:00"/>
    <d v="2024-06-14T00:00:00"/>
    <n v="3"/>
    <x v="1"/>
    <s v="None"/>
    <n v="43620.01"/>
    <n v="5"/>
    <s v="Home"/>
    <s v="66+"/>
    <x v="21"/>
    <m/>
    <m/>
    <m/>
    <m/>
    <m/>
    <m/>
  </r>
  <r>
    <s v="P00971"/>
    <s v="Meera Sharma"/>
    <n v="83"/>
    <s v="Female"/>
    <s v="Coimbatore"/>
    <x v="3"/>
    <x v="5"/>
    <s v="Diabetes"/>
    <s v="Elective"/>
    <d v="2024-10-17T00:00:00"/>
    <d v="2024-10-20T00:00:00"/>
    <n v="3"/>
    <x v="4"/>
    <s v="CT Scan"/>
    <n v="62755.47"/>
    <n v="4"/>
    <s v="Left Against Medical Advice"/>
    <s v="66+"/>
    <x v="20"/>
    <m/>
    <m/>
    <m/>
    <m/>
    <m/>
    <m/>
  </r>
  <r>
    <s v="P00972"/>
    <s v="Aditya Singh"/>
    <n v="26"/>
    <s v="Other"/>
    <s v="Delhi"/>
    <x v="3"/>
    <x v="4"/>
    <s v="Pneumonia"/>
    <s v="Urgent"/>
    <d v="2025-03-11T00:00:00"/>
    <d v="2025-04-11T00:00:00"/>
    <n v="1"/>
    <x v="4"/>
    <s v="CT Scan"/>
    <n v="68958.100000000006"/>
    <n v="5"/>
    <s v="Referred"/>
    <s v="18-35"/>
    <x v="14"/>
    <m/>
    <m/>
    <m/>
    <m/>
    <m/>
    <m/>
  </r>
  <r>
    <s v="P00973"/>
    <s v="Vivaan Nair"/>
    <n v="80"/>
    <s v="Other"/>
    <s v="Kochi"/>
    <x v="4"/>
    <x v="6"/>
    <s v="Migraine"/>
    <s v="Elective"/>
    <d v="2025-03-22T00:00:00"/>
    <d v="2025-03-26T00:00:00"/>
    <n v="4"/>
    <x v="3"/>
    <s v="Ultrasound"/>
    <n v="68381.64"/>
    <n v="5"/>
    <s v="Referred"/>
    <s v="66+"/>
    <x v="14"/>
    <m/>
    <m/>
    <m/>
    <m/>
    <m/>
    <m/>
  </r>
  <r>
    <s v="P00974"/>
    <s v="Deepa Kumar"/>
    <n v="48"/>
    <s v="Female"/>
    <s v="Chennai"/>
    <x v="2"/>
    <x v="3"/>
    <s v="Pneumonia"/>
    <s v="Emergency"/>
    <d v="2025-12-13T00:00:00"/>
    <d v="2025-12-26T00:00:00"/>
    <n v="13"/>
    <x v="3"/>
    <s v="MRI"/>
    <n v="87458.67"/>
    <n v="4"/>
    <s v="Referred"/>
    <s v="36-50"/>
    <x v="1"/>
    <m/>
    <m/>
    <m/>
    <m/>
    <m/>
    <m/>
  </r>
  <r>
    <s v="P00975"/>
    <s v="Ishita Devi"/>
    <n v="44"/>
    <s v="Male"/>
    <s v="Hyderabad"/>
    <x v="2"/>
    <x v="5"/>
    <s v="No Chronic Condition"/>
    <s v="Emergency"/>
    <d v="2024-01-10T00:00:00"/>
    <d v="2024-02-10T00:00:00"/>
    <n v="1"/>
    <x v="3"/>
    <s v="Ultrasound"/>
    <n v="40766.89"/>
    <n v="3"/>
    <s v="Transferred"/>
    <s v="36-50"/>
    <x v="0"/>
    <m/>
    <m/>
    <m/>
    <m/>
    <m/>
    <m/>
  </r>
  <r>
    <s v="P00976"/>
    <s v="Lakshmi Sharma"/>
    <n v="51"/>
    <s v="Female"/>
    <s v="Mumbai"/>
    <x v="1"/>
    <x v="3"/>
    <s v="Asthma"/>
    <s v="Emergency"/>
    <d v="2024-07-18T00:00:00"/>
    <d v="2024-07-19T00:00:00"/>
    <n v="1"/>
    <x v="0"/>
    <s v="X-Ray"/>
    <n v="76576.600000000006"/>
    <n v="5"/>
    <s v="Left Against Medical Advice"/>
    <s v="51-65"/>
    <x v="12"/>
    <m/>
    <m/>
    <m/>
    <m/>
    <m/>
    <m/>
  </r>
  <r>
    <s v="P00977"/>
    <s v="Manoj Reddy"/>
    <n v="76"/>
    <s v="Female"/>
    <s v="Mumbai"/>
    <x v="5"/>
    <x v="3"/>
    <s v="Hypertension"/>
    <s v="Emergency"/>
    <d v="2025-12-12T00:00:00"/>
    <d v="2025-12-15T00:00:00"/>
    <n v="3"/>
    <x v="4"/>
    <s v="ECG"/>
    <n v="59252.33"/>
    <n v="4"/>
    <s v="Transferred"/>
    <s v="66+"/>
    <x v="1"/>
    <m/>
    <m/>
    <m/>
    <m/>
    <m/>
    <m/>
  </r>
  <r>
    <s v="P00978"/>
    <s v="Ishita R"/>
    <n v="50"/>
    <s v="Other"/>
    <s v="Kochi"/>
    <x v="3"/>
    <x v="4"/>
    <s v="Fracture"/>
    <s v="Emergency"/>
    <d v="2024-11-28T00:00:00"/>
    <d v="2024-03-12T00:00:00"/>
    <n v="5"/>
    <x v="2"/>
    <s v="CT Scan"/>
    <n v="28367.09"/>
    <n v="3"/>
    <s v="Left Against Medical Advice"/>
    <s v="36-50"/>
    <x v="21"/>
    <m/>
    <m/>
    <m/>
    <m/>
    <m/>
    <m/>
  </r>
  <r>
    <s v="P00979"/>
    <s v="Kavya Devi"/>
    <n v="22"/>
    <s v="Female"/>
    <s v="Delhi"/>
    <x v="4"/>
    <x v="0"/>
    <s v="Migraine"/>
    <s v="Elective"/>
    <d v="2024-07-22T00:00:00"/>
    <d v="2024-07-24T00:00:00"/>
    <n v="2"/>
    <x v="1"/>
    <s v="X-Ray"/>
    <n v="27343.57"/>
    <n v="3"/>
    <s v="Home"/>
    <s v="18-35"/>
    <x v="12"/>
    <m/>
    <m/>
    <m/>
    <m/>
    <m/>
    <m/>
  </r>
  <r>
    <s v="P00980"/>
    <s v="Arjun Iyer"/>
    <n v="28"/>
    <s v="Other"/>
    <s v="Pune"/>
    <x v="1"/>
    <x v="2"/>
    <s v="Kidney Disease"/>
    <s v="Elective"/>
    <d v="2024-06-26T00:00:00"/>
    <d v="2024-01-07T00:00:00"/>
    <n v="5"/>
    <x v="2"/>
    <s v="Blood Test"/>
    <n v="65132.44"/>
    <n v="5"/>
    <s v="Transferred"/>
    <s v="18-35"/>
    <x v="9"/>
    <m/>
    <m/>
    <m/>
    <m/>
    <m/>
    <m/>
  </r>
  <r>
    <s v="P00981"/>
    <s v="Divya R"/>
    <n v="20"/>
    <s v="Other"/>
    <s v="Salem"/>
    <x v="3"/>
    <x v="0"/>
    <s v="Diabetes"/>
    <s v="Elective"/>
    <d v="2025-10-20T00:00:00"/>
    <d v="2025-10-22T00:00:00"/>
    <n v="2"/>
    <x v="0"/>
    <s v="Blood Test"/>
    <n v="68672.36"/>
    <n v="3"/>
    <s v="Referred"/>
    <s v="18-35"/>
    <x v="17"/>
    <m/>
    <m/>
    <m/>
    <m/>
    <m/>
    <m/>
  </r>
  <r>
    <s v="P00982"/>
    <s v="Nisha Reddy"/>
    <n v="62"/>
    <s v="Female"/>
    <s v="Chennai"/>
    <x v="5"/>
    <x v="3"/>
    <s v="Pneumonia"/>
    <s v="Urgent"/>
    <d v="2024-05-10T00:00:00"/>
    <d v="2024-06-10T00:00:00"/>
    <n v="1"/>
    <x v="0"/>
    <s v="CT Scan"/>
    <n v="31601.99"/>
    <n v="4"/>
    <s v="Left Against Medical Advice"/>
    <s v="51-65"/>
    <x v="23"/>
    <m/>
    <m/>
    <m/>
    <m/>
    <m/>
    <m/>
  </r>
  <r>
    <s v="P00983"/>
    <s v="Nisha Nair"/>
    <n v="69"/>
    <s v="Male"/>
    <s v="Mumbai"/>
    <x v="2"/>
    <x v="4"/>
    <s v="Skin Infection"/>
    <s v="Urgent"/>
    <d v="2024-10-13T00:00:00"/>
    <d v="2024-10-20T00:00:00"/>
    <n v="7"/>
    <x v="1"/>
    <s v="X-Ray"/>
    <n v="58148.59"/>
    <n v="5"/>
    <s v="Referred"/>
    <s v="66+"/>
    <x v="20"/>
    <m/>
    <m/>
    <m/>
    <m/>
    <m/>
    <m/>
  </r>
  <r>
    <s v="P00984"/>
    <s v="Vivaan Sharma"/>
    <n v="39"/>
    <s v="Other"/>
    <s v="Madurai"/>
    <x v="5"/>
    <x v="3"/>
    <s v="Diabetes"/>
    <s v="Urgent"/>
    <d v="2024-01-05T00:00:00"/>
    <d v="2024-10-05T00:00:00"/>
    <n v="9"/>
    <x v="3"/>
    <s v="ECG"/>
    <n v="53908.12"/>
    <n v="5"/>
    <s v="Referred"/>
    <s v="36-50"/>
    <x v="0"/>
    <m/>
    <m/>
    <m/>
    <m/>
    <m/>
    <m/>
  </r>
  <r>
    <s v="P00985"/>
    <s v="Aarav Nair"/>
    <n v="10"/>
    <s v="Female"/>
    <s v="Mumbai"/>
    <x v="1"/>
    <x v="0"/>
    <s v="Migraine"/>
    <s v="Emergency"/>
    <d v="2024-05-14T00:00:00"/>
    <d v="2024-05-26T00:00:00"/>
    <n v="12"/>
    <x v="0"/>
    <s v="X-Ray"/>
    <n v="94249.26"/>
    <n v="2"/>
    <s v="Left Against Medical Advice"/>
    <s v="Under 18"/>
    <x v="23"/>
    <m/>
    <m/>
    <m/>
    <m/>
    <m/>
    <m/>
  </r>
  <r>
    <s v="P00986"/>
    <s v="Lakshmi Sharma"/>
    <n v="72"/>
    <s v="Other"/>
    <s v="Delhi"/>
    <x v="2"/>
    <x v="2"/>
    <s v="Pneumonia"/>
    <s v="Emergency"/>
    <d v="2024-05-07T00:00:00"/>
    <d v="2024-06-07T00:00:00"/>
    <n v="1"/>
    <x v="4"/>
    <s v="CT Scan"/>
    <n v="54809.65"/>
    <n v="5"/>
    <s v="Left Against Medical Advice"/>
    <s v="66+"/>
    <x v="23"/>
    <m/>
    <m/>
    <m/>
    <m/>
    <m/>
    <m/>
  </r>
  <r>
    <s v="P00987"/>
    <s v="Karthik Sharma"/>
    <n v="38"/>
    <s v="Other"/>
    <s v="Kochi"/>
    <x v="4"/>
    <x v="6"/>
    <s v="Migraine"/>
    <s v="Urgent"/>
    <d v="2025-02-27T00:00:00"/>
    <d v="2025-10-03T00:00:00"/>
    <n v="11"/>
    <x v="3"/>
    <s v="X-Ray"/>
    <n v="84803.11"/>
    <n v="2"/>
    <s v="Home"/>
    <s v="36-50"/>
    <x v="15"/>
    <m/>
    <m/>
    <m/>
    <m/>
    <m/>
    <m/>
  </r>
  <r>
    <s v="P00988"/>
    <s v="Aarav R"/>
    <n v="17"/>
    <s v="Female"/>
    <s v="Kochi"/>
    <x v="0"/>
    <x v="4"/>
    <s v="No Chronic Condition"/>
    <s v="Elective"/>
    <d v="2025-09-13T00:00:00"/>
    <d v="2025-09-25T00:00:00"/>
    <n v="12"/>
    <x v="1"/>
    <s v="CT Scan"/>
    <n v="23450.12"/>
    <n v="4"/>
    <s v="Referred"/>
    <s v="Under 18"/>
    <x v="7"/>
    <m/>
    <m/>
    <m/>
    <m/>
    <m/>
    <m/>
  </r>
  <r>
    <s v="P00989"/>
    <s v="Pooja Sharma"/>
    <n v="27"/>
    <s v="Other"/>
    <s v="Hyderabad"/>
    <x v="5"/>
    <x v="5"/>
    <s v="Pneumonia"/>
    <s v="Elective"/>
    <d v="2025-07-20T00:00:00"/>
    <d v="2025-07-23T00:00:00"/>
    <n v="3"/>
    <x v="4"/>
    <s v="MRI"/>
    <n v="49863.73"/>
    <n v="2"/>
    <s v="Transferred"/>
    <s v="18-35"/>
    <x v="16"/>
    <m/>
    <m/>
    <m/>
    <m/>
    <m/>
    <m/>
  </r>
  <r>
    <s v="P00990"/>
    <s v="Pooja Reddy"/>
    <n v="47"/>
    <s v="Other"/>
    <s v="Kochi"/>
    <x v="0"/>
    <x v="1"/>
    <s v="Migraine"/>
    <s v="Urgent"/>
    <d v="2025-04-10T00:00:00"/>
    <d v="2025-08-10T00:00:00"/>
    <n v="4"/>
    <x v="2"/>
    <s v="CT Scan"/>
    <n v="28697.25"/>
    <n v="5"/>
    <s v="Home"/>
    <s v="36-50"/>
    <x v="5"/>
    <m/>
    <m/>
    <m/>
    <m/>
    <m/>
    <m/>
  </r>
  <r>
    <s v="P00991"/>
    <s v="Karthik Sharma"/>
    <n v="71"/>
    <s v="Female"/>
    <s v="Chennai"/>
    <x v="5"/>
    <x v="5"/>
    <s v="Heart Disease"/>
    <s v="Emergency"/>
    <d v="2025-03-26T00:00:00"/>
    <d v="2025-01-04T00:00:00"/>
    <n v="6"/>
    <x v="3"/>
    <s v="X-Ray"/>
    <n v="26477.45"/>
    <n v="5"/>
    <s v="Referred"/>
    <s v="66+"/>
    <x v="14"/>
    <m/>
    <m/>
    <m/>
    <m/>
    <m/>
    <m/>
  </r>
  <r>
    <s v="P00992"/>
    <s v="Sathya Sharma"/>
    <n v="53"/>
    <s v="Female"/>
    <s v="Mumbai"/>
    <x v="2"/>
    <x v="0"/>
    <s v="Fracture"/>
    <s v="Elective"/>
    <d v="2024-04-13T00:00:00"/>
    <d v="2024-04-16T00:00:00"/>
    <n v="3"/>
    <x v="3"/>
    <s v="None"/>
    <n v="29247.86"/>
    <n v="4"/>
    <s v="Referred"/>
    <s v="51-65"/>
    <x v="6"/>
    <m/>
    <m/>
    <m/>
    <m/>
    <m/>
    <m/>
  </r>
  <r>
    <s v="P00993"/>
    <s v="Ananya Iyer"/>
    <n v="41"/>
    <s v="Other"/>
    <s v="Chennai"/>
    <x v="3"/>
    <x v="5"/>
    <s v="Kidney Disease"/>
    <s v="Elective"/>
    <d v="2024-11-11T00:00:00"/>
    <d v="2024-11-14T00:00:00"/>
    <n v="3"/>
    <x v="1"/>
    <s v="None"/>
    <n v="27977.22"/>
    <n v="5"/>
    <s v="Transferred"/>
    <s v="36-50"/>
    <x v="21"/>
    <m/>
    <m/>
    <m/>
    <m/>
    <m/>
    <m/>
  </r>
  <r>
    <s v="P00994"/>
    <s v="Pooja Kumar"/>
    <n v="74"/>
    <s v="Male"/>
    <s v="Hyderabad"/>
    <x v="3"/>
    <x v="5"/>
    <s v="No Chronic Condition"/>
    <s v="Emergency"/>
    <d v="2025-09-17T00:00:00"/>
    <d v="2025-09-24T00:00:00"/>
    <n v="7"/>
    <x v="4"/>
    <s v="Blood Test"/>
    <n v="72215.44"/>
    <n v="5"/>
    <s v="Referred"/>
    <s v="66+"/>
    <x v="7"/>
    <m/>
    <m/>
    <m/>
    <m/>
    <m/>
    <m/>
  </r>
  <r>
    <s v="P00995"/>
    <s v="Kavya Sharma"/>
    <n v="8"/>
    <s v="Male"/>
    <s v="Salem"/>
    <x v="3"/>
    <x v="0"/>
    <s v="Heart Disease"/>
    <s v="Urgent"/>
    <d v="2024-09-09T00:00:00"/>
    <d v="2024-09-13T00:00:00"/>
    <n v="4"/>
    <x v="3"/>
    <s v="X-Ray"/>
    <n v="47793.91"/>
    <n v="5"/>
    <s v="Referred"/>
    <s v="Under 18"/>
    <x v="13"/>
    <m/>
    <m/>
    <m/>
    <m/>
    <m/>
    <m/>
  </r>
  <r>
    <s v="P00996"/>
    <s v="Manoj Singh"/>
    <n v="4"/>
    <s v="Other"/>
    <s v="Salem"/>
    <x v="2"/>
    <x v="1"/>
    <s v="Skin Infection"/>
    <s v="Elective"/>
    <d v="2024-10-04T00:00:00"/>
    <d v="2024-04-19T00:00:00"/>
    <n v="9"/>
    <x v="0"/>
    <s v="ECG"/>
    <n v="39725.370000000003"/>
    <n v="2"/>
    <s v="Left Against Medical Advice"/>
    <s v="Under 18"/>
    <x v="20"/>
    <m/>
    <m/>
    <m/>
    <m/>
    <m/>
    <m/>
  </r>
  <r>
    <s v="P00997"/>
    <s v="Vivaan Kumar"/>
    <n v="45"/>
    <s v="Other"/>
    <s v="Coimbatore"/>
    <x v="4"/>
    <x v="3"/>
    <s v="Skin Infection"/>
    <s v="Elective"/>
    <d v="2024-03-08T00:00:00"/>
    <d v="2024-10-08T00:00:00"/>
    <n v="7"/>
    <x v="1"/>
    <s v="X-Ray"/>
    <n v="53822.2"/>
    <n v="4"/>
    <s v="Left Against Medical Advice"/>
    <s v="36-50"/>
    <x v="18"/>
    <m/>
    <m/>
    <m/>
    <m/>
    <m/>
    <m/>
  </r>
  <r>
    <s v="P00998"/>
    <s v="Aditya Kumar"/>
    <n v="83"/>
    <s v="Female"/>
    <s v="Hyderabad"/>
    <x v="2"/>
    <x v="3"/>
    <s v="Asthma"/>
    <s v="Urgent"/>
    <d v="2025-09-08T00:00:00"/>
    <d v="2025-11-08T00:00:00"/>
    <n v="2"/>
    <x v="3"/>
    <s v="None"/>
    <n v="162057.18"/>
    <n v="4"/>
    <s v="Transferred"/>
    <s v="66+"/>
    <x v="7"/>
    <m/>
    <m/>
    <m/>
    <m/>
    <m/>
    <m/>
  </r>
  <r>
    <s v="P00999"/>
    <s v="Aarav Reddy"/>
    <n v="85"/>
    <s v="Female"/>
    <s v="Delhi"/>
    <x v="4"/>
    <x v="7"/>
    <s v="Diabetes"/>
    <s v="Emergency"/>
    <d v="2024-04-04T00:00:00"/>
    <d v="2024-06-04T00:00:00"/>
    <n v="2"/>
    <x v="0"/>
    <s v="CT Scan"/>
    <n v="56681.85"/>
    <n v="3"/>
    <s v="Home"/>
    <s v="66+"/>
    <x v="6"/>
    <m/>
    <m/>
    <m/>
    <m/>
    <m/>
    <m/>
  </r>
  <r>
    <s v="P01000"/>
    <s v="Pooja Reddy"/>
    <n v="78"/>
    <s v="Female"/>
    <s v="Delhi"/>
    <x v="2"/>
    <x v="6"/>
    <s v="Hypertension"/>
    <s v="Emergency"/>
    <d v="2024-05-28T00:00:00"/>
    <d v="2024-05-29T00:00:00"/>
    <n v="1"/>
    <x v="2"/>
    <s v="Blood Test"/>
    <n v="35437.74"/>
    <n v="4"/>
    <s v="Home"/>
    <s v="66+"/>
    <x v="2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8ADDE-D713-4D32-B54F-0733FDBD813E}" name="PivotTable1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4"/>
        <item x="0"/>
        <item x="2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numFmtId="1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 v="2"/>
    </i>
    <i>
      <x v="5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_Bill_INR" fld="14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EBB65-985D-44D7-9AB5-5D54EE58B5CF}" name="PivotTable2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2" firstHeaderRow="0" firstDataRow="1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5"/>
        <item x="2"/>
        <item x="7"/>
        <item x="6"/>
        <item x="3"/>
        <item x="0"/>
        <item x="4"/>
        <item t="default"/>
      </items>
    </pivotField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numFmtId="1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Bill_INR" fld="14" baseField="0" baseItem="0" numFmtId="164"/>
    <dataField name="Count of Patient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A4BB9-4C5A-4758-81F4-D913CE41EECB}" name="PivotTable10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8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axis="axisRow" compact="0" numFmtId="17" outline="0" showAll="0">
      <items count="25">
        <item x="0"/>
        <item x="2"/>
        <item x="18"/>
        <item x="6"/>
        <item x="23"/>
        <item x="9"/>
        <item x="12"/>
        <item x="3"/>
        <item x="13"/>
        <item x="20"/>
        <item x="21"/>
        <item x="8"/>
        <item x="22"/>
        <item x="15"/>
        <item x="14"/>
        <item x="5"/>
        <item x="4"/>
        <item x="10"/>
        <item x="16"/>
        <item x="19"/>
        <item x="7"/>
        <item x="17"/>
        <item x="11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_Bill_INR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794D7-A585-4791-B42C-947EA82C7045}" name="PivotTable1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0" firstDataRow="1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axis="axisRow" compact="0" outline="0" showAll="0">
      <items count="6">
        <item x="4"/>
        <item x="3"/>
        <item x="0"/>
        <item x="2"/>
        <item x="1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numFmtId="1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Bill_INR" fld="14" baseField="0" baseItem="0" numFmtId="164"/>
    <dataField name="Count of Patient_ID" fld="0" subtotal="count" baseField="0" baseItem="0"/>
    <dataField name="Average of Total_Bill_INR2" fld="14" subtotal="average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C9F19-A560-479F-8CC6-FD1C62AA11DE}" name="PivotTable2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2" firstHeaderRow="0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5"/>
        <item x="2"/>
        <item x="7"/>
        <item x="6"/>
        <item x="3"/>
        <item x="0"/>
        <item x="4"/>
        <item t="default"/>
      </items>
    </pivotField>
    <pivotField compact="0" outline="0" showAll="0"/>
    <pivotField compact="0" outline="0" showAll="0"/>
    <pivotField compact="0" numFmtId="14" outline="0" showAll="0"/>
    <pivotField compact="0" numFmtId="14" outline="0" showAll="0"/>
    <pivotField dataField="1"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numFmtId="1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ength_of_Stay_Days" fld="11" subtotal="average" baseField="0" baseItem="0"/>
    <dataField name="Average of Total_Bill_INR" fld="14" subtotal="average" baseField="0" baseItem="0" numFmtId="164"/>
  </dataFields>
  <formats count="2">
    <format dxfId="22">
      <pivotArea outline="0" fieldPosition="0">
        <references count="2">
          <reference field="4294967294" count="1" selected="0">
            <x v="0"/>
          </reference>
          <reference field="6" count="0" selected="0"/>
        </references>
      </pivotArea>
    </format>
    <format dxfId="23">
      <pivotArea field="6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9FA66D-B141-4B79-A8FC-B3747E8202F3}" name="Table1" displayName="Table1" ref="A1:Y1001" totalsRowShown="0" headerRowDxfId="21" headerRowBorderDxfId="19" tableBorderDxfId="20">
  <autoFilter ref="A1:Y1001" xr:uid="{589FA66D-B141-4B79-A8FC-B3747E8202F3}"/>
  <tableColumns count="25">
    <tableColumn id="1" xr3:uid="{7E54F467-B4EF-4504-B736-F7E48F6D2B97}" name="Patient_ID" dataDxfId="18"/>
    <tableColumn id="2" xr3:uid="{3F87B8EA-C8D8-4E3F-AFB2-99CE14F5255E}" name="Patient_Name" dataDxfId="17"/>
    <tableColumn id="3" xr3:uid="{C1D1561A-29C1-4B87-9BE0-F662A4C54FEB}" name="Age" dataDxfId="16"/>
    <tableColumn id="4" xr3:uid="{3CBF4BA9-4E8C-496D-842D-845820C111E5}" name="Gender" dataDxfId="15"/>
    <tableColumn id="5" xr3:uid="{D3C9B79A-7681-4818-B184-866DA5FD269C}" name="City" dataDxfId="14"/>
    <tableColumn id="6" xr3:uid="{320FDA08-6798-4258-91E7-FA5057EB2031}" name="Hospital" dataDxfId="13"/>
    <tableColumn id="7" xr3:uid="{40AF14AC-4855-4F10-98DB-0672B7FE6CD2}" name="Department" dataDxfId="12"/>
    <tableColumn id="8" xr3:uid="{576AA3D8-D49D-499C-889A-1D2A941DEF15}" name="Medical_Condition" dataDxfId="11"/>
    <tableColumn id="9" xr3:uid="{3628C856-CF8A-4FF9-AAEF-163222AF0B7D}" name="Admission_Type" dataDxfId="10"/>
    <tableColumn id="10" xr3:uid="{6AD42539-45AE-4FE1-823C-A632AA1DE57E}" name="Admission_Date" dataDxfId="9"/>
    <tableColumn id="11" xr3:uid="{41259E77-7562-422D-91FA-65162BAA660D}" name="Discharge_Date" dataDxfId="8"/>
    <tableColumn id="12" xr3:uid="{49149EA3-93F7-4D9C-9BB3-F95525F2C8DA}" name="Length_of_Stay_Days" dataDxfId="7"/>
    <tableColumn id="13" xr3:uid="{7D15E108-DBE7-4BE7-8B3B-611E2FA6BF03}" name="Insurance_Type" dataDxfId="6"/>
    <tableColumn id="14" xr3:uid="{AD84A78D-5F98-49FE-A07D-B5ADB768C6BD}" name="Test_or_Procedure" dataDxfId="5"/>
    <tableColumn id="15" xr3:uid="{2AA72083-E872-4716-B5FD-289F0DAF05B1}" name="Total_Bill_INR" dataDxfId="4"/>
    <tableColumn id="16" xr3:uid="{668B8F87-486B-43A0-822B-7D33FCC4095D}" name="Satisfaction_Score" dataDxfId="3"/>
    <tableColumn id="17" xr3:uid="{6B2EF8F0-838F-499B-A32A-641513E5B4D0}" name="Discharge_Disposition" dataDxfId="2"/>
    <tableColumn id="18" xr3:uid="{0FB5190C-6324-4064-B780-4BE28FBCB3F6}" name="Age group" dataDxfId="1">
      <calculatedColumnFormula array="1">_xlfn.IFS(C2&lt;18,"Under 18",C2&lt;36,"18-35",C2&lt;51,"36-50",C2&lt;66,"51-65",C2&gt;=66,"66+")</calculatedColumnFormula>
    </tableColumn>
    <tableColumn id="19" xr3:uid="{49CCC55C-E8C7-4818-A88B-69E3B908FA5D}" name="Admission Month" dataDxfId="0"/>
    <tableColumn id="20" xr3:uid="{26C50B6D-B478-4DDA-8964-3F81DF0C4995}" name="Total amount billed amount"/>
    <tableColumn id="21" xr3:uid="{A0597468-11ED-4ECD-8151-0D41C1E3F6FB}" name="Total patient records"/>
    <tableColumn id="22" xr3:uid="{C5091A2D-1170-441C-9245-A534DDE434FE}" name="Average bill"/>
    <tableColumn id="23" xr3:uid="{127AF734-D2B7-4384-BB40-EC173E29E75A}" name="hightest bill"/>
    <tableColumn id="24" xr3:uid="{71A6C881-45CC-4B15-9322-A2B287838653}" name="Lowest bill"/>
    <tableColumn id="25" xr3:uid="{932DA2F7-CFE5-4A08-AC8D-B45D0EE8E7CB}" name="Avg lenght of sta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selection activeCell="B4" sqref="B4"/>
    </sheetView>
  </sheetViews>
  <sheetFormatPr defaultRowHeight="15"/>
  <cols>
    <col min="1" max="1" width="10.28515625" bestFit="1" customWidth="1"/>
    <col min="2" max="2" width="15.42578125" bestFit="1" customWidth="1"/>
    <col min="4" max="4" width="7.5703125" bestFit="1" customWidth="1"/>
    <col min="5" max="5" width="11.42578125" bestFit="1" customWidth="1"/>
    <col min="6" max="6" width="26.7109375" bestFit="1" customWidth="1"/>
    <col min="7" max="7" width="16.7109375" bestFit="1" customWidth="1"/>
    <col min="8" max="8" width="20" bestFit="1" customWidth="1"/>
    <col min="9" max="9" width="16" bestFit="1" customWidth="1"/>
    <col min="10" max="10" width="15.42578125" style="9" bestFit="1" customWidth="1"/>
    <col min="11" max="11" width="15" bestFit="1" customWidth="1"/>
    <col min="12" max="12" width="20.140625" bestFit="1" customWidth="1"/>
    <col min="13" max="13" width="19.7109375" bestFit="1" customWidth="1"/>
    <col min="14" max="14" width="18" bestFit="1" customWidth="1"/>
    <col min="15" max="15" width="13.42578125" bestFit="1" customWidth="1"/>
    <col min="16" max="16" width="18" bestFit="1" customWidth="1"/>
    <col min="17" max="17" width="25.5703125" bestFit="1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 t="s">
        <v>17</v>
      </c>
      <c r="B2" s="1" t="s">
        <v>18</v>
      </c>
      <c r="C2" s="1">
        <v>82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7" t="s">
        <v>25</v>
      </c>
      <c r="K2" s="1" t="s">
        <v>26</v>
      </c>
      <c r="L2" s="1">
        <v>2</v>
      </c>
      <c r="M2" s="1" t="s">
        <v>27</v>
      </c>
      <c r="N2" s="1" t="s">
        <v>28</v>
      </c>
      <c r="O2" s="1">
        <v>18346.53</v>
      </c>
      <c r="P2" s="1">
        <v>4</v>
      </c>
      <c r="Q2" s="1" t="s">
        <v>29</v>
      </c>
    </row>
    <row r="3" spans="1:17">
      <c r="A3" s="1" t="s">
        <v>30</v>
      </c>
      <c r="B3" s="1" t="s">
        <v>31</v>
      </c>
      <c r="C3" s="1">
        <v>84</v>
      </c>
      <c r="D3" s="1" t="s">
        <v>27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7">
        <v>45998</v>
      </c>
      <c r="K3" s="1" t="s">
        <v>37</v>
      </c>
      <c r="L3" s="1">
        <v>2</v>
      </c>
      <c r="M3" s="1" t="s">
        <v>38</v>
      </c>
      <c r="N3" s="1" t="s">
        <v>39</v>
      </c>
      <c r="O3" s="1">
        <v>94838.25</v>
      </c>
      <c r="P3" s="1">
        <v>3</v>
      </c>
      <c r="Q3" s="1" t="s">
        <v>40</v>
      </c>
    </row>
    <row r="4" spans="1:17">
      <c r="A4" s="1" t="s">
        <v>41</v>
      </c>
      <c r="B4" s="1" t="s">
        <v>42</v>
      </c>
      <c r="C4" s="1">
        <v>78</v>
      </c>
      <c r="D4" s="1" t="s">
        <v>43</v>
      </c>
      <c r="E4" s="1" t="s">
        <v>44</v>
      </c>
      <c r="F4" s="1" t="s">
        <v>21</v>
      </c>
      <c r="G4" s="1" t="s">
        <v>36</v>
      </c>
      <c r="H4" s="1" t="s">
        <v>45</v>
      </c>
      <c r="I4" s="1" t="s">
        <v>24</v>
      </c>
      <c r="J4" s="7" t="s">
        <v>46</v>
      </c>
      <c r="K4" s="1" t="s">
        <v>47</v>
      </c>
      <c r="L4" s="1">
        <v>4</v>
      </c>
      <c r="M4" s="1" t="s">
        <v>48</v>
      </c>
      <c r="N4" s="1" t="s">
        <v>28</v>
      </c>
      <c r="O4" s="1">
        <v>52298.97</v>
      </c>
      <c r="P4" s="1">
        <v>5</v>
      </c>
      <c r="Q4" s="1" t="s">
        <v>29</v>
      </c>
    </row>
    <row r="5" spans="1:17">
      <c r="A5" s="1" t="s">
        <v>49</v>
      </c>
      <c r="B5" s="1" t="s">
        <v>50</v>
      </c>
      <c r="C5" s="1">
        <v>38</v>
      </c>
      <c r="D5" s="1" t="s">
        <v>19</v>
      </c>
      <c r="E5" s="1" t="s">
        <v>51</v>
      </c>
      <c r="F5" s="1" t="s">
        <v>52</v>
      </c>
      <c r="G5" s="1" t="s">
        <v>53</v>
      </c>
      <c r="H5" s="1" t="s">
        <v>35</v>
      </c>
      <c r="I5" s="1" t="s">
        <v>36</v>
      </c>
      <c r="J5" s="7" t="s">
        <v>54</v>
      </c>
      <c r="K5" s="1" t="s">
        <v>55</v>
      </c>
      <c r="L5" s="1">
        <v>3</v>
      </c>
      <c r="M5" s="1" t="s">
        <v>56</v>
      </c>
      <c r="N5" s="1" t="s">
        <v>57</v>
      </c>
      <c r="O5" s="1">
        <v>54185.93</v>
      </c>
      <c r="P5" s="1">
        <v>3</v>
      </c>
      <c r="Q5" s="1" t="s">
        <v>58</v>
      </c>
    </row>
    <row r="6" spans="1:17">
      <c r="A6" s="1" t="s">
        <v>59</v>
      </c>
      <c r="B6" s="1" t="s">
        <v>60</v>
      </c>
      <c r="C6" s="1">
        <v>35</v>
      </c>
      <c r="D6" s="1" t="s">
        <v>27</v>
      </c>
      <c r="E6" s="1" t="s">
        <v>44</v>
      </c>
      <c r="F6" s="1" t="s">
        <v>52</v>
      </c>
      <c r="G6" s="1" t="s">
        <v>34</v>
      </c>
      <c r="H6" s="1" t="s">
        <v>61</v>
      </c>
      <c r="I6" s="1" t="s">
        <v>62</v>
      </c>
      <c r="J6" s="7">
        <v>45789</v>
      </c>
      <c r="K6" s="2">
        <v>45850</v>
      </c>
      <c r="L6" s="1">
        <v>2</v>
      </c>
      <c r="M6" s="1" t="s">
        <v>56</v>
      </c>
      <c r="N6" s="1" t="s">
        <v>63</v>
      </c>
      <c r="O6" s="1">
        <v>138550.78</v>
      </c>
      <c r="P6" s="1">
        <v>4</v>
      </c>
      <c r="Q6" s="1" t="s">
        <v>58</v>
      </c>
    </row>
    <row r="7" spans="1:17">
      <c r="A7" s="1" t="s">
        <v>64</v>
      </c>
      <c r="B7" s="1" t="s">
        <v>65</v>
      </c>
      <c r="C7" s="1">
        <v>51</v>
      </c>
      <c r="D7" s="1" t="s">
        <v>27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62</v>
      </c>
      <c r="J7" s="7" t="s">
        <v>70</v>
      </c>
      <c r="K7" s="1" t="s">
        <v>71</v>
      </c>
      <c r="L7" s="1">
        <v>2</v>
      </c>
      <c r="M7" s="1" t="s">
        <v>48</v>
      </c>
      <c r="N7" s="1" t="s">
        <v>39</v>
      </c>
      <c r="O7" s="1">
        <v>43275.67</v>
      </c>
      <c r="P7" s="1">
        <v>4</v>
      </c>
      <c r="Q7" s="1" t="s">
        <v>72</v>
      </c>
    </row>
    <row r="8" spans="1:17">
      <c r="A8" s="1" t="s">
        <v>73</v>
      </c>
      <c r="B8" s="1" t="s">
        <v>74</v>
      </c>
      <c r="C8" s="1">
        <v>15</v>
      </c>
      <c r="D8" s="1" t="s">
        <v>19</v>
      </c>
      <c r="E8" s="1" t="s">
        <v>51</v>
      </c>
      <c r="F8" s="1" t="s">
        <v>75</v>
      </c>
      <c r="G8" s="1" t="s">
        <v>22</v>
      </c>
      <c r="H8" s="1" t="s">
        <v>76</v>
      </c>
      <c r="I8" s="1" t="s">
        <v>24</v>
      </c>
      <c r="J8" s="7">
        <v>45757</v>
      </c>
      <c r="K8" s="1" t="s">
        <v>77</v>
      </c>
      <c r="L8" s="1">
        <v>9</v>
      </c>
      <c r="M8" s="1" t="s">
        <v>48</v>
      </c>
      <c r="N8" s="1" t="s">
        <v>63</v>
      </c>
      <c r="O8" s="1">
        <v>49822.76</v>
      </c>
      <c r="P8" s="1">
        <v>5</v>
      </c>
      <c r="Q8" s="1" t="s">
        <v>40</v>
      </c>
    </row>
    <row r="9" spans="1:17">
      <c r="A9" s="1" t="s">
        <v>78</v>
      </c>
      <c r="B9" s="1" t="s">
        <v>79</v>
      </c>
      <c r="C9" s="1">
        <v>83</v>
      </c>
      <c r="D9" s="1" t="s">
        <v>43</v>
      </c>
      <c r="E9" s="1" t="s">
        <v>51</v>
      </c>
      <c r="F9" s="1" t="s">
        <v>67</v>
      </c>
      <c r="G9" s="1" t="s">
        <v>68</v>
      </c>
      <c r="H9" s="1" t="s">
        <v>23</v>
      </c>
      <c r="I9" s="1" t="s">
        <v>36</v>
      </c>
      <c r="J9" s="7" t="s">
        <v>80</v>
      </c>
      <c r="K9" s="1" t="s">
        <v>81</v>
      </c>
      <c r="L9" s="1">
        <v>3</v>
      </c>
      <c r="M9" s="1" t="s">
        <v>56</v>
      </c>
      <c r="N9" s="1" t="s">
        <v>82</v>
      </c>
      <c r="O9" s="1">
        <v>67623.240000000005</v>
      </c>
      <c r="P9" s="1">
        <v>4</v>
      </c>
      <c r="Q9" s="1" t="s">
        <v>29</v>
      </c>
    </row>
    <row r="10" spans="1:17">
      <c r="A10" s="1" t="s">
        <v>83</v>
      </c>
      <c r="B10" s="1" t="s">
        <v>84</v>
      </c>
      <c r="C10" s="1">
        <v>70</v>
      </c>
      <c r="D10" s="1" t="s">
        <v>27</v>
      </c>
      <c r="E10" s="1" t="s">
        <v>66</v>
      </c>
      <c r="F10" s="1" t="s">
        <v>52</v>
      </c>
      <c r="G10" s="1" t="s">
        <v>22</v>
      </c>
      <c r="H10" s="1" t="s">
        <v>45</v>
      </c>
      <c r="I10" s="1" t="s">
        <v>62</v>
      </c>
      <c r="J10" s="7">
        <v>45292</v>
      </c>
      <c r="K10" s="2">
        <v>45323</v>
      </c>
      <c r="L10" s="1">
        <v>1</v>
      </c>
      <c r="M10" s="1" t="s">
        <v>27</v>
      </c>
      <c r="N10" s="1" t="s">
        <v>85</v>
      </c>
      <c r="O10" s="1">
        <v>65429.25</v>
      </c>
      <c r="P10" s="1">
        <v>5</v>
      </c>
      <c r="Q10" s="1" t="s">
        <v>40</v>
      </c>
    </row>
    <row r="11" spans="1:17">
      <c r="A11" s="1" t="s">
        <v>86</v>
      </c>
      <c r="B11" s="1" t="s">
        <v>87</v>
      </c>
      <c r="C11" s="1">
        <v>68</v>
      </c>
      <c r="D11" s="1" t="s">
        <v>27</v>
      </c>
      <c r="E11" s="1" t="s">
        <v>20</v>
      </c>
      <c r="F11" s="1" t="s">
        <v>75</v>
      </c>
      <c r="G11" s="1" t="s">
        <v>36</v>
      </c>
      <c r="H11" s="1" t="s">
        <v>88</v>
      </c>
      <c r="I11" s="1" t="s">
        <v>62</v>
      </c>
      <c r="J11" s="7">
        <v>45903</v>
      </c>
      <c r="K11" s="1" t="s">
        <v>89</v>
      </c>
      <c r="L11" s="1">
        <v>6</v>
      </c>
      <c r="M11" s="1" t="s">
        <v>48</v>
      </c>
      <c r="N11" s="1" t="s">
        <v>90</v>
      </c>
      <c r="O11" s="1">
        <v>43981.31</v>
      </c>
      <c r="P11" s="1">
        <v>4</v>
      </c>
      <c r="Q11" s="1" t="s">
        <v>29</v>
      </c>
    </row>
    <row r="12" spans="1:17">
      <c r="A12" s="1" t="s">
        <v>91</v>
      </c>
      <c r="B12" s="1" t="s">
        <v>92</v>
      </c>
      <c r="C12" s="1">
        <v>76</v>
      </c>
      <c r="D12" s="1" t="s">
        <v>19</v>
      </c>
      <c r="E12" s="1" t="s">
        <v>20</v>
      </c>
      <c r="F12" s="1" t="s">
        <v>33</v>
      </c>
      <c r="G12" s="1" t="s">
        <v>68</v>
      </c>
      <c r="H12" s="1" t="s">
        <v>93</v>
      </c>
      <c r="I12" s="1" t="s">
        <v>62</v>
      </c>
      <c r="J12" s="7">
        <v>45505</v>
      </c>
      <c r="K12" s="2">
        <v>45566</v>
      </c>
      <c r="L12" s="1">
        <v>2</v>
      </c>
      <c r="M12" s="1" t="s">
        <v>56</v>
      </c>
      <c r="N12" s="1" t="s">
        <v>28</v>
      </c>
      <c r="O12" s="1">
        <v>27639.29</v>
      </c>
      <c r="P12" s="1">
        <v>3</v>
      </c>
      <c r="Q12" s="1" t="s">
        <v>72</v>
      </c>
    </row>
    <row r="13" spans="1:17">
      <c r="A13" s="1" t="s">
        <v>94</v>
      </c>
      <c r="B13" s="1" t="s">
        <v>87</v>
      </c>
      <c r="C13" s="1">
        <v>85</v>
      </c>
      <c r="D13" s="1" t="s">
        <v>43</v>
      </c>
      <c r="E13" s="1" t="s">
        <v>20</v>
      </c>
      <c r="F13" s="1" t="s">
        <v>21</v>
      </c>
      <c r="G13" s="1" t="s">
        <v>34</v>
      </c>
      <c r="H13" s="1" t="s">
        <v>45</v>
      </c>
      <c r="I13" s="1" t="s">
        <v>24</v>
      </c>
      <c r="J13" s="7" t="s">
        <v>95</v>
      </c>
      <c r="K13" s="1" t="s">
        <v>96</v>
      </c>
      <c r="L13" s="1">
        <v>3</v>
      </c>
      <c r="M13" s="1" t="s">
        <v>97</v>
      </c>
      <c r="N13" s="1" t="s">
        <v>85</v>
      </c>
      <c r="O13" s="1">
        <v>30474.31</v>
      </c>
      <c r="P13" s="1">
        <v>5</v>
      </c>
      <c r="Q13" s="1" t="s">
        <v>58</v>
      </c>
    </row>
    <row r="14" spans="1:17">
      <c r="A14" s="1" t="s">
        <v>98</v>
      </c>
      <c r="B14" s="1" t="s">
        <v>18</v>
      </c>
      <c r="C14" s="1">
        <v>24</v>
      </c>
      <c r="D14" s="1" t="s">
        <v>43</v>
      </c>
      <c r="E14" s="1" t="s">
        <v>20</v>
      </c>
      <c r="F14" s="1" t="s">
        <v>21</v>
      </c>
      <c r="G14" s="1" t="s">
        <v>22</v>
      </c>
      <c r="H14" s="1" t="s">
        <v>99</v>
      </c>
      <c r="I14" s="1" t="s">
        <v>62</v>
      </c>
      <c r="J14" s="7" t="s">
        <v>100</v>
      </c>
      <c r="K14" s="1" t="s">
        <v>101</v>
      </c>
      <c r="L14" s="1">
        <v>9</v>
      </c>
      <c r="M14" s="1" t="s">
        <v>97</v>
      </c>
      <c r="N14" s="1" t="s">
        <v>57</v>
      </c>
      <c r="O14" s="1">
        <v>74508.22</v>
      </c>
      <c r="P14" s="1">
        <v>4</v>
      </c>
      <c r="Q14" s="1" t="s">
        <v>29</v>
      </c>
    </row>
    <row r="15" spans="1:17">
      <c r="A15" s="1" t="s">
        <v>102</v>
      </c>
      <c r="B15" s="1" t="s">
        <v>103</v>
      </c>
      <c r="C15" s="1">
        <v>52</v>
      </c>
      <c r="D15" s="1" t="s">
        <v>19</v>
      </c>
      <c r="E15" s="1" t="s">
        <v>66</v>
      </c>
      <c r="F15" s="1" t="s">
        <v>21</v>
      </c>
      <c r="G15" s="1" t="s">
        <v>104</v>
      </c>
      <c r="H15" s="1" t="s">
        <v>105</v>
      </c>
      <c r="I15" s="1" t="s">
        <v>62</v>
      </c>
      <c r="J15" s="7" t="s">
        <v>106</v>
      </c>
      <c r="K15" s="1" t="s">
        <v>107</v>
      </c>
      <c r="L15" s="1">
        <v>1</v>
      </c>
      <c r="M15" s="1" t="s">
        <v>56</v>
      </c>
      <c r="N15" s="1" t="s">
        <v>28</v>
      </c>
      <c r="O15" s="1">
        <v>42879.55</v>
      </c>
      <c r="P15" s="1">
        <v>5</v>
      </c>
      <c r="Q15" s="1" t="s">
        <v>72</v>
      </c>
    </row>
    <row r="16" spans="1:17">
      <c r="A16" s="1" t="s">
        <v>108</v>
      </c>
      <c r="B16" s="1" t="s">
        <v>109</v>
      </c>
      <c r="C16" s="1">
        <v>41</v>
      </c>
      <c r="D16" s="1" t="s">
        <v>19</v>
      </c>
      <c r="E16" s="1" t="s">
        <v>20</v>
      </c>
      <c r="F16" s="1" t="s">
        <v>33</v>
      </c>
      <c r="G16" s="1" t="s">
        <v>110</v>
      </c>
      <c r="H16" s="1" t="s">
        <v>99</v>
      </c>
      <c r="I16" s="1" t="s">
        <v>36</v>
      </c>
      <c r="J16" s="7" t="s">
        <v>111</v>
      </c>
      <c r="K16" s="1" t="s">
        <v>112</v>
      </c>
      <c r="L16" s="1">
        <v>4</v>
      </c>
      <c r="M16" s="1" t="s">
        <v>27</v>
      </c>
      <c r="N16" s="1" t="s">
        <v>85</v>
      </c>
      <c r="O16" s="1">
        <v>104486.33</v>
      </c>
      <c r="P16" s="1">
        <v>3</v>
      </c>
      <c r="Q16" s="1" t="s">
        <v>72</v>
      </c>
    </row>
    <row r="17" spans="1:17">
      <c r="A17" s="1" t="s">
        <v>113</v>
      </c>
      <c r="B17" s="1" t="s">
        <v>114</v>
      </c>
      <c r="C17" s="1">
        <v>80</v>
      </c>
      <c r="D17" s="1" t="s">
        <v>19</v>
      </c>
      <c r="E17" s="1" t="s">
        <v>66</v>
      </c>
      <c r="F17" s="1" t="s">
        <v>52</v>
      </c>
      <c r="G17" s="1" t="s">
        <v>68</v>
      </c>
      <c r="H17" s="1" t="s">
        <v>61</v>
      </c>
      <c r="I17" s="1" t="s">
        <v>24</v>
      </c>
      <c r="J17" s="7">
        <v>45780</v>
      </c>
      <c r="K17" s="2">
        <v>45933</v>
      </c>
      <c r="L17" s="1">
        <v>5</v>
      </c>
      <c r="M17" s="1" t="s">
        <v>38</v>
      </c>
      <c r="N17" s="1" t="s">
        <v>57</v>
      </c>
      <c r="O17" s="1">
        <v>60890</v>
      </c>
      <c r="P17" s="1">
        <v>3</v>
      </c>
      <c r="Q17" s="1" t="s">
        <v>40</v>
      </c>
    </row>
    <row r="18" spans="1:17">
      <c r="A18" s="1" t="s">
        <v>115</v>
      </c>
      <c r="B18" s="1" t="s">
        <v>116</v>
      </c>
      <c r="C18" s="1">
        <v>10</v>
      </c>
      <c r="D18" s="1" t="s">
        <v>19</v>
      </c>
      <c r="E18" s="1" t="s">
        <v>117</v>
      </c>
      <c r="F18" s="1" t="s">
        <v>21</v>
      </c>
      <c r="G18" s="1" t="s">
        <v>68</v>
      </c>
      <c r="H18" s="1" t="s">
        <v>35</v>
      </c>
      <c r="I18" s="1" t="s">
        <v>62</v>
      </c>
      <c r="J18" s="7" t="s">
        <v>70</v>
      </c>
      <c r="K18" s="1" t="s">
        <v>118</v>
      </c>
      <c r="L18" s="1">
        <v>1</v>
      </c>
      <c r="M18" s="1" t="s">
        <v>27</v>
      </c>
      <c r="N18" s="1" t="s">
        <v>63</v>
      </c>
      <c r="O18" s="1">
        <v>80127.929999999993</v>
      </c>
      <c r="P18" s="1">
        <v>5</v>
      </c>
      <c r="Q18" s="1" t="s">
        <v>40</v>
      </c>
    </row>
    <row r="19" spans="1:17">
      <c r="A19" s="1" t="s">
        <v>119</v>
      </c>
      <c r="B19" s="1" t="s">
        <v>84</v>
      </c>
      <c r="C19" s="1">
        <v>79</v>
      </c>
      <c r="D19" s="1" t="s">
        <v>27</v>
      </c>
      <c r="E19" s="1" t="s">
        <v>117</v>
      </c>
      <c r="F19" s="1" t="s">
        <v>120</v>
      </c>
      <c r="G19" s="1" t="s">
        <v>22</v>
      </c>
      <c r="H19" s="1" t="s">
        <v>35</v>
      </c>
      <c r="I19" s="1" t="s">
        <v>24</v>
      </c>
      <c r="J19" s="7" t="s">
        <v>121</v>
      </c>
      <c r="K19" s="2">
        <v>45664</v>
      </c>
      <c r="L19" s="1">
        <v>6</v>
      </c>
      <c r="M19" s="1" t="s">
        <v>56</v>
      </c>
      <c r="N19" s="1" t="s">
        <v>63</v>
      </c>
      <c r="O19" s="1">
        <v>31306.01</v>
      </c>
      <c r="P19" s="1">
        <v>5</v>
      </c>
      <c r="Q19" s="1" t="s">
        <v>40</v>
      </c>
    </row>
    <row r="20" spans="1:17">
      <c r="A20" s="1" t="s">
        <v>122</v>
      </c>
      <c r="B20" s="1" t="s">
        <v>123</v>
      </c>
      <c r="C20" s="1">
        <v>27</v>
      </c>
      <c r="D20" s="1" t="s">
        <v>27</v>
      </c>
      <c r="E20" s="1" t="s">
        <v>117</v>
      </c>
      <c r="F20" s="1" t="s">
        <v>21</v>
      </c>
      <c r="G20" s="1" t="s">
        <v>34</v>
      </c>
      <c r="H20" s="1" t="s">
        <v>45</v>
      </c>
      <c r="I20" s="1" t="s">
        <v>24</v>
      </c>
      <c r="J20" s="7">
        <v>45971</v>
      </c>
      <c r="K20" s="1" t="s">
        <v>124</v>
      </c>
      <c r="L20" s="1">
        <v>4</v>
      </c>
      <c r="M20" s="1" t="s">
        <v>97</v>
      </c>
      <c r="N20" s="1" t="s">
        <v>90</v>
      </c>
      <c r="O20" s="1">
        <v>113481.28</v>
      </c>
      <c r="P20" s="1">
        <v>2</v>
      </c>
      <c r="Q20" s="1" t="s">
        <v>58</v>
      </c>
    </row>
    <row r="21" spans="1:17">
      <c r="A21" s="1" t="s">
        <v>125</v>
      </c>
      <c r="B21" s="1" t="s">
        <v>126</v>
      </c>
      <c r="C21" s="1">
        <v>72</v>
      </c>
      <c r="D21" s="1" t="s">
        <v>19</v>
      </c>
      <c r="E21" s="1" t="s">
        <v>20</v>
      </c>
      <c r="F21" s="1" t="s">
        <v>52</v>
      </c>
      <c r="G21" s="1" t="s">
        <v>36</v>
      </c>
      <c r="H21" s="1" t="s">
        <v>35</v>
      </c>
      <c r="I21" s="1" t="s">
        <v>36</v>
      </c>
      <c r="J21" s="7" t="s">
        <v>80</v>
      </c>
      <c r="K21" s="1" t="s">
        <v>81</v>
      </c>
      <c r="L21" s="1">
        <v>3</v>
      </c>
      <c r="M21" s="1" t="s">
        <v>48</v>
      </c>
      <c r="N21" s="1" t="s">
        <v>82</v>
      </c>
      <c r="O21" s="1">
        <v>15053.51</v>
      </c>
      <c r="P21" s="1">
        <v>4</v>
      </c>
      <c r="Q21" s="1" t="s">
        <v>58</v>
      </c>
    </row>
    <row r="22" spans="1:17">
      <c r="A22" s="1" t="s">
        <v>127</v>
      </c>
      <c r="B22" s="1" t="s">
        <v>128</v>
      </c>
      <c r="C22" s="1">
        <v>80</v>
      </c>
      <c r="D22" s="1" t="s">
        <v>27</v>
      </c>
      <c r="E22" s="1" t="s">
        <v>117</v>
      </c>
      <c r="F22" s="1" t="s">
        <v>21</v>
      </c>
      <c r="G22" s="1" t="s">
        <v>110</v>
      </c>
      <c r="H22" s="1" t="s">
        <v>76</v>
      </c>
      <c r="I22" s="1" t="s">
        <v>24</v>
      </c>
      <c r="J22" s="7">
        <v>45479</v>
      </c>
      <c r="K22" s="1" t="s">
        <v>129</v>
      </c>
      <c r="L22" s="1">
        <v>12</v>
      </c>
      <c r="M22" s="1" t="s">
        <v>48</v>
      </c>
      <c r="N22" s="1" t="s">
        <v>57</v>
      </c>
      <c r="O22" s="1">
        <v>32157.06</v>
      </c>
      <c r="P22" s="1">
        <v>4</v>
      </c>
      <c r="Q22" s="1" t="s">
        <v>72</v>
      </c>
    </row>
    <row r="23" spans="1:17">
      <c r="A23" s="1" t="s">
        <v>130</v>
      </c>
      <c r="B23" s="1" t="s">
        <v>131</v>
      </c>
      <c r="C23" s="1">
        <v>61</v>
      </c>
      <c r="D23" s="1" t="s">
        <v>19</v>
      </c>
      <c r="E23" s="1" t="s">
        <v>32</v>
      </c>
      <c r="F23" s="1" t="s">
        <v>120</v>
      </c>
      <c r="G23" s="1" t="s">
        <v>132</v>
      </c>
      <c r="H23" s="1" t="s">
        <v>61</v>
      </c>
      <c r="I23" s="1" t="s">
        <v>62</v>
      </c>
      <c r="J23" s="7" t="s">
        <v>133</v>
      </c>
      <c r="K23" s="1" t="s">
        <v>134</v>
      </c>
      <c r="L23" s="1">
        <v>3</v>
      </c>
      <c r="M23" s="1" t="s">
        <v>27</v>
      </c>
      <c r="N23" s="1" t="s">
        <v>57</v>
      </c>
      <c r="O23" s="1">
        <v>13727.5</v>
      </c>
      <c r="P23" s="1">
        <v>3</v>
      </c>
      <c r="Q23" s="1" t="s">
        <v>40</v>
      </c>
    </row>
    <row r="24" spans="1:17">
      <c r="A24" s="1" t="s">
        <v>135</v>
      </c>
      <c r="B24" s="1" t="s">
        <v>136</v>
      </c>
      <c r="C24" s="1">
        <v>4</v>
      </c>
      <c r="D24" s="1" t="s">
        <v>19</v>
      </c>
      <c r="E24" s="1" t="s">
        <v>137</v>
      </c>
      <c r="F24" s="1" t="s">
        <v>67</v>
      </c>
      <c r="G24" s="1" t="s">
        <v>34</v>
      </c>
      <c r="H24" s="1" t="s">
        <v>45</v>
      </c>
      <c r="I24" s="1" t="s">
        <v>36</v>
      </c>
      <c r="J24" s="7" t="s">
        <v>138</v>
      </c>
      <c r="K24" s="1" t="s">
        <v>139</v>
      </c>
      <c r="L24" s="1">
        <v>5</v>
      </c>
      <c r="M24" s="1" t="s">
        <v>38</v>
      </c>
      <c r="N24" s="1" t="s">
        <v>28</v>
      </c>
      <c r="O24" s="1">
        <v>83942.18</v>
      </c>
      <c r="P24" s="1">
        <v>5</v>
      </c>
      <c r="Q24" s="1" t="s">
        <v>58</v>
      </c>
    </row>
    <row r="25" spans="1:17">
      <c r="A25" s="1" t="s">
        <v>140</v>
      </c>
      <c r="B25" s="1" t="s">
        <v>141</v>
      </c>
      <c r="C25" s="1">
        <v>1</v>
      </c>
      <c r="D25" s="1" t="s">
        <v>27</v>
      </c>
      <c r="E25" s="1" t="s">
        <v>32</v>
      </c>
      <c r="F25" s="1" t="s">
        <v>52</v>
      </c>
      <c r="G25" s="1" t="s">
        <v>132</v>
      </c>
      <c r="H25" s="1" t="s">
        <v>88</v>
      </c>
      <c r="I25" s="1" t="s">
        <v>62</v>
      </c>
      <c r="J25" s="7">
        <v>45784</v>
      </c>
      <c r="K25" s="2">
        <v>45998</v>
      </c>
      <c r="L25" s="1">
        <v>7</v>
      </c>
      <c r="M25" s="1" t="s">
        <v>27</v>
      </c>
      <c r="N25" s="1" t="s">
        <v>82</v>
      </c>
      <c r="O25" s="1">
        <v>43484.71</v>
      </c>
      <c r="P25" s="1">
        <v>5</v>
      </c>
      <c r="Q25" s="1" t="s">
        <v>58</v>
      </c>
    </row>
    <row r="26" spans="1:17">
      <c r="A26" s="1" t="s">
        <v>142</v>
      </c>
      <c r="B26" s="1" t="s">
        <v>143</v>
      </c>
      <c r="C26" s="1">
        <v>42</v>
      </c>
      <c r="D26" s="1" t="s">
        <v>43</v>
      </c>
      <c r="E26" s="1" t="s">
        <v>117</v>
      </c>
      <c r="F26" s="1" t="s">
        <v>120</v>
      </c>
      <c r="G26" s="1" t="s">
        <v>36</v>
      </c>
      <c r="H26" s="1" t="s">
        <v>35</v>
      </c>
      <c r="I26" s="1" t="s">
        <v>36</v>
      </c>
      <c r="J26" s="7" t="s">
        <v>144</v>
      </c>
      <c r="K26" s="1" t="s">
        <v>145</v>
      </c>
      <c r="L26" s="1">
        <v>4</v>
      </c>
      <c r="M26" s="1" t="s">
        <v>97</v>
      </c>
      <c r="N26" s="1" t="s">
        <v>39</v>
      </c>
      <c r="O26" s="1">
        <v>56932.59</v>
      </c>
      <c r="P26" s="1">
        <v>3</v>
      </c>
      <c r="Q26" s="1" t="s">
        <v>40</v>
      </c>
    </row>
    <row r="27" spans="1:17">
      <c r="A27" s="1" t="s">
        <v>146</v>
      </c>
      <c r="B27" s="1" t="s">
        <v>60</v>
      </c>
      <c r="C27" s="1">
        <v>60</v>
      </c>
      <c r="D27" s="1" t="s">
        <v>43</v>
      </c>
      <c r="E27" s="1" t="s">
        <v>117</v>
      </c>
      <c r="F27" s="1" t="s">
        <v>21</v>
      </c>
      <c r="G27" s="1" t="s">
        <v>110</v>
      </c>
      <c r="H27" s="1" t="s">
        <v>45</v>
      </c>
      <c r="I27" s="1" t="s">
        <v>36</v>
      </c>
      <c r="J27" s="7" t="s">
        <v>147</v>
      </c>
      <c r="K27" s="1" t="s">
        <v>148</v>
      </c>
      <c r="L27" s="1">
        <v>2</v>
      </c>
      <c r="M27" s="1" t="s">
        <v>56</v>
      </c>
      <c r="N27" s="1" t="s">
        <v>28</v>
      </c>
      <c r="O27" s="1">
        <v>58806.71</v>
      </c>
      <c r="P27" s="1">
        <v>4</v>
      </c>
      <c r="Q27" s="1" t="s">
        <v>72</v>
      </c>
    </row>
    <row r="28" spans="1:17">
      <c r="A28" s="1" t="s">
        <v>149</v>
      </c>
      <c r="B28" s="1" t="s">
        <v>18</v>
      </c>
      <c r="C28" s="1">
        <v>32</v>
      </c>
      <c r="D28" s="1" t="s">
        <v>43</v>
      </c>
      <c r="E28" s="1" t="s">
        <v>137</v>
      </c>
      <c r="F28" s="1" t="s">
        <v>21</v>
      </c>
      <c r="G28" s="1" t="s">
        <v>132</v>
      </c>
      <c r="H28" s="1" t="s">
        <v>76</v>
      </c>
      <c r="I28" s="1" t="s">
        <v>36</v>
      </c>
      <c r="J28" s="7" t="s">
        <v>150</v>
      </c>
      <c r="K28" s="1" t="s">
        <v>151</v>
      </c>
      <c r="L28" s="1">
        <v>3</v>
      </c>
      <c r="M28" s="1" t="s">
        <v>27</v>
      </c>
      <c r="N28" s="1" t="s">
        <v>57</v>
      </c>
      <c r="O28" s="1">
        <v>48089.53</v>
      </c>
      <c r="P28" s="1">
        <v>3</v>
      </c>
      <c r="Q28" s="1" t="s">
        <v>72</v>
      </c>
    </row>
    <row r="29" spans="1:17">
      <c r="A29" s="1" t="s">
        <v>152</v>
      </c>
      <c r="B29" s="1" t="s">
        <v>103</v>
      </c>
      <c r="C29" s="1">
        <v>72</v>
      </c>
      <c r="D29" s="1" t="s">
        <v>19</v>
      </c>
      <c r="E29" s="1" t="s">
        <v>66</v>
      </c>
      <c r="F29" s="1" t="s">
        <v>52</v>
      </c>
      <c r="G29" s="1" t="s">
        <v>53</v>
      </c>
      <c r="H29" s="1" t="s">
        <v>93</v>
      </c>
      <c r="I29" s="1" t="s">
        <v>62</v>
      </c>
      <c r="J29" s="7">
        <v>45387</v>
      </c>
      <c r="K29" s="2">
        <v>45417</v>
      </c>
      <c r="L29" s="1">
        <v>1</v>
      </c>
      <c r="M29" s="1" t="s">
        <v>97</v>
      </c>
      <c r="N29" s="1" t="s">
        <v>82</v>
      </c>
      <c r="O29" s="1">
        <v>104788.18</v>
      </c>
      <c r="P29" s="1">
        <v>4</v>
      </c>
      <c r="Q29" s="1" t="s">
        <v>29</v>
      </c>
    </row>
    <row r="30" spans="1:17">
      <c r="A30" s="1" t="s">
        <v>153</v>
      </c>
      <c r="B30" s="1" t="s">
        <v>154</v>
      </c>
      <c r="C30" s="1">
        <v>82</v>
      </c>
      <c r="D30" s="1" t="s">
        <v>43</v>
      </c>
      <c r="E30" s="1" t="s">
        <v>66</v>
      </c>
      <c r="F30" s="1" t="s">
        <v>21</v>
      </c>
      <c r="G30" s="1" t="s">
        <v>22</v>
      </c>
      <c r="H30" s="1" t="s">
        <v>105</v>
      </c>
      <c r="I30" s="1" t="s">
        <v>36</v>
      </c>
      <c r="J30" s="7" t="s">
        <v>155</v>
      </c>
      <c r="K30" s="1" t="s">
        <v>156</v>
      </c>
      <c r="L30" s="1">
        <v>5</v>
      </c>
      <c r="M30" s="1" t="s">
        <v>97</v>
      </c>
      <c r="N30" s="1" t="s">
        <v>63</v>
      </c>
      <c r="O30" s="1">
        <v>29118.03</v>
      </c>
      <c r="P30" s="1">
        <v>4</v>
      </c>
      <c r="Q30" s="1" t="s">
        <v>29</v>
      </c>
    </row>
    <row r="31" spans="1:17">
      <c r="A31" s="1" t="s">
        <v>157</v>
      </c>
      <c r="B31" s="1" t="s">
        <v>158</v>
      </c>
      <c r="C31" s="1">
        <v>28</v>
      </c>
      <c r="D31" s="1" t="s">
        <v>19</v>
      </c>
      <c r="E31" s="1" t="s">
        <v>159</v>
      </c>
      <c r="F31" s="1" t="s">
        <v>75</v>
      </c>
      <c r="G31" s="1" t="s">
        <v>34</v>
      </c>
      <c r="H31" s="1" t="s">
        <v>61</v>
      </c>
      <c r="I31" s="1" t="s">
        <v>62</v>
      </c>
      <c r="J31" s="7" t="s">
        <v>160</v>
      </c>
      <c r="K31" s="2">
        <v>45719</v>
      </c>
      <c r="L31" s="1">
        <v>3</v>
      </c>
      <c r="M31" s="1" t="s">
        <v>38</v>
      </c>
      <c r="N31" s="1" t="s">
        <v>39</v>
      </c>
      <c r="O31" s="1">
        <v>112880.16</v>
      </c>
      <c r="P31" s="1">
        <v>5</v>
      </c>
      <c r="Q31" s="1" t="s">
        <v>58</v>
      </c>
    </row>
    <row r="32" spans="1:17">
      <c r="A32" s="1" t="s">
        <v>161</v>
      </c>
      <c r="B32" s="1" t="s">
        <v>162</v>
      </c>
      <c r="C32" s="1">
        <v>54</v>
      </c>
      <c r="D32" s="1" t="s">
        <v>27</v>
      </c>
      <c r="E32" s="1" t="s">
        <v>66</v>
      </c>
      <c r="F32" s="1" t="s">
        <v>67</v>
      </c>
      <c r="G32" s="1" t="s">
        <v>36</v>
      </c>
      <c r="H32" s="1" t="s">
        <v>88</v>
      </c>
      <c r="I32" s="1" t="s">
        <v>24</v>
      </c>
      <c r="J32" s="7" t="s">
        <v>163</v>
      </c>
      <c r="K32" s="1" t="s">
        <v>164</v>
      </c>
      <c r="L32" s="1">
        <v>2</v>
      </c>
      <c r="M32" s="1" t="s">
        <v>48</v>
      </c>
      <c r="N32" s="1" t="s">
        <v>57</v>
      </c>
      <c r="O32" s="1">
        <v>60827.77</v>
      </c>
      <c r="P32" s="1">
        <v>5</v>
      </c>
      <c r="Q32" s="1" t="s">
        <v>72</v>
      </c>
    </row>
    <row r="33" spans="1:17">
      <c r="A33" s="1" t="s">
        <v>165</v>
      </c>
      <c r="B33" s="1" t="s">
        <v>114</v>
      </c>
      <c r="C33" s="1">
        <v>11</v>
      </c>
      <c r="D33" s="1" t="s">
        <v>27</v>
      </c>
      <c r="E33" s="1" t="s">
        <v>117</v>
      </c>
      <c r="F33" s="1" t="s">
        <v>75</v>
      </c>
      <c r="G33" s="1" t="s">
        <v>104</v>
      </c>
      <c r="H33" s="1" t="s">
        <v>88</v>
      </c>
      <c r="I33" s="1" t="s">
        <v>62</v>
      </c>
      <c r="J33" s="7" t="s">
        <v>166</v>
      </c>
      <c r="K33" s="1" t="s">
        <v>167</v>
      </c>
      <c r="L33" s="1">
        <v>2</v>
      </c>
      <c r="M33" s="1" t="s">
        <v>48</v>
      </c>
      <c r="N33" s="1" t="s">
        <v>63</v>
      </c>
      <c r="O33" s="1">
        <v>36637.54</v>
      </c>
      <c r="P33" s="1">
        <v>5</v>
      </c>
      <c r="Q33" s="1" t="s">
        <v>72</v>
      </c>
    </row>
    <row r="34" spans="1:17">
      <c r="A34" s="1" t="s">
        <v>168</v>
      </c>
      <c r="B34" s="1" t="s">
        <v>169</v>
      </c>
      <c r="C34" s="1">
        <v>45</v>
      </c>
      <c r="D34" s="1" t="s">
        <v>19</v>
      </c>
      <c r="E34" s="1" t="s">
        <v>32</v>
      </c>
      <c r="F34" s="1" t="s">
        <v>67</v>
      </c>
      <c r="G34" s="1" t="s">
        <v>34</v>
      </c>
      <c r="H34" s="1" t="s">
        <v>61</v>
      </c>
      <c r="I34" s="1" t="s">
        <v>36</v>
      </c>
      <c r="J34" s="7" t="s">
        <v>170</v>
      </c>
      <c r="K34" s="2">
        <v>45758</v>
      </c>
      <c r="L34" s="1">
        <v>8</v>
      </c>
      <c r="M34" s="1" t="s">
        <v>97</v>
      </c>
      <c r="N34" s="1" t="s">
        <v>63</v>
      </c>
      <c r="O34" s="1">
        <v>40438.800000000003</v>
      </c>
      <c r="P34" s="1">
        <v>3</v>
      </c>
      <c r="Q34" s="1" t="s">
        <v>40</v>
      </c>
    </row>
    <row r="35" spans="1:17">
      <c r="A35" s="1" t="s">
        <v>171</v>
      </c>
      <c r="B35" s="1" t="s">
        <v>172</v>
      </c>
      <c r="C35" s="1">
        <v>48</v>
      </c>
      <c r="D35" s="1" t="s">
        <v>19</v>
      </c>
      <c r="E35" s="1" t="s">
        <v>32</v>
      </c>
      <c r="F35" s="1" t="s">
        <v>67</v>
      </c>
      <c r="G35" s="1" t="s">
        <v>68</v>
      </c>
      <c r="H35" s="1" t="s">
        <v>69</v>
      </c>
      <c r="I35" s="1" t="s">
        <v>24</v>
      </c>
      <c r="J35" s="7">
        <v>46000</v>
      </c>
      <c r="K35" s="1" t="s">
        <v>173</v>
      </c>
      <c r="L35" s="1">
        <v>2</v>
      </c>
      <c r="M35" s="1" t="s">
        <v>56</v>
      </c>
      <c r="N35" s="1" t="s">
        <v>28</v>
      </c>
      <c r="O35" s="1">
        <v>61446.35</v>
      </c>
      <c r="P35" s="1">
        <v>5</v>
      </c>
      <c r="Q35" s="1" t="s">
        <v>40</v>
      </c>
    </row>
    <row r="36" spans="1:17">
      <c r="A36" s="1" t="s">
        <v>174</v>
      </c>
      <c r="B36" s="1" t="s">
        <v>158</v>
      </c>
      <c r="C36" s="1">
        <v>88</v>
      </c>
      <c r="D36" s="1" t="s">
        <v>27</v>
      </c>
      <c r="E36" s="1" t="s">
        <v>159</v>
      </c>
      <c r="F36" s="1" t="s">
        <v>75</v>
      </c>
      <c r="G36" s="1" t="s">
        <v>36</v>
      </c>
      <c r="H36" s="1" t="s">
        <v>88</v>
      </c>
      <c r="I36" s="1" t="s">
        <v>62</v>
      </c>
      <c r="J36" s="7">
        <v>45356</v>
      </c>
      <c r="K36" s="2">
        <v>45601</v>
      </c>
      <c r="L36" s="1">
        <v>8</v>
      </c>
      <c r="M36" s="1" t="s">
        <v>38</v>
      </c>
      <c r="N36" s="1" t="s">
        <v>63</v>
      </c>
      <c r="O36" s="1">
        <v>21292.3</v>
      </c>
      <c r="P36" s="1">
        <v>4</v>
      </c>
      <c r="Q36" s="1" t="s">
        <v>58</v>
      </c>
    </row>
    <row r="37" spans="1:17">
      <c r="A37" s="1" t="s">
        <v>175</v>
      </c>
      <c r="B37" s="1" t="s">
        <v>176</v>
      </c>
      <c r="C37" s="1">
        <v>20</v>
      </c>
      <c r="D37" s="1" t="s">
        <v>43</v>
      </c>
      <c r="E37" s="1" t="s">
        <v>20</v>
      </c>
      <c r="F37" s="1" t="s">
        <v>75</v>
      </c>
      <c r="G37" s="1" t="s">
        <v>104</v>
      </c>
      <c r="H37" s="1" t="s">
        <v>93</v>
      </c>
      <c r="I37" s="1" t="s">
        <v>62</v>
      </c>
      <c r="J37" s="7" t="s">
        <v>177</v>
      </c>
      <c r="K37" s="2">
        <v>45358</v>
      </c>
      <c r="L37" s="1">
        <v>4</v>
      </c>
      <c r="M37" s="1" t="s">
        <v>97</v>
      </c>
      <c r="N37" s="1" t="s">
        <v>85</v>
      </c>
      <c r="O37" s="1">
        <v>43796.94</v>
      </c>
      <c r="P37" s="1">
        <v>5</v>
      </c>
      <c r="Q37" s="1" t="s">
        <v>58</v>
      </c>
    </row>
    <row r="38" spans="1:17">
      <c r="A38" s="1" t="s">
        <v>178</v>
      </c>
      <c r="B38" s="1" t="s">
        <v>179</v>
      </c>
      <c r="C38" s="1">
        <v>73</v>
      </c>
      <c r="D38" s="1" t="s">
        <v>27</v>
      </c>
      <c r="E38" s="1" t="s">
        <v>51</v>
      </c>
      <c r="F38" s="1" t="s">
        <v>75</v>
      </c>
      <c r="G38" s="1" t="s">
        <v>53</v>
      </c>
      <c r="H38" s="1" t="s">
        <v>35</v>
      </c>
      <c r="I38" s="1" t="s">
        <v>24</v>
      </c>
      <c r="J38" s="7" t="s">
        <v>180</v>
      </c>
      <c r="K38" s="1" t="s">
        <v>181</v>
      </c>
      <c r="L38" s="1">
        <v>3</v>
      </c>
      <c r="M38" s="1" t="s">
        <v>56</v>
      </c>
      <c r="N38" s="1" t="s">
        <v>28</v>
      </c>
      <c r="O38" s="1">
        <v>72307.25</v>
      </c>
      <c r="P38" s="1">
        <v>3</v>
      </c>
      <c r="Q38" s="1" t="s">
        <v>29</v>
      </c>
    </row>
    <row r="39" spans="1:17">
      <c r="A39" s="1" t="s">
        <v>182</v>
      </c>
      <c r="B39" s="1" t="s">
        <v>183</v>
      </c>
      <c r="C39" s="1">
        <v>53</v>
      </c>
      <c r="D39" s="1" t="s">
        <v>43</v>
      </c>
      <c r="E39" s="1" t="s">
        <v>20</v>
      </c>
      <c r="F39" s="1" t="s">
        <v>120</v>
      </c>
      <c r="G39" s="1" t="s">
        <v>104</v>
      </c>
      <c r="H39" s="1" t="s">
        <v>93</v>
      </c>
      <c r="I39" s="1" t="s">
        <v>24</v>
      </c>
      <c r="J39" s="7" t="s">
        <v>184</v>
      </c>
      <c r="K39" s="1" t="s">
        <v>185</v>
      </c>
      <c r="L39" s="1">
        <v>6</v>
      </c>
      <c r="M39" s="1" t="s">
        <v>27</v>
      </c>
      <c r="N39" s="1" t="s">
        <v>82</v>
      </c>
      <c r="O39" s="1">
        <v>69884.100000000006</v>
      </c>
      <c r="P39" s="1">
        <v>2</v>
      </c>
      <c r="Q39" s="1" t="s">
        <v>58</v>
      </c>
    </row>
    <row r="40" spans="1:17">
      <c r="A40" s="1" t="s">
        <v>186</v>
      </c>
      <c r="B40" s="1" t="s">
        <v>31</v>
      </c>
      <c r="C40" s="1">
        <v>71</v>
      </c>
      <c r="D40" s="1" t="s">
        <v>27</v>
      </c>
      <c r="E40" s="1" t="s">
        <v>51</v>
      </c>
      <c r="F40" s="1" t="s">
        <v>52</v>
      </c>
      <c r="G40" s="1" t="s">
        <v>68</v>
      </c>
      <c r="H40" s="1" t="s">
        <v>105</v>
      </c>
      <c r="I40" s="1" t="s">
        <v>36</v>
      </c>
      <c r="J40" s="7" t="s">
        <v>187</v>
      </c>
      <c r="K40" s="1" t="s">
        <v>188</v>
      </c>
      <c r="L40" s="1">
        <v>3</v>
      </c>
      <c r="M40" s="1" t="s">
        <v>56</v>
      </c>
      <c r="N40" s="1" t="s">
        <v>85</v>
      </c>
      <c r="O40" s="1">
        <v>28829.279999999999</v>
      </c>
      <c r="P40" s="1">
        <v>5</v>
      </c>
      <c r="Q40" s="1" t="s">
        <v>58</v>
      </c>
    </row>
    <row r="41" spans="1:17">
      <c r="A41" s="1" t="s">
        <v>189</v>
      </c>
      <c r="B41" s="1" t="s">
        <v>190</v>
      </c>
      <c r="C41" s="1">
        <v>36</v>
      </c>
      <c r="D41" s="1" t="s">
        <v>27</v>
      </c>
      <c r="E41" s="1" t="s">
        <v>117</v>
      </c>
      <c r="F41" s="1" t="s">
        <v>75</v>
      </c>
      <c r="G41" s="1" t="s">
        <v>132</v>
      </c>
      <c r="H41" s="1" t="s">
        <v>105</v>
      </c>
      <c r="I41" s="1" t="s">
        <v>36</v>
      </c>
      <c r="J41" s="7" t="s">
        <v>191</v>
      </c>
      <c r="K41" s="1" t="s">
        <v>192</v>
      </c>
      <c r="L41" s="1">
        <v>5</v>
      </c>
      <c r="M41" s="1" t="s">
        <v>27</v>
      </c>
      <c r="N41" s="1" t="s">
        <v>82</v>
      </c>
      <c r="O41" s="1">
        <v>28606.27</v>
      </c>
      <c r="P41" s="1">
        <v>3</v>
      </c>
      <c r="Q41" s="1" t="s">
        <v>29</v>
      </c>
    </row>
    <row r="42" spans="1:17">
      <c r="A42" s="1" t="s">
        <v>193</v>
      </c>
      <c r="B42" s="1" t="s">
        <v>194</v>
      </c>
      <c r="C42" s="1">
        <v>82</v>
      </c>
      <c r="D42" s="1" t="s">
        <v>43</v>
      </c>
      <c r="E42" s="1" t="s">
        <v>32</v>
      </c>
      <c r="F42" s="1" t="s">
        <v>33</v>
      </c>
      <c r="G42" s="1" t="s">
        <v>104</v>
      </c>
      <c r="H42" s="1" t="s">
        <v>88</v>
      </c>
      <c r="I42" s="1" t="s">
        <v>62</v>
      </c>
      <c r="J42" s="7" t="s">
        <v>195</v>
      </c>
      <c r="K42" s="1" t="s">
        <v>196</v>
      </c>
      <c r="L42" s="1">
        <v>5</v>
      </c>
      <c r="M42" s="1" t="s">
        <v>48</v>
      </c>
      <c r="N42" s="1" t="s">
        <v>90</v>
      </c>
      <c r="O42" s="1">
        <v>25458.55</v>
      </c>
      <c r="P42" s="1">
        <v>2</v>
      </c>
      <c r="Q42" s="1" t="s">
        <v>72</v>
      </c>
    </row>
    <row r="43" spans="1:17">
      <c r="A43" s="1" t="s">
        <v>197</v>
      </c>
      <c r="B43" s="1" t="s">
        <v>198</v>
      </c>
      <c r="C43" s="1">
        <v>20</v>
      </c>
      <c r="D43" s="1" t="s">
        <v>19</v>
      </c>
      <c r="E43" s="1" t="s">
        <v>159</v>
      </c>
      <c r="F43" s="1" t="s">
        <v>33</v>
      </c>
      <c r="G43" s="1" t="s">
        <v>36</v>
      </c>
      <c r="H43" s="1" t="s">
        <v>69</v>
      </c>
      <c r="I43" s="1" t="s">
        <v>62</v>
      </c>
      <c r="J43" s="7" t="s">
        <v>199</v>
      </c>
      <c r="K43" s="1" t="s">
        <v>200</v>
      </c>
      <c r="L43" s="1">
        <v>1</v>
      </c>
      <c r="M43" s="1" t="s">
        <v>27</v>
      </c>
      <c r="N43" s="1" t="s">
        <v>57</v>
      </c>
      <c r="O43" s="1">
        <v>55517.26</v>
      </c>
      <c r="P43" s="1">
        <v>4</v>
      </c>
      <c r="Q43" s="1" t="s">
        <v>40</v>
      </c>
    </row>
    <row r="44" spans="1:17">
      <c r="A44" s="1" t="s">
        <v>201</v>
      </c>
      <c r="B44" s="1" t="s">
        <v>50</v>
      </c>
      <c r="C44" s="1">
        <v>73</v>
      </c>
      <c r="D44" s="1" t="s">
        <v>27</v>
      </c>
      <c r="E44" s="1" t="s">
        <v>202</v>
      </c>
      <c r="F44" s="1" t="s">
        <v>33</v>
      </c>
      <c r="G44" s="1" t="s">
        <v>68</v>
      </c>
      <c r="H44" s="1" t="s">
        <v>45</v>
      </c>
      <c r="I44" s="1" t="s">
        <v>62</v>
      </c>
      <c r="J44" s="7">
        <v>45325</v>
      </c>
      <c r="K44" s="2">
        <v>45568</v>
      </c>
      <c r="L44" s="1">
        <v>8</v>
      </c>
      <c r="M44" s="1" t="s">
        <v>27</v>
      </c>
      <c r="N44" s="1" t="s">
        <v>57</v>
      </c>
      <c r="O44" s="1">
        <v>29331.46</v>
      </c>
      <c r="P44" s="1">
        <v>3</v>
      </c>
      <c r="Q44" s="1" t="s">
        <v>40</v>
      </c>
    </row>
    <row r="45" spans="1:17">
      <c r="A45" s="1" t="s">
        <v>203</v>
      </c>
      <c r="B45" s="1" t="s">
        <v>204</v>
      </c>
      <c r="C45" s="1">
        <v>5</v>
      </c>
      <c r="D45" s="1" t="s">
        <v>19</v>
      </c>
      <c r="E45" s="1" t="s">
        <v>137</v>
      </c>
      <c r="F45" s="1" t="s">
        <v>75</v>
      </c>
      <c r="G45" s="1" t="s">
        <v>22</v>
      </c>
      <c r="H45" s="1" t="s">
        <v>61</v>
      </c>
      <c r="I45" s="1" t="s">
        <v>24</v>
      </c>
      <c r="J45" s="7" t="s">
        <v>205</v>
      </c>
      <c r="K45" s="1" t="s">
        <v>206</v>
      </c>
      <c r="L45" s="1">
        <v>2</v>
      </c>
      <c r="M45" s="1" t="s">
        <v>56</v>
      </c>
      <c r="N45" s="1" t="s">
        <v>63</v>
      </c>
      <c r="O45" s="1">
        <v>79445.509999999995</v>
      </c>
      <c r="P45" s="1">
        <v>5</v>
      </c>
      <c r="Q45" s="1" t="s">
        <v>29</v>
      </c>
    </row>
    <row r="46" spans="1:17">
      <c r="A46" s="1" t="s">
        <v>207</v>
      </c>
      <c r="B46" s="1" t="s">
        <v>208</v>
      </c>
      <c r="C46" s="1">
        <v>35</v>
      </c>
      <c r="D46" s="1" t="s">
        <v>19</v>
      </c>
      <c r="E46" s="1" t="s">
        <v>51</v>
      </c>
      <c r="F46" s="1" t="s">
        <v>67</v>
      </c>
      <c r="G46" s="1" t="s">
        <v>68</v>
      </c>
      <c r="H46" s="1" t="s">
        <v>93</v>
      </c>
      <c r="I46" s="1" t="s">
        <v>62</v>
      </c>
      <c r="J46" s="7" t="s">
        <v>209</v>
      </c>
      <c r="K46" s="1" t="s">
        <v>210</v>
      </c>
      <c r="L46" s="1">
        <v>1</v>
      </c>
      <c r="M46" s="1" t="s">
        <v>97</v>
      </c>
      <c r="N46" s="1" t="s">
        <v>28</v>
      </c>
      <c r="O46" s="1">
        <v>21077.82</v>
      </c>
      <c r="P46" s="1">
        <v>4</v>
      </c>
      <c r="Q46" s="1" t="s">
        <v>72</v>
      </c>
    </row>
    <row r="47" spans="1:17">
      <c r="A47" s="1" t="s">
        <v>211</v>
      </c>
      <c r="B47" s="1" t="s">
        <v>212</v>
      </c>
      <c r="C47" s="1">
        <v>56</v>
      </c>
      <c r="D47" s="1" t="s">
        <v>27</v>
      </c>
      <c r="E47" s="1" t="s">
        <v>117</v>
      </c>
      <c r="F47" s="1" t="s">
        <v>21</v>
      </c>
      <c r="G47" s="1" t="s">
        <v>34</v>
      </c>
      <c r="H47" s="1" t="s">
        <v>105</v>
      </c>
      <c r="I47" s="1" t="s">
        <v>24</v>
      </c>
      <c r="J47" s="7" t="s">
        <v>213</v>
      </c>
      <c r="K47" s="1" t="s">
        <v>214</v>
      </c>
      <c r="L47" s="1">
        <v>2</v>
      </c>
      <c r="M47" s="1" t="s">
        <v>97</v>
      </c>
      <c r="N47" s="1" t="s">
        <v>63</v>
      </c>
      <c r="O47" s="1">
        <v>102011.68</v>
      </c>
      <c r="P47" s="1">
        <v>3</v>
      </c>
      <c r="Q47" s="1" t="s">
        <v>58</v>
      </c>
    </row>
    <row r="48" spans="1:17">
      <c r="A48" s="1" t="s">
        <v>215</v>
      </c>
      <c r="B48" s="1" t="s">
        <v>216</v>
      </c>
      <c r="C48" s="1">
        <v>12</v>
      </c>
      <c r="D48" s="1" t="s">
        <v>43</v>
      </c>
      <c r="E48" s="1" t="s">
        <v>159</v>
      </c>
      <c r="F48" s="1" t="s">
        <v>75</v>
      </c>
      <c r="G48" s="1" t="s">
        <v>110</v>
      </c>
      <c r="H48" s="1" t="s">
        <v>88</v>
      </c>
      <c r="I48" s="1" t="s">
        <v>62</v>
      </c>
      <c r="J48" s="7" t="s">
        <v>217</v>
      </c>
      <c r="K48" s="1" t="s">
        <v>218</v>
      </c>
      <c r="L48" s="1">
        <v>3</v>
      </c>
      <c r="M48" s="1" t="s">
        <v>38</v>
      </c>
      <c r="N48" s="1" t="s">
        <v>82</v>
      </c>
      <c r="O48" s="1">
        <v>69211.179999999993</v>
      </c>
      <c r="P48" s="1">
        <v>4</v>
      </c>
      <c r="Q48" s="1" t="s">
        <v>72</v>
      </c>
    </row>
    <row r="49" spans="1:17">
      <c r="A49" s="1" t="s">
        <v>219</v>
      </c>
      <c r="B49" s="1" t="s">
        <v>84</v>
      </c>
      <c r="C49" s="1">
        <v>52</v>
      </c>
      <c r="D49" s="1" t="s">
        <v>27</v>
      </c>
      <c r="E49" s="1" t="s">
        <v>117</v>
      </c>
      <c r="F49" s="1" t="s">
        <v>33</v>
      </c>
      <c r="G49" s="1" t="s">
        <v>104</v>
      </c>
      <c r="H49" s="1" t="s">
        <v>93</v>
      </c>
      <c r="I49" s="1" t="s">
        <v>24</v>
      </c>
      <c r="J49" s="7">
        <v>45323</v>
      </c>
      <c r="K49" s="2">
        <v>45352</v>
      </c>
      <c r="L49" s="1">
        <v>1</v>
      </c>
      <c r="M49" s="1" t="s">
        <v>97</v>
      </c>
      <c r="N49" s="1" t="s">
        <v>28</v>
      </c>
      <c r="O49" s="1">
        <v>67479.31</v>
      </c>
      <c r="P49" s="1">
        <v>3</v>
      </c>
      <c r="Q49" s="1" t="s">
        <v>72</v>
      </c>
    </row>
    <row r="50" spans="1:17">
      <c r="A50" s="1" t="s">
        <v>220</v>
      </c>
      <c r="B50" s="1" t="s">
        <v>221</v>
      </c>
      <c r="C50" s="1">
        <v>81</v>
      </c>
      <c r="D50" s="1" t="s">
        <v>27</v>
      </c>
      <c r="E50" s="1" t="s">
        <v>32</v>
      </c>
      <c r="F50" s="1" t="s">
        <v>52</v>
      </c>
      <c r="G50" s="1" t="s">
        <v>36</v>
      </c>
      <c r="H50" s="1" t="s">
        <v>45</v>
      </c>
      <c r="I50" s="1" t="s">
        <v>36</v>
      </c>
      <c r="J50" s="7">
        <v>45331</v>
      </c>
      <c r="K50" s="2">
        <v>45360</v>
      </c>
      <c r="L50" s="1">
        <v>1</v>
      </c>
      <c r="M50" s="1" t="s">
        <v>97</v>
      </c>
      <c r="N50" s="1" t="s">
        <v>63</v>
      </c>
      <c r="O50" s="1">
        <v>28403.15</v>
      </c>
      <c r="P50" s="1">
        <v>5</v>
      </c>
      <c r="Q50" s="1" t="s">
        <v>40</v>
      </c>
    </row>
    <row r="51" spans="1:17">
      <c r="A51" s="1" t="s">
        <v>222</v>
      </c>
      <c r="B51" s="1" t="s">
        <v>223</v>
      </c>
      <c r="C51" s="1">
        <v>66</v>
      </c>
      <c r="D51" s="1" t="s">
        <v>27</v>
      </c>
      <c r="E51" s="1" t="s">
        <v>32</v>
      </c>
      <c r="F51" s="1" t="s">
        <v>120</v>
      </c>
      <c r="G51" s="1" t="s">
        <v>132</v>
      </c>
      <c r="H51" s="1" t="s">
        <v>93</v>
      </c>
      <c r="I51" s="1" t="s">
        <v>62</v>
      </c>
      <c r="J51" s="7">
        <v>45453</v>
      </c>
      <c r="K51" s="1" t="s">
        <v>224</v>
      </c>
      <c r="L51" s="1">
        <v>10</v>
      </c>
      <c r="M51" s="1" t="s">
        <v>38</v>
      </c>
      <c r="N51" s="1" t="s">
        <v>39</v>
      </c>
      <c r="O51" s="1">
        <v>65302.94</v>
      </c>
      <c r="P51" s="1">
        <v>4</v>
      </c>
      <c r="Q51" s="1" t="s">
        <v>40</v>
      </c>
    </row>
    <row r="52" spans="1:17">
      <c r="A52" s="1" t="s">
        <v>225</v>
      </c>
      <c r="B52" s="1" t="s">
        <v>226</v>
      </c>
      <c r="C52" s="1">
        <v>1</v>
      </c>
      <c r="D52" s="1" t="s">
        <v>43</v>
      </c>
      <c r="E52" s="1" t="s">
        <v>159</v>
      </c>
      <c r="F52" s="1" t="s">
        <v>120</v>
      </c>
      <c r="G52" s="1" t="s">
        <v>110</v>
      </c>
      <c r="H52" s="1" t="s">
        <v>93</v>
      </c>
      <c r="I52" s="1" t="s">
        <v>36</v>
      </c>
      <c r="J52" s="7">
        <v>45302</v>
      </c>
      <c r="K52" s="2">
        <v>45454</v>
      </c>
      <c r="L52" s="1">
        <v>5</v>
      </c>
      <c r="M52" s="1" t="s">
        <v>56</v>
      </c>
      <c r="N52" s="1" t="s">
        <v>90</v>
      </c>
      <c r="O52" s="1">
        <v>77519.12</v>
      </c>
      <c r="P52" s="1">
        <v>4</v>
      </c>
      <c r="Q52" s="1" t="s">
        <v>58</v>
      </c>
    </row>
    <row r="53" spans="1:17">
      <c r="A53" s="1" t="s">
        <v>227</v>
      </c>
      <c r="B53" s="1" t="s">
        <v>169</v>
      </c>
      <c r="C53" s="1">
        <v>30</v>
      </c>
      <c r="D53" s="1" t="s">
        <v>43</v>
      </c>
      <c r="E53" s="1" t="s">
        <v>202</v>
      </c>
      <c r="F53" s="1" t="s">
        <v>21</v>
      </c>
      <c r="G53" s="1" t="s">
        <v>36</v>
      </c>
      <c r="H53" s="1" t="s">
        <v>76</v>
      </c>
      <c r="I53" s="1" t="s">
        <v>24</v>
      </c>
      <c r="J53" s="7" t="s">
        <v>46</v>
      </c>
      <c r="K53" s="1" t="s">
        <v>111</v>
      </c>
      <c r="L53" s="1">
        <v>7</v>
      </c>
      <c r="M53" s="1" t="s">
        <v>27</v>
      </c>
      <c r="N53" s="1" t="s">
        <v>82</v>
      </c>
      <c r="O53" s="1">
        <v>84154.22</v>
      </c>
      <c r="P53" s="1">
        <v>5</v>
      </c>
      <c r="Q53" s="1" t="s">
        <v>72</v>
      </c>
    </row>
    <row r="54" spans="1:17">
      <c r="A54" s="1" t="s">
        <v>228</v>
      </c>
      <c r="B54" s="1" t="s">
        <v>229</v>
      </c>
      <c r="C54" s="1">
        <v>57</v>
      </c>
      <c r="D54" s="1" t="s">
        <v>19</v>
      </c>
      <c r="E54" s="1" t="s">
        <v>32</v>
      </c>
      <c r="F54" s="1" t="s">
        <v>120</v>
      </c>
      <c r="G54" s="1" t="s">
        <v>22</v>
      </c>
      <c r="H54" s="1" t="s">
        <v>93</v>
      </c>
      <c r="I54" s="1" t="s">
        <v>24</v>
      </c>
      <c r="J54" s="7" t="s">
        <v>156</v>
      </c>
      <c r="K54" s="2">
        <v>45754</v>
      </c>
      <c r="L54" s="1">
        <v>12</v>
      </c>
      <c r="M54" s="1" t="s">
        <v>27</v>
      </c>
      <c r="N54" s="1" t="s">
        <v>57</v>
      </c>
      <c r="O54" s="1">
        <v>86314.18</v>
      </c>
      <c r="P54" s="1">
        <v>3</v>
      </c>
      <c r="Q54" s="1" t="s">
        <v>40</v>
      </c>
    </row>
    <row r="55" spans="1:17">
      <c r="A55" s="1" t="s">
        <v>230</v>
      </c>
      <c r="B55" s="1" t="s">
        <v>221</v>
      </c>
      <c r="C55" s="1">
        <v>81</v>
      </c>
      <c r="D55" s="1" t="s">
        <v>27</v>
      </c>
      <c r="E55" s="1" t="s">
        <v>66</v>
      </c>
      <c r="F55" s="1" t="s">
        <v>52</v>
      </c>
      <c r="G55" s="1" t="s">
        <v>132</v>
      </c>
      <c r="H55" s="1" t="s">
        <v>45</v>
      </c>
      <c r="I55" s="1" t="s">
        <v>62</v>
      </c>
      <c r="J55" s="7" t="s">
        <v>231</v>
      </c>
      <c r="K55" s="1" t="s">
        <v>232</v>
      </c>
      <c r="L55" s="1">
        <v>5</v>
      </c>
      <c r="M55" s="1" t="s">
        <v>48</v>
      </c>
      <c r="N55" s="1" t="s">
        <v>28</v>
      </c>
      <c r="O55" s="1">
        <v>43679.92</v>
      </c>
      <c r="P55" s="1">
        <v>2</v>
      </c>
      <c r="Q55" s="1" t="s">
        <v>40</v>
      </c>
    </row>
    <row r="56" spans="1:17">
      <c r="A56" s="1" t="s">
        <v>233</v>
      </c>
      <c r="B56" s="1" t="s">
        <v>234</v>
      </c>
      <c r="C56" s="1">
        <v>8</v>
      </c>
      <c r="D56" s="1" t="s">
        <v>43</v>
      </c>
      <c r="E56" s="1" t="s">
        <v>44</v>
      </c>
      <c r="F56" s="1" t="s">
        <v>33</v>
      </c>
      <c r="G56" s="1" t="s">
        <v>36</v>
      </c>
      <c r="H56" s="1" t="s">
        <v>69</v>
      </c>
      <c r="I56" s="1" t="s">
        <v>24</v>
      </c>
      <c r="J56" s="7">
        <v>45689</v>
      </c>
      <c r="K56" s="2">
        <v>45778</v>
      </c>
      <c r="L56" s="1">
        <v>3</v>
      </c>
      <c r="M56" s="1" t="s">
        <v>56</v>
      </c>
      <c r="N56" s="1" t="s">
        <v>57</v>
      </c>
      <c r="O56" s="1">
        <v>61771.43</v>
      </c>
      <c r="P56" s="1">
        <v>3</v>
      </c>
      <c r="Q56" s="1" t="s">
        <v>29</v>
      </c>
    </row>
    <row r="57" spans="1:17">
      <c r="A57" s="1" t="s">
        <v>235</v>
      </c>
      <c r="B57" s="1" t="s">
        <v>236</v>
      </c>
      <c r="C57" s="1">
        <v>30</v>
      </c>
      <c r="D57" s="1" t="s">
        <v>43</v>
      </c>
      <c r="E57" s="1" t="s">
        <v>44</v>
      </c>
      <c r="F57" s="1" t="s">
        <v>120</v>
      </c>
      <c r="G57" s="1" t="s">
        <v>104</v>
      </c>
      <c r="H57" s="1" t="s">
        <v>105</v>
      </c>
      <c r="I57" s="1" t="s">
        <v>24</v>
      </c>
      <c r="J57" s="7" t="s">
        <v>124</v>
      </c>
      <c r="K57" s="1" t="s">
        <v>237</v>
      </c>
      <c r="L57" s="1">
        <v>4</v>
      </c>
      <c r="M57" s="1" t="s">
        <v>97</v>
      </c>
      <c r="N57" s="1" t="s">
        <v>63</v>
      </c>
      <c r="O57" s="1">
        <v>61465.59</v>
      </c>
      <c r="P57" s="1">
        <v>3</v>
      </c>
      <c r="Q57" s="1" t="s">
        <v>40</v>
      </c>
    </row>
    <row r="58" spans="1:17">
      <c r="A58" s="1" t="s">
        <v>238</v>
      </c>
      <c r="B58" s="1" t="s">
        <v>208</v>
      </c>
      <c r="C58" s="1">
        <v>59</v>
      </c>
      <c r="D58" s="1" t="s">
        <v>43</v>
      </c>
      <c r="E58" s="1" t="s">
        <v>202</v>
      </c>
      <c r="F58" s="1" t="s">
        <v>67</v>
      </c>
      <c r="G58" s="1" t="s">
        <v>68</v>
      </c>
      <c r="H58" s="1" t="s">
        <v>105</v>
      </c>
      <c r="I58" s="1" t="s">
        <v>24</v>
      </c>
      <c r="J58" s="7" t="s">
        <v>239</v>
      </c>
      <c r="K58" s="1" t="s">
        <v>240</v>
      </c>
      <c r="L58" s="1">
        <v>3</v>
      </c>
      <c r="M58" s="1" t="s">
        <v>48</v>
      </c>
      <c r="N58" s="1" t="s">
        <v>90</v>
      </c>
      <c r="O58" s="1">
        <v>13601.59</v>
      </c>
      <c r="P58" s="1">
        <v>5</v>
      </c>
      <c r="Q58" s="1" t="s">
        <v>58</v>
      </c>
    </row>
    <row r="59" spans="1:17">
      <c r="A59" s="1" t="s">
        <v>241</v>
      </c>
      <c r="B59" s="1" t="s">
        <v>242</v>
      </c>
      <c r="C59" s="1">
        <v>37</v>
      </c>
      <c r="D59" s="1" t="s">
        <v>19</v>
      </c>
      <c r="E59" s="1" t="s">
        <v>159</v>
      </c>
      <c r="F59" s="1" t="s">
        <v>75</v>
      </c>
      <c r="G59" s="1" t="s">
        <v>68</v>
      </c>
      <c r="H59" s="1" t="s">
        <v>35</v>
      </c>
      <c r="I59" s="1" t="s">
        <v>24</v>
      </c>
      <c r="J59" s="7" t="s">
        <v>243</v>
      </c>
      <c r="K59" s="1" t="s">
        <v>244</v>
      </c>
      <c r="L59" s="1">
        <v>2</v>
      </c>
      <c r="M59" s="1" t="s">
        <v>38</v>
      </c>
      <c r="N59" s="1" t="s">
        <v>63</v>
      </c>
      <c r="O59" s="1">
        <v>57862.11</v>
      </c>
      <c r="P59" s="1">
        <v>5</v>
      </c>
      <c r="Q59" s="1" t="s">
        <v>29</v>
      </c>
    </row>
    <row r="60" spans="1:17">
      <c r="A60" s="1" t="s">
        <v>245</v>
      </c>
      <c r="B60" s="1" t="s">
        <v>246</v>
      </c>
      <c r="C60" s="1">
        <v>12</v>
      </c>
      <c r="D60" s="1" t="s">
        <v>43</v>
      </c>
      <c r="E60" s="1" t="s">
        <v>247</v>
      </c>
      <c r="F60" s="1" t="s">
        <v>75</v>
      </c>
      <c r="G60" s="1" t="s">
        <v>53</v>
      </c>
      <c r="H60" s="1" t="s">
        <v>23</v>
      </c>
      <c r="I60" s="1" t="s">
        <v>62</v>
      </c>
      <c r="J60" s="7" t="s">
        <v>248</v>
      </c>
      <c r="K60" s="2">
        <v>45363</v>
      </c>
      <c r="L60" s="1">
        <v>3</v>
      </c>
      <c r="M60" s="1" t="s">
        <v>48</v>
      </c>
      <c r="N60" s="1" t="s">
        <v>85</v>
      </c>
      <c r="O60" s="1">
        <v>70285.179999999993</v>
      </c>
      <c r="P60" s="1">
        <v>3</v>
      </c>
      <c r="Q60" s="1" t="s">
        <v>29</v>
      </c>
    </row>
    <row r="61" spans="1:17">
      <c r="A61" s="1" t="s">
        <v>249</v>
      </c>
      <c r="B61" s="1" t="s">
        <v>114</v>
      </c>
      <c r="C61" s="1">
        <v>87</v>
      </c>
      <c r="D61" s="1" t="s">
        <v>27</v>
      </c>
      <c r="E61" s="1" t="s">
        <v>247</v>
      </c>
      <c r="F61" s="1" t="s">
        <v>75</v>
      </c>
      <c r="G61" s="1" t="s">
        <v>34</v>
      </c>
      <c r="H61" s="1" t="s">
        <v>105</v>
      </c>
      <c r="I61" s="1" t="s">
        <v>24</v>
      </c>
      <c r="J61" s="7" t="s">
        <v>250</v>
      </c>
      <c r="K61" s="1" t="s">
        <v>251</v>
      </c>
      <c r="L61" s="1">
        <v>3</v>
      </c>
      <c r="M61" s="1" t="s">
        <v>56</v>
      </c>
      <c r="N61" s="1" t="s">
        <v>57</v>
      </c>
      <c r="O61" s="1">
        <v>82347.899999999994</v>
      </c>
      <c r="P61" s="1">
        <v>4</v>
      </c>
      <c r="Q61" s="1" t="s">
        <v>72</v>
      </c>
    </row>
    <row r="62" spans="1:17">
      <c r="A62" s="1" t="s">
        <v>252</v>
      </c>
      <c r="B62" s="1" t="s">
        <v>253</v>
      </c>
      <c r="C62" s="1">
        <v>80</v>
      </c>
      <c r="D62" s="1" t="s">
        <v>27</v>
      </c>
      <c r="E62" s="1" t="s">
        <v>117</v>
      </c>
      <c r="F62" s="1" t="s">
        <v>33</v>
      </c>
      <c r="G62" s="1" t="s">
        <v>104</v>
      </c>
      <c r="H62" s="1" t="s">
        <v>105</v>
      </c>
      <c r="I62" s="1" t="s">
        <v>36</v>
      </c>
      <c r="J62" s="7">
        <v>45303</v>
      </c>
      <c r="K62" s="2">
        <v>45363</v>
      </c>
      <c r="L62" s="1">
        <v>2</v>
      </c>
      <c r="M62" s="1" t="s">
        <v>48</v>
      </c>
      <c r="N62" s="1" t="s">
        <v>85</v>
      </c>
      <c r="O62" s="1">
        <v>59394.48</v>
      </c>
      <c r="P62" s="1">
        <v>2</v>
      </c>
      <c r="Q62" s="1" t="s">
        <v>29</v>
      </c>
    </row>
    <row r="63" spans="1:17">
      <c r="A63" s="1" t="s">
        <v>254</v>
      </c>
      <c r="B63" s="1" t="s">
        <v>255</v>
      </c>
      <c r="C63" s="1">
        <v>50</v>
      </c>
      <c r="D63" s="1" t="s">
        <v>43</v>
      </c>
      <c r="E63" s="1" t="s">
        <v>247</v>
      </c>
      <c r="F63" s="1" t="s">
        <v>21</v>
      </c>
      <c r="G63" s="1" t="s">
        <v>110</v>
      </c>
      <c r="H63" s="1" t="s">
        <v>76</v>
      </c>
      <c r="I63" s="1" t="s">
        <v>62</v>
      </c>
      <c r="J63" s="7" t="s">
        <v>256</v>
      </c>
      <c r="K63" s="1" t="s">
        <v>257</v>
      </c>
      <c r="L63" s="1">
        <v>4</v>
      </c>
      <c r="M63" s="1" t="s">
        <v>97</v>
      </c>
      <c r="N63" s="1" t="s">
        <v>85</v>
      </c>
      <c r="O63" s="1">
        <v>116647.5</v>
      </c>
      <c r="P63" s="1">
        <v>4</v>
      </c>
      <c r="Q63" s="1" t="s">
        <v>40</v>
      </c>
    </row>
    <row r="64" spans="1:17">
      <c r="A64" s="1" t="s">
        <v>258</v>
      </c>
      <c r="B64" s="1" t="s">
        <v>259</v>
      </c>
      <c r="C64" s="1">
        <v>13</v>
      </c>
      <c r="D64" s="1" t="s">
        <v>27</v>
      </c>
      <c r="E64" s="1" t="s">
        <v>202</v>
      </c>
      <c r="F64" s="1" t="s">
        <v>120</v>
      </c>
      <c r="G64" s="1" t="s">
        <v>22</v>
      </c>
      <c r="H64" s="1" t="s">
        <v>93</v>
      </c>
      <c r="I64" s="1" t="s">
        <v>36</v>
      </c>
      <c r="J64" s="7">
        <v>45962</v>
      </c>
      <c r="K64" s="2">
        <v>45992</v>
      </c>
      <c r="L64" s="1">
        <v>1</v>
      </c>
      <c r="M64" s="1" t="s">
        <v>56</v>
      </c>
      <c r="N64" s="1" t="s">
        <v>39</v>
      </c>
      <c r="O64" s="1">
        <v>18692.16</v>
      </c>
      <c r="P64" s="1">
        <v>3</v>
      </c>
      <c r="Q64" s="1" t="s">
        <v>29</v>
      </c>
    </row>
    <row r="65" spans="1:17">
      <c r="A65" s="1" t="s">
        <v>260</v>
      </c>
      <c r="B65" s="1" t="s">
        <v>261</v>
      </c>
      <c r="C65" s="1">
        <v>9</v>
      </c>
      <c r="D65" s="1" t="s">
        <v>27</v>
      </c>
      <c r="E65" s="1" t="s">
        <v>51</v>
      </c>
      <c r="F65" s="1" t="s">
        <v>120</v>
      </c>
      <c r="G65" s="1" t="s">
        <v>53</v>
      </c>
      <c r="H65" s="1" t="s">
        <v>35</v>
      </c>
      <c r="I65" s="1" t="s">
        <v>36</v>
      </c>
      <c r="J65" s="7" t="s">
        <v>262</v>
      </c>
      <c r="K65" s="2">
        <v>45330</v>
      </c>
      <c r="L65" s="1">
        <v>2</v>
      </c>
      <c r="M65" s="1" t="s">
        <v>48</v>
      </c>
      <c r="N65" s="1" t="s">
        <v>63</v>
      </c>
      <c r="O65" s="1">
        <v>120801.92</v>
      </c>
      <c r="P65" s="1">
        <v>3</v>
      </c>
      <c r="Q65" s="1" t="s">
        <v>72</v>
      </c>
    </row>
    <row r="66" spans="1:17">
      <c r="A66" s="1" t="s">
        <v>263</v>
      </c>
      <c r="B66" s="1" t="s">
        <v>264</v>
      </c>
      <c r="C66" s="1">
        <v>17</v>
      </c>
      <c r="D66" s="1" t="s">
        <v>19</v>
      </c>
      <c r="E66" s="1" t="s">
        <v>159</v>
      </c>
      <c r="F66" s="1" t="s">
        <v>33</v>
      </c>
      <c r="G66" s="1" t="s">
        <v>68</v>
      </c>
      <c r="H66" s="1" t="s">
        <v>99</v>
      </c>
      <c r="I66" s="1" t="s">
        <v>62</v>
      </c>
      <c r="J66" s="7">
        <v>45658</v>
      </c>
      <c r="K66" s="2">
        <v>45809</v>
      </c>
      <c r="L66" s="1">
        <v>5</v>
      </c>
      <c r="M66" s="1" t="s">
        <v>27</v>
      </c>
      <c r="N66" s="1" t="s">
        <v>90</v>
      </c>
      <c r="O66" s="1">
        <v>21253.37</v>
      </c>
      <c r="P66" s="1">
        <v>4</v>
      </c>
      <c r="Q66" s="1" t="s">
        <v>72</v>
      </c>
    </row>
    <row r="67" spans="1:17">
      <c r="A67" s="1" t="s">
        <v>265</v>
      </c>
      <c r="B67" s="1" t="s">
        <v>266</v>
      </c>
      <c r="C67" s="1">
        <v>58</v>
      </c>
      <c r="D67" s="1" t="s">
        <v>27</v>
      </c>
      <c r="E67" s="1" t="s">
        <v>137</v>
      </c>
      <c r="F67" s="1" t="s">
        <v>52</v>
      </c>
      <c r="G67" s="1" t="s">
        <v>68</v>
      </c>
      <c r="H67" s="1" t="s">
        <v>93</v>
      </c>
      <c r="I67" s="1" t="s">
        <v>36</v>
      </c>
      <c r="J67" s="7" t="s">
        <v>267</v>
      </c>
      <c r="K67" s="1" t="s">
        <v>268</v>
      </c>
      <c r="L67" s="1">
        <v>1</v>
      </c>
      <c r="M67" s="1" t="s">
        <v>97</v>
      </c>
      <c r="N67" s="1" t="s">
        <v>63</v>
      </c>
      <c r="O67" s="1">
        <v>58963.87</v>
      </c>
      <c r="P67" s="1">
        <v>1</v>
      </c>
      <c r="Q67" s="1" t="s">
        <v>58</v>
      </c>
    </row>
    <row r="68" spans="1:17">
      <c r="A68" s="1" t="s">
        <v>269</v>
      </c>
      <c r="B68" s="1" t="s">
        <v>229</v>
      </c>
      <c r="C68" s="1">
        <v>10</v>
      </c>
      <c r="D68" s="1" t="s">
        <v>19</v>
      </c>
      <c r="E68" s="1" t="s">
        <v>32</v>
      </c>
      <c r="F68" s="1" t="s">
        <v>52</v>
      </c>
      <c r="G68" s="1" t="s">
        <v>53</v>
      </c>
      <c r="H68" s="1" t="s">
        <v>76</v>
      </c>
      <c r="I68" s="1" t="s">
        <v>36</v>
      </c>
      <c r="J68" s="7" t="s">
        <v>270</v>
      </c>
      <c r="K68" s="1" t="s">
        <v>213</v>
      </c>
      <c r="L68" s="1">
        <v>1</v>
      </c>
      <c r="M68" s="1" t="s">
        <v>27</v>
      </c>
      <c r="N68" s="1" t="s">
        <v>63</v>
      </c>
      <c r="O68" s="1">
        <v>141929.73000000001</v>
      </c>
      <c r="P68" s="1">
        <v>4</v>
      </c>
      <c r="Q68" s="1" t="s">
        <v>29</v>
      </c>
    </row>
    <row r="69" spans="1:17">
      <c r="A69" s="1" t="s">
        <v>271</v>
      </c>
      <c r="B69" s="1" t="s">
        <v>176</v>
      </c>
      <c r="C69" s="1">
        <v>56</v>
      </c>
      <c r="D69" s="1" t="s">
        <v>43</v>
      </c>
      <c r="E69" s="1" t="s">
        <v>66</v>
      </c>
      <c r="F69" s="1" t="s">
        <v>52</v>
      </c>
      <c r="G69" s="1" t="s">
        <v>36</v>
      </c>
      <c r="H69" s="1" t="s">
        <v>45</v>
      </c>
      <c r="I69" s="1" t="s">
        <v>62</v>
      </c>
      <c r="J69" s="7" t="s">
        <v>272</v>
      </c>
      <c r="K69" s="1" t="s">
        <v>273</v>
      </c>
      <c r="L69" s="1">
        <v>3</v>
      </c>
      <c r="M69" s="1" t="s">
        <v>48</v>
      </c>
      <c r="N69" s="1" t="s">
        <v>28</v>
      </c>
      <c r="O69" s="1">
        <v>34816.03</v>
      </c>
      <c r="P69" s="1">
        <v>3</v>
      </c>
      <c r="Q69" s="1" t="s">
        <v>72</v>
      </c>
    </row>
    <row r="70" spans="1:17">
      <c r="A70" s="1" t="s">
        <v>274</v>
      </c>
      <c r="B70" s="1" t="s">
        <v>275</v>
      </c>
      <c r="C70" s="1">
        <v>12</v>
      </c>
      <c r="D70" s="1" t="s">
        <v>43</v>
      </c>
      <c r="E70" s="1" t="s">
        <v>137</v>
      </c>
      <c r="F70" s="1" t="s">
        <v>52</v>
      </c>
      <c r="G70" s="1" t="s">
        <v>34</v>
      </c>
      <c r="H70" s="1" t="s">
        <v>69</v>
      </c>
      <c r="I70" s="1" t="s">
        <v>36</v>
      </c>
      <c r="J70" s="7">
        <v>45508</v>
      </c>
      <c r="K70" s="1" t="s">
        <v>195</v>
      </c>
      <c r="L70" s="1">
        <v>7</v>
      </c>
      <c r="M70" s="1" t="s">
        <v>38</v>
      </c>
      <c r="N70" s="1" t="s">
        <v>90</v>
      </c>
      <c r="O70" s="1">
        <v>139568.43</v>
      </c>
      <c r="P70" s="1">
        <v>4</v>
      </c>
      <c r="Q70" s="1" t="s">
        <v>40</v>
      </c>
    </row>
    <row r="71" spans="1:17">
      <c r="A71" s="1" t="s">
        <v>276</v>
      </c>
      <c r="B71" s="1" t="s">
        <v>79</v>
      </c>
      <c r="C71" s="1">
        <v>46</v>
      </c>
      <c r="D71" s="1" t="s">
        <v>19</v>
      </c>
      <c r="E71" s="1" t="s">
        <v>44</v>
      </c>
      <c r="F71" s="1" t="s">
        <v>21</v>
      </c>
      <c r="G71" s="1" t="s">
        <v>132</v>
      </c>
      <c r="H71" s="1" t="s">
        <v>45</v>
      </c>
      <c r="I71" s="1" t="s">
        <v>62</v>
      </c>
      <c r="J71" s="7" t="s">
        <v>277</v>
      </c>
      <c r="K71" s="1" t="s">
        <v>278</v>
      </c>
      <c r="L71" s="1">
        <v>2</v>
      </c>
      <c r="M71" s="1" t="s">
        <v>27</v>
      </c>
      <c r="N71" s="1" t="s">
        <v>39</v>
      </c>
      <c r="O71" s="1">
        <v>37558.32</v>
      </c>
      <c r="P71" s="1">
        <v>4</v>
      </c>
      <c r="Q71" s="1" t="s">
        <v>72</v>
      </c>
    </row>
    <row r="72" spans="1:17">
      <c r="A72" s="1" t="s">
        <v>279</v>
      </c>
      <c r="B72" s="1" t="s">
        <v>280</v>
      </c>
      <c r="C72" s="1">
        <v>78</v>
      </c>
      <c r="D72" s="1" t="s">
        <v>27</v>
      </c>
      <c r="E72" s="1" t="s">
        <v>32</v>
      </c>
      <c r="F72" s="1" t="s">
        <v>21</v>
      </c>
      <c r="G72" s="1" t="s">
        <v>68</v>
      </c>
      <c r="H72" s="1" t="s">
        <v>88</v>
      </c>
      <c r="I72" s="1" t="s">
        <v>24</v>
      </c>
      <c r="J72" s="7">
        <v>45973</v>
      </c>
      <c r="K72" s="2">
        <v>46003</v>
      </c>
      <c r="L72" s="1">
        <v>1</v>
      </c>
      <c r="M72" s="1" t="s">
        <v>48</v>
      </c>
      <c r="N72" s="1" t="s">
        <v>28</v>
      </c>
      <c r="O72" s="1">
        <v>37624.71</v>
      </c>
      <c r="P72" s="1">
        <v>3</v>
      </c>
      <c r="Q72" s="1" t="s">
        <v>29</v>
      </c>
    </row>
    <row r="73" spans="1:17">
      <c r="A73" s="1" t="s">
        <v>281</v>
      </c>
      <c r="B73" s="1" t="s">
        <v>259</v>
      </c>
      <c r="C73" s="1">
        <v>49</v>
      </c>
      <c r="D73" s="1" t="s">
        <v>43</v>
      </c>
      <c r="E73" s="1" t="s">
        <v>32</v>
      </c>
      <c r="F73" s="1" t="s">
        <v>120</v>
      </c>
      <c r="G73" s="1" t="s">
        <v>53</v>
      </c>
      <c r="H73" s="1" t="s">
        <v>69</v>
      </c>
      <c r="I73" s="1" t="s">
        <v>62</v>
      </c>
      <c r="J73" s="7">
        <v>45904</v>
      </c>
      <c r="K73" s="2">
        <v>45934</v>
      </c>
      <c r="L73" s="1">
        <v>1</v>
      </c>
      <c r="M73" s="1" t="s">
        <v>97</v>
      </c>
      <c r="N73" s="1" t="s">
        <v>57</v>
      </c>
      <c r="O73" s="1">
        <v>110771.49</v>
      </c>
      <c r="P73" s="1">
        <v>3</v>
      </c>
      <c r="Q73" s="1" t="s">
        <v>58</v>
      </c>
    </row>
    <row r="74" spans="1:17">
      <c r="A74" s="1" t="s">
        <v>282</v>
      </c>
      <c r="B74" s="1" t="s">
        <v>283</v>
      </c>
      <c r="C74" s="1">
        <v>54</v>
      </c>
      <c r="D74" s="1" t="s">
        <v>43</v>
      </c>
      <c r="E74" s="1" t="s">
        <v>137</v>
      </c>
      <c r="F74" s="1" t="s">
        <v>67</v>
      </c>
      <c r="G74" s="1" t="s">
        <v>68</v>
      </c>
      <c r="H74" s="1" t="s">
        <v>69</v>
      </c>
      <c r="I74" s="1" t="s">
        <v>36</v>
      </c>
      <c r="J74" s="7">
        <v>45512</v>
      </c>
      <c r="K74" s="2">
        <v>45543</v>
      </c>
      <c r="L74" s="1">
        <v>1</v>
      </c>
      <c r="M74" s="1" t="s">
        <v>48</v>
      </c>
      <c r="N74" s="1" t="s">
        <v>85</v>
      </c>
      <c r="O74" s="1">
        <v>47524.19</v>
      </c>
      <c r="P74" s="1">
        <v>4</v>
      </c>
      <c r="Q74" s="1" t="s">
        <v>40</v>
      </c>
    </row>
    <row r="75" spans="1:17">
      <c r="A75" s="1" t="s">
        <v>284</v>
      </c>
      <c r="B75" s="1" t="s">
        <v>285</v>
      </c>
      <c r="C75" s="1">
        <v>28</v>
      </c>
      <c r="D75" s="1" t="s">
        <v>19</v>
      </c>
      <c r="E75" s="1" t="s">
        <v>137</v>
      </c>
      <c r="F75" s="1" t="s">
        <v>52</v>
      </c>
      <c r="G75" s="1" t="s">
        <v>36</v>
      </c>
      <c r="H75" s="1" t="s">
        <v>23</v>
      </c>
      <c r="I75" s="1" t="s">
        <v>36</v>
      </c>
      <c r="J75" s="7" t="s">
        <v>286</v>
      </c>
      <c r="K75" s="1" t="s">
        <v>287</v>
      </c>
      <c r="L75" s="1">
        <v>7</v>
      </c>
      <c r="M75" s="1" t="s">
        <v>97</v>
      </c>
      <c r="N75" s="1" t="s">
        <v>28</v>
      </c>
      <c r="O75" s="1">
        <v>63368</v>
      </c>
      <c r="P75" s="1">
        <v>4</v>
      </c>
      <c r="Q75" s="1" t="s">
        <v>58</v>
      </c>
    </row>
    <row r="76" spans="1:17">
      <c r="A76" s="1" t="s">
        <v>288</v>
      </c>
      <c r="B76" s="1" t="s">
        <v>123</v>
      </c>
      <c r="C76" s="1">
        <v>10</v>
      </c>
      <c r="D76" s="1" t="s">
        <v>43</v>
      </c>
      <c r="E76" s="1" t="s">
        <v>44</v>
      </c>
      <c r="F76" s="1" t="s">
        <v>33</v>
      </c>
      <c r="G76" s="1" t="s">
        <v>36</v>
      </c>
      <c r="H76" s="1" t="s">
        <v>105</v>
      </c>
      <c r="I76" s="1" t="s">
        <v>24</v>
      </c>
      <c r="J76" s="7">
        <v>45999</v>
      </c>
      <c r="K76" s="1" t="s">
        <v>289</v>
      </c>
      <c r="L76" s="1">
        <v>5</v>
      </c>
      <c r="M76" s="1" t="s">
        <v>38</v>
      </c>
      <c r="N76" s="1" t="s">
        <v>28</v>
      </c>
      <c r="O76" s="1">
        <v>20407.66</v>
      </c>
      <c r="P76" s="1">
        <v>1</v>
      </c>
      <c r="Q76" s="1" t="s">
        <v>58</v>
      </c>
    </row>
    <row r="77" spans="1:17">
      <c r="A77" s="1" t="s">
        <v>290</v>
      </c>
      <c r="B77" s="1" t="s">
        <v>291</v>
      </c>
      <c r="C77" s="1">
        <v>14</v>
      </c>
      <c r="D77" s="1" t="s">
        <v>19</v>
      </c>
      <c r="E77" s="1" t="s">
        <v>51</v>
      </c>
      <c r="F77" s="1" t="s">
        <v>67</v>
      </c>
      <c r="G77" s="1" t="s">
        <v>68</v>
      </c>
      <c r="H77" s="1" t="s">
        <v>88</v>
      </c>
      <c r="I77" s="1" t="s">
        <v>36</v>
      </c>
      <c r="J77" s="7" t="s">
        <v>292</v>
      </c>
      <c r="K77" s="1" t="s">
        <v>293</v>
      </c>
      <c r="L77" s="1">
        <v>3</v>
      </c>
      <c r="M77" s="1" t="s">
        <v>38</v>
      </c>
      <c r="N77" s="1" t="s">
        <v>82</v>
      </c>
      <c r="O77" s="1">
        <v>28174.76</v>
      </c>
      <c r="P77" s="1">
        <v>5</v>
      </c>
      <c r="Q77" s="1" t="s">
        <v>29</v>
      </c>
    </row>
    <row r="78" spans="1:17">
      <c r="A78" s="1" t="s">
        <v>294</v>
      </c>
      <c r="B78" s="1" t="s">
        <v>295</v>
      </c>
      <c r="C78" s="1">
        <v>31</v>
      </c>
      <c r="D78" s="1" t="s">
        <v>19</v>
      </c>
      <c r="E78" s="1" t="s">
        <v>44</v>
      </c>
      <c r="F78" s="1" t="s">
        <v>52</v>
      </c>
      <c r="G78" s="1" t="s">
        <v>22</v>
      </c>
      <c r="H78" s="1" t="s">
        <v>35</v>
      </c>
      <c r="I78" s="1" t="s">
        <v>24</v>
      </c>
      <c r="J78" s="7" t="s">
        <v>296</v>
      </c>
      <c r="K78" s="1" t="s">
        <v>297</v>
      </c>
      <c r="L78" s="1">
        <v>2</v>
      </c>
      <c r="M78" s="1" t="s">
        <v>27</v>
      </c>
      <c r="N78" s="1" t="s">
        <v>82</v>
      </c>
      <c r="O78" s="1">
        <v>81444.33</v>
      </c>
      <c r="P78" s="1">
        <v>4</v>
      </c>
      <c r="Q78" s="1" t="s">
        <v>40</v>
      </c>
    </row>
    <row r="79" spans="1:17">
      <c r="A79" s="1" t="s">
        <v>298</v>
      </c>
      <c r="B79" s="1" t="s">
        <v>299</v>
      </c>
      <c r="C79" s="1">
        <v>20</v>
      </c>
      <c r="D79" s="1" t="s">
        <v>43</v>
      </c>
      <c r="E79" s="1" t="s">
        <v>159</v>
      </c>
      <c r="F79" s="1" t="s">
        <v>75</v>
      </c>
      <c r="G79" s="1" t="s">
        <v>68</v>
      </c>
      <c r="H79" s="1" t="s">
        <v>69</v>
      </c>
      <c r="I79" s="1" t="s">
        <v>36</v>
      </c>
      <c r="J79" s="7">
        <v>45568</v>
      </c>
      <c r="K79" s="1" t="s">
        <v>300</v>
      </c>
      <c r="L79" s="1">
        <v>3</v>
      </c>
      <c r="M79" s="1" t="s">
        <v>38</v>
      </c>
      <c r="N79" s="1" t="s">
        <v>39</v>
      </c>
      <c r="O79" s="1">
        <v>16100.56</v>
      </c>
      <c r="P79" s="1">
        <v>4</v>
      </c>
      <c r="Q79" s="1" t="s">
        <v>40</v>
      </c>
    </row>
    <row r="80" spans="1:17">
      <c r="A80" s="1" t="s">
        <v>301</v>
      </c>
      <c r="B80" s="1" t="s">
        <v>302</v>
      </c>
      <c r="C80" s="1">
        <v>10</v>
      </c>
      <c r="D80" s="1" t="s">
        <v>27</v>
      </c>
      <c r="E80" s="1" t="s">
        <v>51</v>
      </c>
      <c r="F80" s="1" t="s">
        <v>21</v>
      </c>
      <c r="G80" s="1" t="s">
        <v>34</v>
      </c>
      <c r="H80" s="1" t="s">
        <v>93</v>
      </c>
      <c r="I80" s="1" t="s">
        <v>36</v>
      </c>
      <c r="J80" s="7">
        <v>45326</v>
      </c>
      <c r="K80" s="2">
        <v>45477</v>
      </c>
      <c r="L80" s="1">
        <v>5</v>
      </c>
      <c r="M80" s="1" t="s">
        <v>97</v>
      </c>
      <c r="N80" s="1" t="s">
        <v>28</v>
      </c>
      <c r="O80" s="1">
        <v>134348.63</v>
      </c>
      <c r="P80" s="1">
        <v>3</v>
      </c>
      <c r="Q80" s="1" t="s">
        <v>40</v>
      </c>
    </row>
    <row r="81" spans="1:17">
      <c r="A81" s="1" t="s">
        <v>303</v>
      </c>
      <c r="B81" s="1" t="s">
        <v>304</v>
      </c>
      <c r="C81" s="1">
        <v>11</v>
      </c>
      <c r="D81" s="1" t="s">
        <v>27</v>
      </c>
      <c r="E81" s="1" t="s">
        <v>137</v>
      </c>
      <c r="F81" s="1" t="s">
        <v>33</v>
      </c>
      <c r="G81" s="1" t="s">
        <v>104</v>
      </c>
      <c r="H81" s="1" t="s">
        <v>23</v>
      </c>
      <c r="I81" s="1" t="s">
        <v>62</v>
      </c>
      <c r="J81" s="7" t="s">
        <v>305</v>
      </c>
      <c r="K81" s="1" t="s">
        <v>306</v>
      </c>
      <c r="L81" s="1">
        <v>1</v>
      </c>
      <c r="M81" s="1" t="s">
        <v>27</v>
      </c>
      <c r="N81" s="1" t="s">
        <v>28</v>
      </c>
      <c r="O81" s="1">
        <v>50160.61</v>
      </c>
      <c r="P81" s="1">
        <v>3</v>
      </c>
      <c r="Q81" s="1" t="s">
        <v>40</v>
      </c>
    </row>
    <row r="82" spans="1:17">
      <c r="A82" s="1" t="s">
        <v>307</v>
      </c>
      <c r="B82" s="1" t="s">
        <v>308</v>
      </c>
      <c r="C82" s="1">
        <v>9</v>
      </c>
      <c r="D82" s="1" t="s">
        <v>43</v>
      </c>
      <c r="E82" s="1" t="s">
        <v>66</v>
      </c>
      <c r="F82" s="1" t="s">
        <v>67</v>
      </c>
      <c r="G82" s="1" t="s">
        <v>110</v>
      </c>
      <c r="H82" s="1" t="s">
        <v>88</v>
      </c>
      <c r="I82" s="1" t="s">
        <v>24</v>
      </c>
      <c r="J82" s="7">
        <v>45447</v>
      </c>
      <c r="K82" s="2">
        <v>45630</v>
      </c>
      <c r="L82" s="1">
        <v>6</v>
      </c>
      <c r="M82" s="1" t="s">
        <v>48</v>
      </c>
      <c r="N82" s="1" t="s">
        <v>82</v>
      </c>
      <c r="O82" s="1">
        <v>32260.02</v>
      </c>
      <c r="P82" s="1">
        <v>5</v>
      </c>
      <c r="Q82" s="1" t="s">
        <v>58</v>
      </c>
    </row>
    <row r="83" spans="1:17">
      <c r="A83" s="1" t="s">
        <v>309</v>
      </c>
      <c r="B83" s="1" t="s">
        <v>310</v>
      </c>
      <c r="C83" s="1">
        <v>83</v>
      </c>
      <c r="D83" s="1" t="s">
        <v>43</v>
      </c>
      <c r="E83" s="1" t="s">
        <v>20</v>
      </c>
      <c r="F83" s="1" t="s">
        <v>120</v>
      </c>
      <c r="G83" s="1" t="s">
        <v>22</v>
      </c>
      <c r="H83" s="1" t="s">
        <v>76</v>
      </c>
      <c r="I83" s="1" t="s">
        <v>62</v>
      </c>
      <c r="J83" s="7">
        <v>45570</v>
      </c>
      <c r="K83" s="1" t="s">
        <v>311</v>
      </c>
      <c r="L83" s="1">
        <v>7</v>
      </c>
      <c r="M83" s="1" t="s">
        <v>56</v>
      </c>
      <c r="N83" s="1" t="s">
        <v>85</v>
      </c>
      <c r="O83" s="1">
        <v>49119.66</v>
      </c>
      <c r="P83" s="1">
        <v>1</v>
      </c>
      <c r="Q83" s="1" t="s">
        <v>29</v>
      </c>
    </row>
    <row r="84" spans="1:17">
      <c r="A84" s="1" t="s">
        <v>312</v>
      </c>
      <c r="B84" s="1" t="s">
        <v>261</v>
      </c>
      <c r="C84" s="1">
        <v>20</v>
      </c>
      <c r="D84" s="1" t="s">
        <v>19</v>
      </c>
      <c r="E84" s="1" t="s">
        <v>66</v>
      </c>
      <c r="F84" s="1" t="s">
        <v>52</v>
      </c>
      <c r="G84" s="1" t="s">
        <v>34</v>
      </c>
      <c r="H84" s="1" t="s">
        <v>88</v>
      </c>
      <c r="I84" s="1" t="s">
        <v>24</v>
      </c>
      <c r="J84" s="7" t="s">
        <v>313</v>
      </c>
      <c r="K84" s="2">
        <v>45333</v>
      </c>
      <c r="L84" s="1">
        <v>4</v>
      </c>
      <c r="M84" s="1" t="s">
        <v>56</v>
      </c>
      <c r="N84" s="1" t="s">
        <v>63</v>
      </c>
      <c r="O84" s="1">
        <v>133432.38</v>
      </c>
      <c r="P84" s="1">
        <v>4</v>
      </c>
      <c r="Q84" s="1" t="s">
        <v>58</v>
      </c>
    </row>
    <row r="85" spans="1:17">
      <c r="A85" s="1" t="s">
        <v>314</v>
      </c>
      <c r="B85" s="1" t="s">
        <v>315</v>
      </c>
      <c r="C85" s="1">
        <v>6</v>
      </c>
      <c r="D85" s="1" t="s">
        <v>43</v>
      </c>
      <c r="E85" s="1" t="s">
        <v>247</v>
      </c>
      <c r="F85" s="1" t="s">
        <v>52</v>
      </c>
      <c r="G85" s="1" t="s">
        <v>68</v>
      </c>
      <c r="H85" s="1" t="s">
        <v>93</v>
      </c>
      <c r="I85" s="1" t="s">
        <v>24</v>
      </c>
      <c r="J85" s="7">
        <v>45870</v>
      </c>
      <c r="K85" s="1" t="s">
        <v>316</v>
      </c>
      <c r="L85" s="1">
        <v>7</v>
      </c>
      <c r="M85" s="1" t="s">
        <v>97</v>
      </c>
      <c r="N85" s="1" t="s">
        <v>57</v>
      </c>
      <c r="O85" s="1">
        <v>29082.21</v>
      </c>
      <c r="P85" s="1">
        <v>3</v>
      </c>
      <c r="Q85" s="1" t="s">
        <v>40</v>
      </c>
    </row>
    <row r="86" spans="1:17">
      <c r="A86" s="1" t="s">
        <v>317</v>
      </c>
      <c r="B86" s="1" t="s">
        <v>79</v>
      </c>
      <c r="C86" s="1">
        <v>49</v>
      </c>
      <c r="D86" s="1" t="s">
        <v>27</v>
      </c>
      <c r="E86" s="1" t="s">
        <v>32</v>
      </c>
      <c r="F86" s="1" t="s">
        <v>21</v>
      </c>
      <c r="G86" s="1" t="s">
        <v>53</v>
      </c>
      <c r="H86" s="1" t="s">
        <v>23</v>
      </c>
      <c r="I86" s="1" t="s">
        <v>62</v>
      </c>
      <c r="J86" s="7" t="s">
        <v>318</v>
      </c>
      <c r="K86" s="1" t="s">
        <v>319</v>
      </c>
      <c r="L86" s="1">
        <v>2</v>
      </c>
      <c r="M86" s="1" t="s">
        <v>97</v>
      </c>
      <c r="N86" s="1" t="s">
        <v>90</v>
      </c>
      <c r="O86" s="1">
        <v>147595.23000000001</v>
      </c>
      <c r="P86" s="1">
        <v>4</v>
      </c>
      <c r="Q86" s="1" t="s">
        <v>29</v>
      </c>
    </row>
    <row r="87" spans="1:17">
      <c r="A87" s="1" t="s">
        <v>320</v>
      </c>
      <c r="B87" s="1" t="s">
        <v>321</v>
      </c>
      <c r="C87" s="1">
        <v>56</v>
      </c>
      <c r="D87" s="1" t="s">
        <v>19</v>
      </c>
      <c r="E87" s="1" t="s">
        <v>247</v>
      </c>
      <c r="F87" s="1" t="s">
        <v>21</v>
      </c>
      <c r="G87" s="1" t="s">
        <v>36</v>
      </c>
      <c r="H87" s="1" t="s">
        <v>99</v>
      </c>
      <c r="I87" s="1" t="s">
        <v>36</v>
      </c>
      <c r="J87" s="7" t="s">
        <v>268</v>
      </c>
      <c r="K87" s="1" t="s">
        <v>322</v>
      </c>
      <c r="L87" s="1">
        <v>13</v>
      </c>
      <c r="M87" s="1" t="s">
        <v>38</v>
      </c>
      <c r="N87" s="1" t="s">
        <v>28</v>
      </c>
      <c r="O87" s="1">
        <v>51176.42</v>
      </c>
      <c r="P87" s="1">
        <v>4</v>
      </c>
      <c r="Q87" s="1" t="s">
        <v>40</v>
      </c>
    </row>
    <row r="88" spans="1:17">
      <c r="A88" s="1" t="s">
        <v>323</v>
      </c>
      <c r="B88" s="1" t="s">
        <v>324</v>
      </c>
      <c r="C88" s="1">
        <v>19</v>
      </c>
      <c r="D88" s="1" t="s">
        <v>19</v>
      </c>
      <c r="E88" s="1" t="s">
        <v>20</v>
      </c>
      <c r="F88" s="1" t="s">
        <v>21</v>
      </c>
      <c r="G88" s="1" t="s">
        <v>104</v>
      </c>
      <c r="H88" s="1" t="s">
        <v>93</v>
      </c>
      <c r="I88" s="1" t="s">
        <v>24</v>
      </c>
      <c r="J88" s="7">
        <v>45537</v>
      </c>
      <c r="K88" s="1" t="s">
        <v>325</v>
      </c>
      <c r="L88" s="1">
        <v>10</v>
      </c>
      <c r="M88" s="1" t="s">
        <v>27</v>
      </c>
      <c r="N88" s="1" t="s">
        <v>90</v>
      </c>
      <c r="O88" s="1">
        <v>71150.53</v>
      </c>
      <c r="P88" s="1">
        <v>5</v>
      </c>
      <c r="Q88" s="1" t="s">
        <v>58</v>
      </c>
    </row>
    <row r="89" spans="1:17">
      <c r="A89" s="1" t="s">
        <v>326</v>
      </c>
      <c r="B89" s="1" t="s">
        <v>259</v>
      </c>
      <c r="C89" s="1">
        <v>15</v>
      </c>
      <c r="D89" s="1" t="s">
        <v>43</v>
      </c>
      <c r="E89" s="1" t="s">
        <v>51</v>
      </c>
      <c r="F89" s="1" t="s">
        <v>67</v>
      </c>
      <c r="G89" s="1" t="s">
        <v>104</v>
      </c>
      <c r="H89" s="1" t="s">
        <v>45</v>
      </c>
      <c r="I89" s="1" t="s">
        <v>36</v>
      </c>
      <c r="J89" s="7" t="s">
        <v>327</v>
      </c>
      <c r="K89" s="2">
        <v>45300</v>
      </c>
      <c r="L89" s="1">
        <v>1</v>
      </c>
      <c r="M89" s="1" t="s">
        <v>56</v>
      </c>
      <c r="N89" s="1" t="s">
        <v>82</v>
      </c>
      <c r="O89" s="1">
        <v>20092.63</v>
      </c>
      <c r="P89" s="1">
        <v>5</v>
      </c>
      <c r="Q89" s="1" t="s">
        <v>58</v>
      </c>
    </row>
    <row r="90" spans="1:17">
      <c r="A90" s="1" t="s">
        <v>328</v>
      </c>
      <c r="B90" s="1" t="s">
        <v>329</v>
      </c>
      <c r="C90" s="1">
        <v>1</v>
      </c>
      <c r="D90" s="1" t="s">
        <v>27</v>
      </c>
      <c r="E90" s="1" t="s">
        <v>137</v>
      </c>
      <c r="F90" s="1" t="s">
        <v>33</v>
      </c>
      <c r="G90" s="1" t="s">
        <v>22</v>
      </c>
      <c r="H90" s="1" t="s">
        <v>23</v>
      </c>
      <c r="I90" s="1" t="s">
        <v>36</v>
      </c>
      <c r="J90" s="7" t="s">
        <v>330</v>
      </c>
      <c r="K90" s="2">
        <v>45658</v>
      </c>
      <c r="L90" s="1">
        <v>5</v>
      </c>
      <c r="M90" s="1" t="s">
        <v>97</v>
      </c>
      <c r="N90" s="1" t="s">
        <v>82</v>
      </c>
      <c r="O90" s="1">
        <v>83149.78</v>
      </c>
      <c r="P90" s="1">
        <v>2</v>
      </c>
      <c r="Q90" s="1" t="s">
        <v>40</v>
      </c>
    </row>
    <row r="91" spans="1:17">
      <c r="A91" s="1" t="s">
        <v>331</v>
      </c>
      <c r="B91" s="1" t="s">
        <v>126</v>
      </c>
      <c r="C91" s="1">
        <v>3</v>
      </c>
      <c r="D91" s="1" t="s">
        <v>43</v>
      </c>
      <c r="E91" s="1" t="s">
        <v>51</v>
      </c>
      <c r="F91" s="1" t="s">
        <v>120</v>
      </c>
      <c r="G91" s="1" t="s">
        <v>22</v>
      </c>
      <c r="H91" s="1" t="s">
        <v>69</v>
      </c>
      <c r="I91" s="1" t="s">
        <v>24</v>
      </c>
      <c r="J91" s="7">
        <v>45568</v>
      </c>
      <c r="K91" s="2">
        <v>45629</v>
      </c>
      <c r="L91" s="1">
        <v>2</v>
      </c>
      <c r="M91" s="1" t="s">
        <v>56</v>
      </c>
      <c r="N91" s="1" t="s">
        <v>39</v>
      </c>
      <c r="O91" s="1">
        <v>65668.649999999994</v>
      </c>
      <c r="P91" s="1">
        <v>4</v>
      </c>
      <c r="Q91" s="1" t="s">
        <v>58</v>
      </c>
    </row>
    <row r="92" spans="1:17">
      <c r="A92" s="1" t="s">
        <v>332</v>
      </c>
      <c r="B92" s="1" t="s">
        <v>126</v>
      </c>
      <c r="C92" s="1">
        <v>90</v>
      </c>
      <c r="D92" s="1" t="s">
        <v>43</v>
      </c>
      <c r="E92" s="1" t="s">
        <v>117</v>
      </c>
      <c r="F92" s="1" t="s">
        <v>67</v>
      </c>
      <c r="G92" s="1" t="s">
        <v>68</v>
      </c>
      <c r="H92" s="1" t="s">
        <v>61</v>
      </c>
      <c r="I92" s="1" t="s">
        <v>62</v>
      </c>
      <c r="J92" s="7">
        <v>45879</v>
      </c>
      <c r="K92" s="1" t="s">
        <v>333</v>
      </c>
      <c r="L92" s="1">
        <v>8</v>
      </c>
      <c r="M92" s="1" t="s">
        <v>27</v>
      </c>
      <c r="N92" s="1" t="s">
        <v>57</v>
      </c>
      <c r="O92" s="1">
        <v>18997.32</v>
      </c>
      <c r="P92" s="1">
        <v>3</v>
      </c>
      <c r="Q92" s="1" t="s">
        <v>40</v>
      </c>
    </row>
    <row r="93" spans="1:17">
      <c r="A93" s="1" t="s">
        <v>334</v>
      </c>
      <c r="B93" s="1" t="s">
        <v>335</v>
      </c>
      <c r="C93" s="1">
        <v>5</v>
      </c>
      <c r="D93" s="1" t="s">
        <v>27</v>
      </c>
      <c r="E93" s="1" t="s">
        <v>247</v>
      </c>
      <c r="F93" s="1" t="s">
        <v>21</v>
      </c>
      <c r="G93" s="1" t="s">
        <v>53</v>
      </c>
      <c r="H93" s="1" t="s">
        <v>105</v>
      </c>
      <c r="I93" s="1" t="s">
        <v>62</v>
      </c>
      <c r="J93" s="7" t="s">
        <v>336</v>
      </c>
      <c r="K93" s="1" t="s">
        <v>337</v>
      </c>
      <c r="L93" s="1">
        <v>3</v>
      </c>
      <c r="M93" s="1" t="s">
        <v>97</v>
      </c>
      <c r="N93" s="1" t="s">
        <v>82</v>
      </c>
      <c r="O93" s="1">
        <v>32288.28</v>
      </c>
      <c r="P93" s="1">
        <v>5</v>
      </c>
      <c r="Q93" s="1" t="s">
        <v>40</v>
      </c>
    </row>
    <row r="94" spans="1:17">
      <c r="A94" s="1" t="s">
        <v>338</v>
      </c>
      <c r="B94" s="1" t="s">
        <v>339</v>
      </c>
      <c r="C94" s="1">
        <v>11</v>
      </c>
      <c r="D94" s="1" t="s">
        <v>27</v>
      </c>
      <c r="E94" s="1" t="s">
        <v>159</v>
      </c>
      <c r="F94" s="1" t="s">
        <v>67</v>
      </c>
      <c r="G94" s="1" t="s">
        <v>110</v>
      </c>
      <c r="H94" s="1" t="s">
        <v>23</v>
      </c>
      <c r="I94" s="1" t="s">
        <v>24</v>
      </c>
      <c r="J94" s="7">
        <v>45933</v>
      </c>
      <c r="K94" s="1" t="s">
        <v>340</v>
      </c>
      <c r="L94" s="1">
        <v>3</v>
      </c>
      <c r="M94" s="1" t="s">
        <v>97</v>
      </c>
      <c r="N94" s="1" t="s">
        <v>85</v>
      </c>
      <c r="O94" s="1">
        <v>43222.18</v>
      </c>
      <c r="P94" s="1">
        <v>4</v>
      </c>
      <c r="Q94" s="1" t="s">
        <v>58</v>
      </c>
    </row>
    <row r="95" spans="1:17">
      <c r="A95" s="1" t="s">
        <v>341</v>
      </c>
      <c r="B95" s="1" t="s">
        <v>169</v>
      </c>
      <c r="C95" s="1">
        <v>45</v>
      </c>
      <c r="D95" s="1" t="s">
        <v>43</v>
      </c>
      <c r="E95" s="1" t="s">
        <v>202</v>
      </c>
      <c r="F95" s="1" t="s">
        <v>21</v>
      </c>
      <c r="G95" s="1" t="s">
        <v>53</v>
      </c>
      <c r="H95" s="1" t="s">
        <v>23</v>
      </c>
      <c r="I95" s="1" t="s">
        <v>36</v>
      </c>
      <c r="J95" s="7" t="s">
        <v>342</v>
      </c>
      <c r="K95" s="1" t="s">
        <v>46</v>
      </c>
      <c r="L95" s="1">
        <v>1</v>
      </c>
      <c r="M95" s="1" t="s">
        <v>56</v>
      </c>
      <c r="N95" s="1" t="s">
        <v>39</v>
      </c>
      <c r="O95" s="1">
        <v>127672.38</v>
      </c>
      <c r="P95" s="1">
        <v>5</v>
      </c>
      <c r="Q95" s="1" t="s">
        <v>40</v>
      </c>
    </row>
    <row r="96" spans="1:17">
      <c r="A96" s="1" t="s">
        <v>343</v>
      </c>
      <c r="B96" s="1" t="s">
        <v>344</v>
      </c>
      <c r="C96" s="1">
        <v>47</v>
      </c>
      <c r="D96" s="1" t="s">
        <v>43</v>
      </c>
      <c r="E96" s="1" t="s">
        <v>247</v>
      </c>
      <c r="F96" s="1" t="s">
        <v>52</v>
      </c>
      <c r="G96" s="1" t="s">
        <v>53</v>
      </c>
      <c r="H96" s="1" t="s">
        <v>88</v>
      </c>
      <c r="I96" s="1" t="s">
        <v>62</v>
      </c>
      <c r="J96" s="7">
        <v>45724</v>
      </c>
      <c r="K96" s="2">
        <v>45877</v>
      </c>
      <c r="L96" s="1">
        <v>5</v>
      </c>
      <c r="M96" s="1" t="s">
        <v>56</v>
      </c>
      <c r="N96" s="1" t="s">
        <v>28</v>
      </c>
      <c r="O96" s="1">
        <v>56361.95</v>
      </c>
      <c r="P96" s="1">
        <v>3</v>
      </c>
      <c r="Q96" s="1" t="s">
        <v>72</v>
      </c>
    </row>
    <row r="97" spans="1:17">
      <c r="A97" s="1" t="s">
        <v>345</v>
      </c>
      <c r="B97" s="1" t="s">
        <v>315</v>
      </c>
      <c r="C97" s="1">
        <v>24</v>
      </c>
      <c r="D97" s="1" t="s">
        <v>43</v>
      </c>
      <c r="E97" s="1" t="s">
        <v>32</v>
      </c>
      <c r="F97" s="1" t="s">
        <v>21</v>
      </c>
      <c r="G97" s="1" t="s">
        <v>132</v>
      </c>
      <c r="H97" s="1" t="s">
        <v>69</v>
      </c>
      <c r="I97" s="1" t="s">
        <v>36</v>
      </c>
      <c r="J97" s="7" t="s">
        <v>346</v>
      </c>
      <c r="K97" s="1" t="s">
        <v>156</v>
      </c>
      <c r="L97" s="1">
        <v>8</v>
      </c>
      <c r="M97" s="1" t="s">
        <v>97</v>
      </c>
      <c r="N97" s="1" t="s">
        <v>85</v>
      </c>
      <c r="O97" s="1">
        <v>41058.89</v>
      </c>
      <c r="P97" s="1">
        <v>5</v>
      </c>
      <c r="Q97" s="1" t="s">
        <v>58</v>
      </c>
    </row>
    <row r="98" spans="1:17">
      <c r="A98" s="1" t="s">
        <v>347</v>
      </c>
      <c r="B98" s="1" t="s">
        <v>348</v>
      </c>
      <c r="C98" s="1">
        <v>12</v>
      </c>
      <c r="D98" s="1" t="s">
        <v>27</v>
      </c>
      <c r="E98" s="1" t="s">
        <v>51</v>
      </c>
      <c r="F98" s="1" t="s">
        <v>21</v>
      </c>
      <c r="G98" s="1" t="s">
        <v>68</v>
      </c>
      <c r="H98" s="1" t="s">
        <v>105</v>
      </c>
      <c r="I98" s="1" t="s">
        <v>36</v>
      </c>
      <c r="J98" s="7" t="s">
        <v>349</v>
      </c>
      <c r="K98" s="1" t="s">
        <v>213</v>
      </c>
      <c r="L98" s="1">
        <v>3</v>
      </c>
      <c r="M98" s="1" t="s">
        <v>56</v>
      </c>
      <c r="N98" s="1" t="s">
        <v>39</v>
      </c>
      <c r="O98" s="1">
        <v>74149.429999999993</v>
      </c>
      <c r="P98" s="1">
        <v>5</v>
      </c>
      <c r="Q98" s="1" t="s">
        <v>29</v>
      </c>
    </row>
    <row r="99" spans="1:17">
      <c r="A99" s="1" t="s">
        <v>350</v>
      </c>
      <c r="B99" s="1" t="s">
        <v>266</v>
      </c>
      <c r="C99" s="1">
        <v>31</v>
      </c>
      <c r="D99" s="1" t="s">
        <v>43</v>
      </c>
      <c r="E99" s="1" t="s">
        <v>137</v>
      </c>
      <c r="F99" s="1" t="s">
        <v>67</v>
      </c>
      <c r="G99" s="1" t="s">
        <v>110</v>
      </c>
      <c r="H99" s="1" t="s">
        <v>69</v>
      </c>
      <c r="I99" s="1" t="s">
        <v>36</v>
      </c>
      <c r="J99" s="7" t="s">
        <v>351</v>
      </c>
      <c r="K99" s="1" t="s">
        <v>352</v>
      </c>
      <c r="L99" s="1">
        <v>4</v>
      </c>
      <c r="M99" s="1" t="s">
        <v>56</v>
      </c>
      <c r="N99" s="1" t="s">
        <v>82</v>
      </c>
      <c r="O99" s="1">
        <v>96389.7</v>
      </c>
      <c r="P99" s="1">
        <v>4</v>
      </c>
      <c r="Q99" s="1" t="s">
        <v>72</v>
      </c>
    </row>
    <row r="100" spans="1:17">
      <c r="A100" s="1" t="s">
        <v>353</v>
      </c>
      <c r="B100" s="1" t="s">
        <v>354</v>
      </c>
      <c r="C100" s="1">
        <v>58</v>
      </c>
      <c r="D100" s="1" t="s">
        <v>43</v>
      </c>
      <c r="E100" s="1" t="s">
        <v>117</v>
      </c>
      <c r="F100" s="1" t="s">
        <v>21</v>
      </c>
      <c r="G100" s="1" t="s">
        <v>110</v>
      </c>
      <c r="H100" s="1" t="s">
        <v>35</v>
      </c>
      <c r="I100" s="1" t="s">
        <v>36</v>
      </c>
      <c r="J100" s="7" t="s">
        <v>355</v>
      </c>
      <c r="K100" s="1" t="s">
        <v>356</v>
      </c>
      <c r="L100" s="1">
        <v>3</v>
      </c>
      <c r="M100" s="1" t="s">
        <v>38</v>
      </c>
      <c r="N100" s="1" t="s">
        <v>63</v>
      </c>
      <c r="O100" s="1">
        <v>88018.25</v>
      </c>
      <c r="P100" s="1">
        <v>2</v>
      </c>
      <c r="Q100" s="1" t="s">
        <v>29</v>
      </c>
    </row>
    <row r="101" spans="1:17">
      <c r="A101" s="1" t="s">
        <v>357</v>
      </c>
      <c r="B101" s="1" t="s">
        <v>50</v>
      </c>
      <c r="C101" s="1">
        <v>45</v>
      </c>
      <c r="D101" s="1" t="s">
        <v>27</v>
      </c>
      <c r="E101" s="1" t="s">
        <v>44</v>
      </c>
      <c r="F101" s="1" t="s">
        <v>67</v>
      </c>
      <c r="G101" s="1" t="s">
        <v>68</v>
      </c>
      <c r="H101" s="1" t="s">
        <v>35</v>
      </c>
      <c r="I101" s="1" t="s">
        <v>36</v>
      </c>
      <c r="J101" s="7" t="s">
        <v>358</v>
      </c>
      <c r="K101" s="1" t="s">
        <v>359</v>
      </c>
      <c r="L101" s="1">
        <v>2</v>
      </c>
      <c r="M101" s="1" t="s">
        <v>56</v>
      </c>
      <c r="N101" s="1" t="s">
        <v>63</v>
      </c>
      <c r="O101" s="1">
        <v>57626.63</v>
      </c>
      <c r="P101" s="1">
        <v>4</v>
      </c>
      <c r="Q101" s="1" t="s">
        <v>40</v>
      </c>
    </row>
    <row r="102" spans="1:17">
      <c r="A102" s="1" t="s">
        <v>360</v>
      </c>
      <c r="B102" s="1" t="s">
        <v>361</v>
      </c>
      <c r="C102" s="1">
        <v>73</v>
      </c>
      <c r="D102" s="1" t="s">
        <v>19</v>
      </c>
      <c r="E102" s="1" t="s">
        <v>51</v>
      </c>
      <c r="F102" s="1" t="s">
        <v>120</v>
      </c>
      <c r="G102" s="1" t="s">
        <v>68</v>
      </c>
      <c r="H102" s="1" t="s">
        <v>61</v>
      </c>
      <c r="I102" s="1" t="s">
        <v>24</v>
      </c>
      <c r="J102" s="7" t="s">
        <v>362</v>
      </c>
      <c r="K102" s="1" t="s">
        <v>352</v>
      </c>
      <c r="L102" s="1">
        <v>1</v>
      </c>
      <c r="M102" s="1" t="s">
        <v>38</v>
      </c>
      <c r="N102" s="1" t="s">
        <v>57</v>
      </c>
      <c r="O102" s="1">
        <v>67988.009999999995</v>
      </c>
      <c r="P102" s="1">
        <v>4</v>
      </c>
      <c r="Q102" s="1" t="s">
        <v>29</v>
      </c>
    </row>
    <row r="103" spans="1:17">
      <c r="A103" s="1" t="s">
        <v>363</v>
      </c>
      <c r="B103" s="1" t="s">
        <v>141</v>
      </c>
      <c r="C103" s="1">
        <v>88</v>
      </c>
      <c r="D103" s="1" t="s">
        <v>43</v>
      </c>
      <c r="E103" s="1" t="s">
        <v>137</v>
      </c>
      <c r="F103" s="1" t="s">
        <v>21</v>
      </c>
      <c r="G103" s="1" t="s">
        <v>132</v>
      </c>
      <c r="H103" s="1" t="s">
        <v>88</v>
      </c>
      <c r="I103" s="1" t="s">
        <v>62</v>
      </c>
      <c r="J103" s="7" t="s">
        <v>364</v>
      </c>
      <c r="K103" s="2">
        <v>45362</v>
      </c>
      <c r="L103" s="1">
        <v>3</v>
      </c>
      <c r="M103" s="1" t="s">
        <v>27</v>
      </c>
      <c r="N103" s="1" t="s">
        <v>90</v>
      </c>
      <c r="O103" s="1">
        <v>56286.2</v>
      </c>
      <c r="P103" s="1">
        <v>3</v>
      </c>
      <c r="Q103" s="1" t="s">
        <v>72</v>
      </c>
    </row>
    <row r="104" spans="1:17">
      <c r="A104" s="1" t="s">
        <v>365</v>
      </c>
      <c r="B104" s="1" t="s">
        <v>229</v>
      </c>
      <c r="C104" s="1">
        <v>41</v>
      </c>
      <c r="D104" s="1" t="s">
        <v>19</v>
      </c>
      <c r="E104" s="1" t="s">
        <v>20</v>
      </c>
      <c r="F104" s="1" t="s">
        <v>21</v>
      </c>
      <c r="G104" s="1" t="s">
        <v>22</v>
      </c>
      <c r="H104" s="1" t="s">
        <v>99</v>
      </c>
      <c r="I104" s="1" t="s">
        <v>62</v>
      </c>
      <c r="J104" s="7" t="s">
        <v>366</v>
      </c>
      <c r="K104" s="1" t="s">
        <v>367</v>
      </c>
      <c r="L104" s="1">
        <v>2</v>
      </c>
      <c r="M104" s="1" t="s">
        <v>27</v>
      </c>
      <c r="N104" s="1" t="s">
        <v>63</v>
      </c>
      <c r="O104" s="1">
        <v>33185.480000000003</v>
      </c>
      <c r="P104" s="1">
        <v>4</v>
      </c>
      <c r="Q104" s="1" t="s">
        <v>40</v>
      </c>
    </row>
    <row r="105" spans="1:17">
      <c r="A105" s="1" t="s">
        <v>368</v>
      </c>
      <c r="B105" s="1" t="s">
        <v>369</v>
      </c>
      <c r="C105" s="1">
        <v>25</v>
      </c>
      <c r="D105" s="1" t="s">
        <v>19</v>
      </c>
      <c r="E105" s="1" t="s">
        <v>20</v>
      </c>
      <c r="F105" s="1" t="s">
        <v>67</v>
      </c>
      <c r="G105" s="1" t="s">
        <v>104</v>
      </c>
      <c r="H105" s="1" t="s">
        <v>99</v>
      </c>
      <c r="I105" s="1" t="s">
        <v>62</v>
      </c>
      <c r="J105" s="7" t="s">
        <v>370</v>
      </c>
      <c r="K105" s="1" t="s">
        <v>371</v>
      </c>
      <c r="L105" s="1">
        <v>4</v>
      </c>
      <c r="M105" s="1" t="s">
        <v>48</v>
      </c>
      <c r="N105" s="1" t="s">
        <v>28</v>
      </c>
      <c r="O105" s="1">
        <v>18573.580000000002</v>
      </c>
      <c r="P105" s="1">
        <v>4</v>
      </c>
      <c r="Q105" s="1" t="s">
        <v>40</v>
      </c>
    </row>
    <row r="106" spans="1:17">
      <c r="A106" s="1" t="s">
        <v>372</v>
      </c>
      <c r="B106" s="1" t="s">
        <v>344</v>
      </c>
      <c r="C106" s="1">
        <v>64</v>
      </c>
      <c r="D106" s="1" t="s">
        <v>27</v>
      </c>
      <c r="E106" s="1" t="s">
        <v>247</v>
      </c>
      <c r="F106" s="1" t="s">
        <v>75</v>
      </c>
      <c r="G106" s="1" t="s">
        <v>22</v>
      </c>
      <c r="H106" s="1" t="s">
        <v>76</v>
      </c>
      <c r="I106" s="1" t="s">
        <v>62</v>
      </c>
      <c r="J106" s="7" t="s">
        <v>373</v>
      </c>
      <c r="K106" s="2">
        <v>45758</v>
      </c>
      <c r="L106" s="1">
        <v>4</v>
      </c>
      <c r="M106" s="1" t="s">
        <v>48</v>
      </c>
      <c r="N106" s="1" t="s">
        <v>90</v>
      </c>
      <c r="O106" s="1">
        <v>21777.25</v>
      </c>
      <c r="P106" s="1">
        <v>3</v>
      </c>
      <c r="Q106" s="1" t="s">
        <v>29</v>
      </c>
    </row>
    <row r="107" spans="1:17">
      <c r="A107" s="1" t="s">
        <v>374</v>
      </c>
      <c r="B107" s="1" t="s">
        <v>375</v>
      </c>
      <c r="C107" s="1">
        <v>47</v>
      </c>
      <c r="D107" s="1" t="s">
        <v>27</v>
      </c>
      <c r="E107" s="1" t="s">
        <v>247</v>
      </c>
      <c r="F107" s="1" t="s">
        <v>120</v>
      </c>
      <c r="G107" s="1" t="s">
        <v>68</v>
      </c>
      <c r="H107" s="1" t="s">
        <v>69</v>
      </c>
      <c r="I107" s="1" t="s">
        <v>24</v>
      </c>
      <c r="J107" s="7" t="s">
        <v>205</v>
      </c>
      <c r="K107" s="1" t="s">
        <v>376</v>
      </c>
      <c r="L107" s="1">
        <v>3</v>
      </c>
      <c r="M107" s="1" t="s">
        <v>38</v>
      </c>
      <c r="N107" s="1" t="s">
        <v>39</v>
      </c>
      <c r="O107" s="1">
        <v>61669.1</v>
      </c>
      <c r="P107" s="1">
        <v>2</v>
      </c>
      <c r="Q107" s="1" t="s">
        <v>29</v>
      </c>
    </row>
    <row r="108" spans="1:17">
      <c r="A108" s="1" t="s">
        <v>377</v>
      </c>
      <c r="B108" s="1" t="s">
        <v>378</v>
      </c>
      <c r="C108" s="1">
        <v>26</v>
      </c>
      <c r="D108" s="1" t="s">
        <v>27</v>
      </c>
      <c r="E108" s="1" t="s">
        <v>247</v>
      </c>
      <c r="F108" s="1" t="s">
        <v>67</v>
      </c>
      <c r="G108" s="1" t="s">
        <v>110</v>
      </c>
      <c r="H108" s="1" t="s">
        <v>88</v>
      </c>
      <c r="I108" s="1" t="s">
        <v>62</v>
      </c>
      <c r="J108" s="7">
        <v>45783</v>
      </c>
      <c r="K108" s="2">
        <v>45906</v>
      </c>
      <c r="L108" s="1">
        <v>4</v>
      </c>
      <c r="M108" s="1" t="s">
        <v>56</v>
      </c>
      <c r="N108" s="1" t="s">
        <v>57</v>
      </c>
      <c r="O108" s="1">
        <v>117867.65</v>
      </c>
      <c r="P108" s="1">
        <v>3</v>
      </c>
      <c r="Q108" s="1" t="s">
        <v>40</v>
      </c>
    </row>
    <row r="109" spans="1:17">
      <c r="A109" s="1" t="s">
        <v>379</v>
      </c>
      <c r="B109" s="1" t="s">
        <v>375</v>
      </c>
      <c r="C109" s="1">
        <v>76</v>
      </c>
      <c r="D109" s="1" t="s">
        <v>43</v>
      </c>
      <c r="E109" s="1" t="s">
        <v>44</v>
      </c>
      <c r="F109" s="1" t="s">
        <v>120</v>
      </c>
      <c r="G109" s="1" t="s">
        <v>68</v>
      </c>
      <c r="H109" s="1" t="s">
        <v>93</v>
      </c>
      <c r="I109" s="1" t="s">
        <v>24</v>
      </c>
      <c r="J109" s="7">
        <v>45722</v>
      </c>
      <c r="K109" s="2">
        <v>45844</v>
      </c>
      <c r="L109" s="1">
        <v>4</v>
      </c>
      <c r="M109" s="1" t="s">
        <v>48</v>
      </c>
      <c r="N109" s="1" t="s">
        <v>90</v>
      </c>
      <c r="O109" s="1">
        <v>71549.66</v>
      </c>
      <c r="P109" s="1">
        <v>4</v>
      </c>
      <c r="Q109" s="1" t="s">
        <v>58</v>
      </c>
    </row>
    <row r="110" spans="1:17">
      <c r="A110" s="1" t="s">
        <v>380</v>
      </c>
      <c r="B110" s="1" t="s">
        <v>381</v>
      </c>
      <c r="C110" s="1">
        <v>34</v>
      </c>
      <c r="D110" s="1" t="s">
        <v>27</v>
      </c>
      <c r="E110" s="1" t="s">
        <v>20</v>
      </c>
      <c r="F110" s="1" t="s">
        <v>75</v>
      </c>
      <c r="G110" s="1" t="s">
        <v>104</v>
      </c>
      <c r="H110" s="1" t="s">
        <v>35</v>
      </c>
      <c r="I110" s="1" t="s">
        <v>24</v>
      </c>
      <c r="J110" s="7" t="s">
        <v>382</v>
      </c>
      <c r="K110" s="1" t="s">
        <v>289</v>
      </c>
      <c r="L110" s="1">
        <v>2</v>
      </c>
      <c r="M110" s="1" t="s">
        <v>48</v>
      </c>
      <c r="N110" s="1" t="s">
        <v>85</v>
      </c>
      <c r="O110" s="1">
        <v>50268.959999999999</v>
      </c>
      <c r="P110" s="1">
        <v>5</v>
      </c>
      <c r="Q110" s="1" t="s">
        <v>72</v>
      </c>
    </row>
    <row r="111" spans="1:17">
      <c r="A111" s="1" t="s">
        <v>383</v>
      </c>
      <c r="B111" s="1" t="s">
        <v>384</v>
      </c>
      <c r="C111" s="1">
        <v>57</v>
      </c>
      <c r="D111" s="1" t="s">
        <v>43</v>
      </c>
      <c r="E111" s="1" t="s">
        <v>159</v>
      </c>
      <c r="F111" s="1" t="s">
        <v>67</v>
      </c>
      <c r="G111" s="1" t="s">
        <v>104</v>
      </c>
      <c r="H111" s="1" t="s">
        <v>99</v>
      </c>
      <c r="I111" s="1" t="s">
        <v>62</v>
      </c>
      <c r="J111" s="7">
        <v>45750</v>
      </c>
      <c r="K111" s="2">
        <v>45841</v>
      </c>
      <c r="L111" s="1">
        <v>3</v>
      </c>
      <c r="M111" s="1" t="s">
        <v>38</v>
      </c>
      <c r="N111" s="1" t="s">
        <v>85</v>
      </c>
      <c r="O111" s="1">
        <v>63521.59</v>
      </c>
      <c r="P111" s="1">
        <v>4</v>
      </c>
      <c r="Q111" s="1" t="s">
        <v>58</v>
      </c>
    </row>
    <row r="112" spans="1:17">
      <c r="A112" s="1" t="s">
        <v>385</v>
      </c>
      <c r="B112" s="1" t="s">
        <v>179</v>
      </c>
      <c r="C112" s="1">
        <v>69</v>
      </c>
      <c r="D112" s="1" t="s">
        <v>43</v>
      </c>
      <c r="E112" s="1" t="s">
        <v>20</v>
      </c>
      <c r="F112" s="1" t="s">
        <v>120</v>
      </c>
      <c r="G112" s="1" t="s">
        <v>68</v>
      </c>
      <c r="H112" s="1" t="s">
        <v>69</v>
      </c>
      <c r="I112" s="1" t="s">
        <v>62</v>
      </c>
      <c r="J112" s="7" t="s">
        <v>163</v>
      </c>
      <c r="K112" s="1" t="s">
        <v>386</v>
      </c>
      <c r="L112" s="1">
        <v>6</v>
      </c>
      <c r="M112" s="1" t="s">
        <v>56</v>
      </c>
      <c r="N112" s="1" t="s">
        <v>63</v>
      </c>
      <c r="O112" s="1">
        <v>47345.15</v>
      </c>
      <c r="P112" s="1">
        <v>5</v>
      </c>
      <c r="Q112" s="1" t="s">
        <v>58</v>
      </c>
    </row>
    <row r="113" spans="1:17">
      <c r="A113" s="1" t="s">
        <v>387</v>
      </c>
      <c r="B113" s="1" t="s">
        <v>388</v>
      </c>
      <c r="C113" s="1">
        <v>41</v>
      </c>
      <c r="D113" s="1" t="s">
        <v>43</v>
      </c>
      <c r="E113" s="1" t="s">
        <v>202</v>
      </c>
      <c r="F113" s="1" t="s">
        <v>120</v>
      </c>
      <c r="G113" s="1" t="s">
        <v>36</v>
      </c>
      <c r="H113" s="1" t="s">
        <v>76</v>
      </c>
      <c r="I113" s="1" t="s">
        <v>24</v>
      </c>
      <c r="J113" s="7" t="s">
        <v>389</v>
      </c>
      <c r="K113" s="1" t="s">
        <v>218</v>
      </c>
      <c r="L113" s="1">
        <v>2</v>
      </c>
      <c r="M113" s="1" t="s">
        <v>48</v>
      </c>
      <c r="N113" s="1" t="s">
        <v>82</v>
      </c>
      <c r="O113" s="1">
        <v>71741.55</v>
      </c>
      <c r="P113" s="1">
        <v>5</v>
      </c>
      <c r="Q113" s="1" t="s">
        <v>58</v>
      </c>
    </row>
    <row r="114" spans="1:17">
      <c r="A114" s="1" t="s">
        <v>390</v>
      </c>
      <c r="B114" s="1" t="s">
        <v>391</v>
      </c>
      <c r="C114" s="1">
        <v>84</v>
      </c>
      <c r="D114" s="1" t="s">
        <v>43</v>
      </c>
      <c r="E114" s="1" t="s">
        <v>202</v>
      </c>
      <c r="F114" s="1" t="s">
        <v>52</v>
      </c>
      <c r="G114" s="1" t="s">
        <v>68</v>
      </c>
      <c r="H114" s="1" t="s">
        <v>35</v>
      </c>
      <c r="I114" s="1" t="s">
        <v>24</v>
      </c>
      <c r="J114" s="7">
        <v>45782</v>
      </c>
      <c r="K114" s="2">
        <v>45843</v>
      </c>
      <c r="L114" s="1">
        <v>2</v>
      </c>
      <c r="M114" s="1" t="s">
        <v>56</v>
      </c>
      <c r="N114" s="1" t="s">
        <v>63</v>
      </c>
      <c r="O114" s="1">
        <v>19973.54</v>
      </c>
      <c r="P114" s="1">
        <v>5</v>
      </c>
      <c r="Q114" s="1" t="s">
        <v>29</v>
      </c>
    </row>
    <row r="115" spans="1:17">
      <c r="A115" s="1" t="s">
        <v>392</v>
      </c>
      <c r="B115" s="1" t="s">
        <v>393</v>
      </c>
      <c r="C115" s="1">
        <v>7</v>
      </c>
      <c r="D115" s="1" t="s">
        <v>19</v>
      </c>
      <c r="E115" s="1" t="s">
        <v>117</v>
      </c>
      <c r="F115" s="1" t="s">
        <v>52</v>
      </c>
      <c r="G115" s="1" t="s">
        <v>36</v>
      </c>
      <c r="H115" s="1" t="s">
        <v>93</v>
      </c>
      <c r="I115" s="1" t="s">
        <v>36</v>
      </c>
      <c r="J115" s="7" t="s">
        <v>394</v>
      </c>
      <c r="K115" s="2">
        <v>45719</v>
      </c>
      <c r="L115" s="1">
        <v>4</v>
      </c>
      <c r="M115" s="1" t="s">
        <v>48</v>
      </c>
      <c r="N115" s="1" t="s">
        <v>63</v>
      </c>
      <c r="O115" s="1">
        <v>46853.74</v>
      </c>
      <c r="P115" s="1">
        <v>3</v>
      </c>
      <c r="Q115" s="1" t="s">
        <v>29</v>
      </c>
    </row>
    <row r="116" spans="1:17">
      <c r="A116" s="1" t="s">
        <v>395</v>
      </c>
      <c r="B116" s="1" t="s">
        <v>396</v>
      </c>
      <c r="C116" s="1">
        <v>69</v>
      </c>
      <c r="D116" s="1" t="s">
        <v>27</v>
      </c>
      <c r="E116" s="1" t="s">
        <v>202</v>
      </c>
      <c r="F116" s="1" t="s">
        <v>120</v>
      </c>
      <c r="G116" s="1" t="s">
        <v>34</v>
      </c>
      <c r="H116" s="1" t="s">
        <v>76</v>
      </c>
      <c r="I116" s="1" t="s">
        <v>24</v>
      </c>
      <c r="J116" s="7">
        <v>45506</v>
      </c>
      <c r="K116" s="2">
        <v>45598</v>
      </c>
      <c r="L116" s="1">
        <v>3</v>
      </c>
      <c r="M116" s="1" t="s">
        <v>27</v>
      </c>
      <c r="N116" s="1" t="s">
        <v>28</v>
      </c>
      <c r="O116" s="1">
        <v>95082.69</v>
      </c>
      <c r="P116" s="1">
        <v>5</v>
      </c>
      <c r="Q116" s="1" t="s">
        <v>40</v>
      </c>
    </row>
    <row r="117" spans="1:17">
      <c r="A117" s="1" t="s">
        <v>397</v>
      </c>
      <c r="B117" s="1" t="s">
        <v>162</v>
      </c>
      <c r="C117" s="1">
        <v>37</v>
      </c>
      <c r="D117" s="1" t="s">
        <v>43</v>
      </c>
      <c r="E117" s="1" t="s">
        <v>117</v>
      </c>
      <c r="F117" s="1" t="s">
        <v>52</v>
      </c>
      <c r="G117" s="1" t="s">
        <v>110</v>
      </c>
      <c r="H117" s="1" t="s">
        <v>23</v>
      </c>
      <c r="I117" s="1" t="s">
        <v>36</v>
      </c>
      <c r="J117" s="7" t="s">
        <v>398</v>
      </c>
      <c r="K117" s="1" t="s">
        <v>399</v>
      </c>
      <c r="L117" s="1">
        <v>4</v>
      </c>
      <c r="M117" s="1" t="s">
        <v>48</v>
      </c>
      <c r="N117" s="1" t="s">
        <v>63</v>
      </c>
      <c r="O117" s="1">
        <v>63409.73</v>
      </c>
      <c r="P117" s="1">
        <v>2</v>
      </c>
      <c r="Q117" s="1" t="s">
        <v>40</v>
      </c>
    </row>
    <row r="118" spans="1:17">
      <c r="A118" s="1" t="s">
        <v>400</v>
      </c>
      <c r="B118" s="1" t="s">
        <v>354</v>
      </c>
      <c r="C118" s="1">
        <v>38</v>
      </c>
      <c r="D118" s="1" t="s">
        <v>27</v>
      </c>
      <c r="E118" s="1" t="s">
        <v>66</v>
      </c>
      <c r="F118" s="1" t="s">
        <v>33</v>
      </c>
      <c r="G118" s="1" t="s">
        <v>36</v>
      </c>
      <c r="H118" s="1" t="s">
        <v>76</v>
      </c>
      <c r="I118" s="1" t="s">
        <v>62</v>
      </c>
      <c r="J118" s="7" t="s">
        <v>250</v>
      </c>
      <c r="K118" s="1" t="s">
        <v>401</v>
      </c>
      <c r="L118" s="1">
        <v>1</v>
      </c>
      <c r="M118" s="1" t="s">
        <v>56</v>
      </c>
      <c r="N118" s="1" t="s">
        <v>28</v>
      </c>
      <c r="O118" s="1">
        <v>49615.49</v>
      </c>
      <c r="P118" s="1">
        <v>2</v>
      </c>
      <c r="Q118" s="1" t="s">
        <v>40</v>
      </c>
    </row>
    <row r="119" spans="1:17">
      <c r="A119" s="1" t="s">
        <v>402</v>
      </c>
      <c r="B119" s="1" t="s">
        <v>403</v>
      </c>
      <c r="C119" s="1">
        <v>50</v>
      </c>
      <c r="D119" s="1" t="s">
        <v>19</v>
      </c>
      <c r="E119" s="1" t="s">
        <v>117</v>
      </c>
      <c r="F119" s="1" t="s">
        <v>120</v>
      </c>
      <c r="G119" s="1" t="s">
        <v>34</v>
      </c>
      <c r="H119" s="1" t="s">
        <v>45</v>
      </c>
      <c r="I119" s="1" t="s">
        <v>24</v>
      </c>
      <c r="J119" s="7">
        <v>45692</v>
      </c>
      <c r="K119" s="2">
        <v>45873</v>
      </c>
      <c r="L119" s="1">
        <v>6</v>
      </c>
      <c r="M119" s="1" t="s">
        <v>56</v>
      </c>
      <c r="N119" s="1" t="s">
        <v>85</v>
      </c>
      <c r="O119" s="1">
        <v>61777.120000000003</v>
      </c>
      <c r="P119" s="1">
        <v>4</v>
      </c>
      <c r="Q119" s="1" t="s">
        <v>29</v>
      </c>
    </row>
    <row r="120" spans="1:17">
      <c r="A120" s="1" t="s">
        <v>404</v>
      </c>
      <c r="B120" s="1" t="s">
        <v>405</v>
      </c>
      <c r="C120" s="1">
        <v>62</v>
      </c>
      <c r="D120" s="1" t="s">
        <v>19</v>
      </c>
      <c r="E120" s="1" t="s">
        <v>51</v>
      </c>
      <c r="F120" s="1" t="s">
        <v>52</v>
      </c>
      <c r="G120" s="1" t="s">
        <v>132</v>
      </c>
      <c r="H120" s="1" t="s">
        <v>61</v>
      </c>
      <c r="I120" s="1" t="s">
        <v>62</v>
      </c>
      <c r="J120" s="7">
        <v>45934</v>
      </c>
      <c r="K120" s="1" t="s">
        <v>406</v>
      </c>
      <c r="L120" s="1">
        <v>7</v>
      </c>
      <c r="M120" s="1" t="s">
        <v>48</v>
      </c>
      <c r="N120" s="1" t="s">
        <v>90</v>
      </c>
      <c r="O120" s="1">
        <v>61664.959999999999</v>
      </c>
      <c r="P120" s="1">
        <v>4</v>
      </c>
      <c r="Q120" s="1" t="s">
        <v>72</v>
      </c>
    </row>
    <row r="121" spans="1:17">
      <c r="A121" s="1" t="s">
        <v>407</v>
      </c>
      <c r="B121" s="1" t="s">
        <v>194</v>
      </c>
      <c r="C121" s="1">
        <v>8</v>
      </c>
      <c r="D121" s="1" t="s">
        <v>27</v>
      </c>
      <c r="E121" s="1" t="s">
        <v>51</v>
      </c>
      <c r="F121" s="1" t="s">
        <v>33</v>
      </c>
      <c r="G121" s="1" t="s">
        <v>53</v>
      </c>
      <c r="H121" s="1" t="s">
        <v>23</v>
      </c>
      <c r="I121" s="1" t="s">
        <v>36</v>
      </c>
      <c r="J121" s="7">
        <v>45663</v>
      </c>
      <c r="K121" s="2">
        <v>45814</v>
      </c>
      <c r="L121" s="1">
        <v>5</v>
      </c>
      <c r="M121" s="1" t="s">
        <v>97</v>
      </c>
      <c r="N121" s="1" t="s">
        <v>85</v>
      </c>
      <c r="O121" s="1">
        <v>80200.66</v>
      </c>
      <c r="P121" s="1">
        <v>5</v>
      </c>
      <c r="Q121" s="1" t="s">
        <v>58</v>
      </c>
    </row>
    <row r="122" spans="1:17">
      <c r="A122" s="1" t="s">
        <v>408</v>
      </c>
      <c r="B122" s="1" t="s">
        <v>409</v>
      </c>
      <c r="C122" s="1">
        <v>59</v>
      </c>
      <c r="D122" s="1" t="s">
        <v>27</v>
      </c>
      <c r="E122" s="1" t="s">
        <v>137</v>
      </c>
      <c r="F122" s="1" t="s">
        <v>120</v>
      </c>
      <c r="G122" s="1" t="s">
        <v>34</v>
      </c>
      <c r="H122" s="1" t="s">
        <v>76</v>
      </c>
      <c r="I122" s="1" t="s">
        <v>24</v>
      </c>
      <c r="J122" s="7" t="s">
        <v>410</v>
      </c>
      <c r="K122" s="2">
        <v>45385</v>
      </c>
      <c r="L122" s="1">
        <v>4</v>
      </c>
      <c r="M122" s="1" t="s">
        <v>48</v>
      </c>
      <c r="N122" s="1" t="s">
        <v>90</v>
      </c>
      <c r="O122" s="1">
        <v>36773.43</v>
      </c>
      <c r="P122" s="1">
        <v>3</v>
      </c>
      <c r="Q122" s="1" t="s">
        <v>72</v>
      </c>
    </row>
    <row r="123" spans="1:17">
      <c r="A123" s="1" t="s">
        <v>411</v>
      </c>
      <c r="B123" s="1" t="s">
        <v>412</v>
      </c>
      <c r="C123" s="1">
        <v>9</v>
      </c>
      <c r="D123" s="1" t="s">
        <v>43</v>
      </c>
      <c r="E123" s="1" t="s">
        <v>32</v>
      </c>
      <c r="F123" s="1" t="s">
        <v>52</v>
      </c>
      <c r="G123" s="1" t="s">
        <v>36</v>
      </c>
      <c r="H123" s="1" t="s">
        <v>88</v>
      </c>
      <c r="I123" s="1" t="s">
        <v>24</v>
      </c>
      <c r="J123" s="7">
        <v>45324</v>
      </c>
      <c r="K123" s="2">
        <v>45414</v>
      </c>
      <c r="L123" s="1">
        <v>3</v>
      </c>
      <c r="M123" s="1" t="s">
        <v>27</v>
      </c>
      <c r="N123" s="1" t="s">
        <v>85</v>
      </c>
      <c r="O123" s="1">
        <v>84478.53</v>
      </c>
      <c r="P123" s="1">
        <v>4</v>
      </c>
      <c r="Q123" s="1" t="s">
        <v>40</v>
      </c>
    </row>
    <row r="124" spans="1:17">
      <c r="A124" s="1" t="s">
        <v>413</v>
      </c>
      <c r="B124" s="1" t="s">
        <v>335</v>
      </c>
      <c r="C124" s="1">
        <v>16</v>
      </c>
      <c r="D124" s="1" t="s">
        <v>19</v>
      </c>
      <c r="E124" s="1" t="s">
        <v>51</v>
      </c>
      <c r="F124" s="1" t="s">
        <v>33</v>
      </c>
      <c r="G124" s="1" t="s">
        <v>132</v>
      </c>
      <c r="H124" s="1" t="s">
        <v>99</v>
      </c>
      <c r="I124" s="1" t="s">
        <v>36</v>
      </c>
      <c r="J124" s="7">
        <v>45754</v>
      </c>
      <c r="K124" s="2">
        <v>45876</v>
      </c>
      <c r="L124" s="1">
        <v>4</v>
      </c>
      <c r="M124" s="1" t="s">
        <v>56</v>
      </c>
      <c r="N124" s="1" t="s">
        <v>57</v>
      </c>
      <c r="O124" s="1">
        <v>67201.100000000006</v>
      </c>
      <c r="P124" s="1">
        <v>5</v>
      </c>
      <c r="Q124" s="1" t="s">
        <v>40</v>
      </c>
    </row>
    <row r="125" spans="1:17">
      <c r="A125" s="1" t="s">
        <v>414</v>
      </c>
      <c r="B125" s="1" t="s">
        <v>259</v>
      </c>
      <c r="C125" s="1">
        <v>20</v>
      </c>
      <c r="D125" s="1" t="s">
        <v>43</v>
      </c>
      <c r="E125" s="1" t="s">
        <v>20</v>
      </c>
      <c r="F125" s="1" t="s">
        <v>52</v>
      </c>
      <c r="G125" s="1" t="s">
        <v>34</v>
      </c>
      <c r="H125" s="1" t="s">
        <v>61</v>
      </c>
      <c r="I125" s="1" t="s">
        <v>36</v>
      </c>
      <c r="J125" s="7">
        <v>45633</v>
      </c>
      <c r="K125" s="1" t="s">
        <v>415</v>
      </c>
      <c r="L125" s="1">
        <v>6</v>
      </c>
      <c r="M125" s="1" t="s">
        <v>97</v>
      </c>
      <c r="N125" s="1" t="s">
        <v>57</v>
      </c>
      <c r="O125" s="1">
        <v>34908.53</v>
      </c>
      <c r="P125" s="1">
        <v>1</v>
      </c>
      <c r="Q125" s="1" t="s">
        <v>29</v>
      </c>
    </row>
    <row r="126" spans="1:17">
      <c r="A126" s="1" t="s">
        <v>416</v>
      </c>
      <c r="B126" s="1" t="s">
        <v>310</v>
      </c>
      <c r="C126" s="1">
        <v>70</v>
      </c>
      <c r="D126" s="1" t="s">
        <v>19</v>
      </c>
      <c r="E126" s="1" t="s">
        <v>51</v>
      </c>
      <c r="F126" s="1" t="s">
        <v>21</v>
      </c>
      <c r="G126" s="1" t="s">
        <v>53</v>
      </c>
      <c r="H126" s="1" t="s">
        <v>69</v>
      </c>
      <c r="I126" s="1" t="s">
        <v>62</v>
      </c>
      <c r="J126" s="7" t="s">
        <v>417</v>
      </c>
      <c r="K126" s="2">
        <v>45325</v>
      </c>
      <c r="L126" s="1">
        <v>4</v>
      </c>
      <c r="M126" s="1" t="s">
        <v>38</v>
      </c>
      <c r="N126" s="1" t="s">
        <v>82</v>
      </c>
      <c r="O126" s="1">
        <v>100460.13</v>
      </c>
      <c r="P126" s="1">
        <v>4</v>
      </c>
      <c r="Q126" s="1" t="s">
        <v>72</v>
      </c>
    </row>
    <row r="127" spans="1:17">
      <c r="A127" s="1" t="s">
        <v>418</v>
      </c>
      <c r="B127" s="1" t="s">
        <v>419</v>
      </c>
      <c r="C127" s="1">
        <v>72</v>
      </c>
      <c r="D127" s="1" t="s">
        <v>27</v>
      </c>
      <c r="E127" s="1" t="s">
        <v>137</v>
      </c>
      <c r="F127" s="1" t="s">
        <v>21</v>
      </c>
      <c r="G127" s="1" t="s">
        <v>34</v>
      </c>
      <c r="H127" s="1" t="s">
        <v>88</v>
      </c>
      <c r="I127" s="1" t="s">
        <v>62</v>
      </c>
      <c r="J127" s="7" t="s">
        <v>420</v>
      </c>
      <c r="K127" s="2">
        <v>45389</v>
      </c>
      <c r="L127" s="1">
        <v>6</v>
      </c>
      <c r="M127" s="1" t="s">
        <v>97</v>
      </c>
      <c r="N127" s="1" t="s">
        <v>85</v>
      </c>
      <c r="O127" s="1">
        <v>145664.21</v>
      </c>
      <c r="P127" s="1">
        <v>5</v>
      </c>
      <c r="Q127" s="1" t="s">
        <v>58</v>
      </c>
    </row>
    <row r="128" spans="1:17">
      <c r="A128" s="1" t="s">
        <v>421</v>
      </c>
      <c r="B128" s="1" t="s">
        <v>172</v>
      </c>
      <c r="C128" s="1">
        <v>31</v>
      </c>
      <c r="D128" s="1" t="s">
        <v>19</v>
      </c>
      <c r="E128" s="1" t="s">
        <v>117</v>
      </c>
      <c r="F128" s="1" t="s">
        <v>21</v>
      </c>
      <c r="G128" s="1" t="s">
        <v>34</v>
      </c>
      <c r="H128" s="1" t="s">
        <v>23</v>
      </c>
      <c r="I128" s="1" t="s">
        <v>62</v>
      </c>
      <c r="J128" s="7">
        <v>45362</v>
      </c>
      <c r="K128" s="2">
        <v>45393</v>
      </c>
      <c r="L128" s="1">
        <v>1</v>
      </c>
      <c r="M128" s="1" t="s">
        <v>48</v>
      </c>
      <c r="N128" s="1" t="s">
        <v>57</v>
      </c>
      <c r="O128" s="1">
        <v>66341.570000000007</v>
      </c>
      <c r="P128" s="1">
        <v>4</v>
      </c>
      <c r="Q128" s="1" t="s">
        <v>40</v>
      </c>
    </row>
    <row r="129" spans="1:17">
      <c r="A129" s="1" t="s">
        <v>422</v>
      </c>
      <c r="B129" s="1" t="s">
        <v>423</v>
      </c>
      <c r="C129" s="1">
        <v>12</v>
      </c>
      <c r="D129" s="1" t="s">
        <v>27</v>
      </c>
      <c r="E129" s="1" t="s">
        <v>159</v>
      </c>
      <c r="F129" s="1" t="s">
        <v>21</v>
      </c>
      <c r="G129" s="1" t="s">
        <v>34</v>
      </c>
      <c r="H129" s="1" t="s">
        <v>45</v>
      </c>
      <c r="I129" s="1" t="s">
        <v>62</v>
      </c>
      <c r="J129" s="7" t="s">
        <v>336</v>
      </c>
      <c r="K129" s="1" t="s">
        <v>424</v>
      </c>
      <c r="L129" s="1">
        <v>2</v>
      </c>
      <c r="M129" s="1" t="s">
        <v>38</v>
      </c>
      <c r="N129" s="1" t="s">
        <v>28</v>
      </c>
      <c r="O129" s="1">
        <v>48525.77</v>
      </c>
      <c r="P129" s="1">
        <v>5</v>
      </c>
      <c r="Q129" s="1" t="s">
        <v>29</v>
      </c>
    </row>
    <row r="130" spans="1:17">
      <c r="A130" s="1" t="s">
        <v>425</v>
      </c>
      <c r="B130" s="1" t="s">
        <v>308</v>
      </c>
      <c r="C130" s="1">
        <v>25</v>
      </c>
      <c r="D130" s="1" t="s">
        <v>27</v>
      </c>
      <c r="E130" s="1" t="s">
        <v>159</v>
      </c>
      <c r="F130" s="1" t="s">
        <v>67</v>
      </c>
      <c r="G130" s="1" t="s">
        <v>132</v>
      </c>
      <c r="H130" s="1" t="s">
        <v>76</v>
      </c>
      <c r="I130" s="1" t="s">
        <v>24</v>
      </c>
      <c r="J130" s="7" t="s">
        <v>426</v>
      </c>
      <c r="K130" s="2">
        <v>45327</v>
      </c>
      <c r="L130" s="1">
        <v>2</v>
      </c>
      <c r="M130" s="1" t="s">
        <v>38</v>
      </c>
      <c r="N130" s="1" t="s">
        <v>82</v>
      </c>
      <c r="O130" s="1">
        <v>78804.23</v>
      </c>
      <c r="P130" s="1">
        <v>4</v>
      </c>
      <c r="Q130" s="1" t="s">
        <v>40</v>
      </c>
    </row>
    <row r="131" spans="1:17">
      <c r="A131" s="1" t="s">
        <v>427</v>
      </c>
      <c r="B131" s="1" t="s">
        <v>428</v>
      </c>
      <c r="C131" s="1">
        <v>47</v>
      </c>
      <c r="D131" s="1" t="s">
        <v>27</v>
      </c>
      <c r="E131" s="1" t="s">
        <v>44</v>
      </c>
      <c r="F131" s="1" t="s">
        <v>21</v>
      </c>
      <c r="G131" s="1" t="s">
        <v>104</v>
      </c>
      <c r="H131" s="1" t="s">
        <v>88</v>
      </c>
      <c r="I131" s="1" t="s">
        <v>24</v>
      </c>
      <c r="J131" s="7" t="s">
        <v>429</v>
      </c>
      <c r="K131" s="1" t="s">
        <v>370</v>
      </c>
      <c r="L131" s="1">
        <v>1</v>
      </c>
      <c r="M131" s="1" t="s">
        <v>56</v>
      </c>
      <c r="N131" s="1" t="s">
        <v>28</v>
      </c>
      <c r="O131" s="1">
        <v>78746.13</v>
      </c>
      <c r="P131" s="1">
        <v>4</v>
      </c>
      <c r="Q131" s="1" t="s">
        <v>40</v>
      </c>
    </row>
    <row r="132" spans="1:17">
      <c r="A132" s="1" t="s">
        <v>430</v>
      </c>
      <c r="B132" s="1" t="s">
        <v>131</v>
      </c>
      <c r="C132" s="1">
        <v>71</v>
      </c>
      <c r="D132" s="1" t="s">
        <v>27</v>
      </c>
      <c r="E132" s="1" t="s">
        <v>159</v>
      </c>
      <c r="F132" s="1" t="s">
        <v>52</v>
      </c>
      <c r="G132" s="1" t="s">
        <v>53</v>
      </c>
      <c r="H132" s="1" t="s">
        <v>61</v>
      </c>
      <c r="I132" s="1" t="s">
        <v>24</v>
      </c>
      <c r="J132" s="7" t="s">
        <v>278</v>
      </c>
      <c r="K132" s="1" t="s">
        <v>431</v>
      </c>
      <c r="L132" s="1">
        <v>3</v>
      </c>
      <c r="M132" s="1" t="s">
        <v>97</v>
      </c>
      <c r="N132" s="1" t="s">
        <v>57</v>
      </c>
      <c r="O132" s="1">
        <v>77471.240000000005</v>
      </c>
      <c r="P132" s="1">
        <v>4</v>
      </c>
      <c r="Q132" s="1" t="s">
        <v>29</v>
      </c>
    </row>
    <row r="133" spans="1:17">
      <c r="A133" s="1" t="s">
        <v>432</v>
      </c>
      <c r="B133" s="1" t="s">
        <v>253</v>
      </c>
      <c r="C133" s="1">
        <v>46</v>
      </c>
      <c r="D133" s="1" t="s">
        <v>19</v>
      </c>
      <c r="E133" s="1" t="s">
        <v>137</v>
      </c>
      <c r="F133" s="1" t="s">
        <v>21</v>
      </c>
      <c r="G133" s="1" t="s">
        <v>34</v>
      </c>
      <c r="H133" s="1" t="s">
        <v>23</v>
      </c>
      <c r="I133" s="1" t="s">
        <v>24</v>
      </c>
      <c r="J133" s="7" t="s">
        <v>433</v>
      </c>
      <c r="K133" s="1" t="s">
        <v>434</v>
      </c>
      <c r="L133" s="1">
        <v>4</v>
      </c>
      <c r="M133" s="1" t="s">
        <v>56</v>
      </c>
      <c r="N133" s="1" t="s">
        <v>28</v>
      </c>
      <c r="O133" s="1">
        <v>28388.84</v>
      </c>
      <c r="P133" s="1">
        <v>5</v>
      </c>
      <c r="Q133" s="1" t="s">
        <v>29</v>
      </c>
    </row>
    <row r="134" spans="1:17">
      <c r="A134" s="1" t="s">
        <v>435</v>
      </c>
      <c r="B134" s="1" t="s">
        <v>428</v>
      </c>
      <c r="C134" s="1">
        <v>2</v>
      </c>
      <c r="D134" s="1" t="s">
        <v>19</v>
      </c>
      <c r="E134" s="1" t="s">
        <v>202</v>
      </c>
      <c r="F134" s="1" t="s">
        <v>67</v>
      </c>
      <c r="G134" s="1" t="s">
        <v>104</v>
      </c>
      <c r="H134" s="1" t="s">
        <v>93</v>
      </c>
      <c r="I134" s="1" t="s">
        <v>24</v>
      </c>
      <c r="J134" s="7">
        <v>45663</v>
      </c>
      <c r="K134" s="2">
        <v>45753</v>
      </c>
      <c r="L134" s="1">
        <v>3</v>
      </c>
      <c r="M134" s="1" t="s">
        <v>38</v>
      </c>
      <c r="N134" s="1" t="s">
        <v>90</v>
      </c>
      <c r="O134" s="1">
        <v>13148.42</v>
      </c>
      <c r="P134" s="1">
        <v>4</v>
      </c>
      <c r="Q134" s="1" t="s">
        <v>40</v>
      </c>
    </row>
    <row r="135" spans="1:17">
      <c r="A135" s="1" t="s">
        <v>436</v>
      </c>
      <c r="B135" s="1" t="s">
        <v>437</v>
      </c>
      <c r="C135" s="1">
        <v>3</v>
      </c>
      <c r="D135" s="1" t="s">
        <v>27</v>
      </c>
      <c r="E135" s="1" t="s">
        <v>247</v>
      </c>
      <c r="F135" s="1" t="s">
        <v>120</v>
      </c>
      <c r="G135" s="1" t="s">
        <v>110</v>
      </c>
      <c r="H135" s="1" t="s">
        <v>45</v>
      </c>
      <c r="I135" s="1" t="s">
        <v>62</v>
      </c>
      <c r="J135" s="7" t="s">
        <v>438</v>
      </c>
      <c r="K135" s="1" t="s">
        <v>145</v>
      </c>
      <c r="L135" s="1">
        <v>3</v>
      </c>
      <c r="M135" s="1" t="s">
        <v>48</v>
      </c>
      <c r="N135" s="1" t="s">
        <v>82</v>
      </c>
      <c r="O135" s="1">
        <v>132113.17000000001</v>
      </c>
      <c r="P135" s="1">
        <v>3</v>
      </c>
      <c r="Q135" s="1" t="s">
        <v>58</v>
      </c>
    </row>
    <row r="136" spans="1:17">
      <c r="A136" s="1" t="s">
        <v>439</v>
      </c>
      <c r="B136" s="1" t="s">
        <v>103</v>
      </c>
      <c r="C136" s="1">
        <v>59</v>
      </c>
      <c r="D136" s="1" t="s">
        <v>27</v>
      </c>
      <c r="E136" s="1" t="s">
        <v>202</v>
      </c>
      <c r="F136" s="1" t="s">
        <v>52</v>
      </c>
      <c r="G136" s="1" t="s">
        <v>22</v>
      </c>
      <c r="H136" s="1" t="s">
        <v>99</v>
      </c>
      <c r="I136" s="1" t="s">
        <v>36</v>
      </c>
      <c r="J136" s="7">
        <v>45452</v>
      </c>
      <c r="K136" s="2">
        <v>45513</v>
      </c>
      <c r="L136" s="1">
        <v>2</v>
      </c>
      <c r="M136" s="1" t="s">
        <v>56</v>
      </c>
      <c r="N136" s="1" t="s">
        <v>28</v>
      </c>
      <c r="O136" s="1">
        <v>18825.54</v>
      </c>
      <c r="P136" s="1">
        <v>4</v>
      </c>
      <c r="Q136" s="1" t="s">
        <v>58</v>
      </c>
    </row>
    <row r="137" spans="1:17">
      <c r="A137" s="1" t="s">
        <v>440</v>
      </c>
      <c r="B137" s="1" t="s">
        <v>92</v>
      </c>
      <c r="C137" s="1">
        <v>56</v>
      </c>
      <c r="D137" s="1" t="s">
        <v>27</v>
      </c>
      <c r="E137" s="1" t="s">
        <v>117</v>
      </c>
      <c r="F137" s="1" t="s">
        <v>75</v>
      </c>
      <c r="G137" s="1" t="s">
        <v>132</v>
      </c>
      <c r="H137" s="1" t="s">
        <v>61</v>
      </c>
      <c r="I137" s="1" t="s">
        <v>36</v>
      </c>
      <c r="J137" s="7">
        <v>45424</v>
      </c>
      <c r="K137" s="1" t="s">
        <v>441</v>
      </c>
      <c r="L137" s="1">
        <v>14</v>
      </c>
      <c r="M137" s="1" t="s">
        <v>38</v>
      </c>
      <c r="N137" s="1" t="s">
        <v>90</v>
      </c>
      <c r="O137" s="1">
        <v>97241.16</v>
      </c>
      <c r="P137" s="1">
        <v>4</v>
      </c>
      <c r="Q137" s="1" t="s">
        <v>72</v>
      </c>
    </row>
    <row r="138" spans="1:17">
      <c r="A138" s="1" t="s">
        <v>442</v>
      </c>
      <c r="B138" s="1" t="s">
        <v>443</v>
      </c>
      <c r="C138" s="1">
        <v>23</v>
      </c>
      <c r="D138" s="1" t="s">
        <v>43</v>
      </c>
      <c r="E138" s="1" t="s">
        <v>51</v>
      </c>
      <c r="F138" s="1" t="s">
        <v>120</v>
      </c>
      <c r="G138" s="1" t="s">
        <v>36</v>
      </c>
      <c r="H138" s="1" t="s">
        <v>45</v>
      </c>
      <c r="I138" s="1" t="s">
        <v>62</v>
      </c>
      <c r="J138" s="7" t="s">
        <v>444</v>
      </c>
      <c r="K138" s="1" t="s">
        <v>445</v>
      </c>
      <c r="L138" s="1">
        <v>5</v>
      </c>
      <c r="M138" s="1" t="s">
        <v>56</v>
      </c>
      <c r="N138" s="1" t="s">
        <v>39</v>
      </c>
      <c r="O138" s="1">
        <v>33847.21</v>
      </c>
      <c r="P138" s="1">
        <v>4</v>
      </c>
      <c r="Q138" s="1" t="s">
        <v>72</v>
      </c>
    </row>
    <row r="139" spans="1:17">
      <c r="A139" s="1" t="s">
        <v>446</v>
      </c>
      <c r="B139" s="1" t="s">
        <v>229</v>
      </c>
      <c r="C139" s="1">
        <v>65</v>
      </c>
      <c r="D139" s="1" t="s">
        <v>27</v>
      </c>
      <c r="E139" s="1" t="s">
        <v>247</v>
      </c>
      <c r="F139" s="1" t="s">
        <v>75</v>
      </c>
      <c r="G139" s="1" t="s">
        <v>22</v>
      </c>
      <c r="H139" s="1" t="s">
        <v>88</v>
      </c>
      <c r="I139" s="1" t="s">
        <v>24</v>
      </c>
      <c r="J139" s="7" t="s">
        <v>447</v>
      </c>
      <c r="K139" s="1" t="s">
        <v>188</v>
      </c>
      <c r="L139" s="1">
        <v>1</v>
      </c>
      <c r="M139" s="1" t="s">
        <v>38</v>
      </c>
      <c r="N139" s="1" t="s">
        <v>39</v>
      </c>
      <c r="O139" s="1">
        <v>56177.32</v>
      </c>
      <c r="P139" s="1">
        <v>4</v>
      </c>
      <c r="Q139" s="1" t="s">
        <v>58</v>
      </c>
    </row>
    <row r="140" spans="1:17">
      <c r="A140" s="1" t="s">
        <v>448</v>
      </c>
      <c r="B140" s="1" t="s">
        <v>291</v>
      </c>
      <c r="C140" s="1">
        <v>63</v>
      </c>
      <c r="D140" s="1" t="s">
        <v>19</v>
      </c>
      <c r="E140" s="1" t="s">
        <v>117</v>
      </c>
      <c r="F140" s="1" t="s">
        <v>21</v>
      </c>
      <c r="G140" s="1" t="s">
        <v>22</v>
      </c>
      <c r="H140" s="1" t="s">
        <v>69</v>
      </c>
      <c r="I140" s="1" t="s">
        <v>62</v>
      </c>
      <c r="J140" s="7" t="s">
        <v>449</v>
      </c>
      <c r="K140" s="2">
        <v>45778</v>
      </c>
      <c r="L140" s="1">
        <v>6</v>
      </c>
      <c r="M140" s="1" t="s">
        <v>56</v>
      </c>
      <c r="N140" s="1" t="s">
        <v>63</v>
      </c>
      <c r="O140" s="1">
        <v>33562.699999999997</v>
      </c>
      <c r="P140" s="1">
        <v>3</v>
      </c>
      <c r="Q140" s="1" t="s">
        <v>58</v>
      </c>
    </row>
    <row r="141" spans="1:17">
      <c r="A141" s="1" t="s">
        <v>450</v>
      </c>
      <c r="B141" s="1" t="s">
        <v>226</v>
      </c>
      <c r="C141" s="1">
        <v>41</v>
      </c>
      <c r="D141" s="1" t="s">
        <v>43</v>
      </c>
      <c r="E141" s="1" t="s">
        <v>32</v>
      </c>
      <c r="F141" s="1" t="s">
        <v>75</v>
      </c>
      <c r="G141" s="1" t="s">
        <v>53</v>
      </c>
      <c r="H141" s="1" t="s">
        <v>105</v>
      </c>
      <c r="I141" s="1" t="s">
        <v>36</v>
      </c>
      <c r="J141" s="7" t="s">
        <v>451</v>
      </c>
      <c r="K141" s="1" t="s">
        <v>196</v>
      </c>
      <c r="L141" s="1">
        <v>1</v>
      </c>
      <c r="M141" s="1" t="s">
        <v>38</v>
      </c>
      <c r="N141" s="1" t="s">
        <v>90</v>
      </c>
      <c r="O141" s="1">
        <v>24884.62</v>
      </c>
      <c r="P141" s="1">
        <v>4</v>
      </c>
      <c r="Q141" s="1" t="s">
        <v>72</v>
      </c>
    </row>
    <row r="142" spans="1:17">
      <c r="A142" s="1" t="s">
        <v>452</v>
      </c>
      <c r="B142" s="1" t="s">
        <v>453</v>
      </c>
      <c r="C142" s="1">
        <v>77</v>
      </c>
      <c r="D142" s="1" t="s">
        <v>27</v>
      </c>
      <c r="E142" s="1" t="s">
        <v>137</v>
      </c>
      <c r="F142" s="1" t="s">
        <v>21</v>
      </c>
      <c r="G142" s="1" t="s">
        <v>22</v>
      </c>
      <c r="H142" s="1" t="s">
        <v>23</v>
      </c>
      <c r="I142" s="1" t="s">
        <v>36</v>
      </c>
      <c r="J142" s="7" t="s">
        <v>214</v>
      </c>
      <c r="K142" s="1" t="s">
        <v>454</v>
      </c>
      <c r="L142" s="1">
        <v>1</v>
      </c>
      <c r="M142" s="1" t="s">
        <v>38</v>
      </c>
      <c r="N142" s="1" t="s">
        <v>82</v>
      </c>
      <c r="O142" s="1">
        <v>78080.149999999994</v>
      </c>
      <c r="P142" s="1">
        <v>5</v>
      </c>
      <c r="Q142" s="1" t="s">
        <v>40</v>
      </c>
    </row>
    <row r="143" spans="1:17">
      <c r="A143" s="1" t="s">
        <v>455</v>
      </c>
      <c r="B143" s="1" t="s">
        <v>315</v>
      </c>
      <c r="C143" s="1">
        <v>64</v>
      </c>
      <c r="D143" s="1" t="s">
        <v>19</v>
      </c>
      <c r="E143" s="1" t="s">
        <v>159</v>
      </c>
      <c r="F143" s="1" t="s">
        <v>75</v>
      </c>
      <c r="G143" s="1" t="s">
        <v>104</v>
      </c>
      <c r="H143" s="1" t="s">
        <v>45</v>
      </c>
      <c r="I143" s="1" t="s">
        <v>36</v>
      </c>
      <c r="J143" s="7">
        <v>45415</v>
      </c>
      <c r="K143" s="2">
        <v>45507</v>
      </c>
      <c r="L143" s="1">
        <v>3</v>
      </c>
      <c r="M143" s="1" t="s">
        <v>38</v>
      </c>
      <c r="N143" s="1" t="s">
        <v>28</v>
      </c>
      <c r="O143" s="1">
        <v>38362.120000000003</v>
      </c>
      <c r="P143" s="1">
        <v>5</v>
      </c>
      <c r="Q143" s="1" t="s">
        <v>58</v>
      </c>
    </row>
    <row r="144" spans="1:17">
      <c r="A144" s="1" t="s">
        <v>456</v>
      </c>
      <c r="B144" s="1" t="s">
        <v>123</v>
      </c>
      <c r="C144" s="1">
        <v>43</v>
      </c>
      <c r="D144" s="1" t="s">
        <v>27</v>
      </c>
      <c r="E144" s="1" t="s">
        <v>137</v>
      </c>
      <c r="F144" s="1" t="s">
        <v>120</v>
      </c>
      <c r="G144" s="1" t="s">
        <v>110</v>
      </c>
      <c r="H144" s="1" t="s">
        <v>105</v>
      </c>
      <c r="I144" s="1" t="s">
        <v>62</v>
      </c>
      <c r="J144" s="7" t="s">
        <v>457</v>
      </c>
      <c r="K144" s="1" t="s">
        <v>458</v>
      </c>
      <c r="L144" s="1">
        <v>3</v>
      </c>
      <c r="M144" s="1" t="s">
        <v>97</v>
      </c>
      <c r="N144" s="1" t="s">
        <v>90</v>
      </c>
      <c r="O144" s="1">
        <v>72677.87</v>
      </c>
      <c r="P144" s="1">
        <v>3</v>
      </c>
      <c r="Q144" s="1" t="s">
        <v>29</v>
      </c>
    </row>
    <row r="145" spans="1:17">
      <c r="A145" s="1" t="s">
        <v>459</v>
      </c>
      <c r="B145" s="1" t="s">
        <v>143</v>
      </c>
      <c r="C145" s="1">
        <v>42</v>
      </c>
      <c r="D145" s="1" t="s">
        <v>43</v>
      </c>
      <c r="E145" s="1" t="s">
        <v>159</v>
      </c>
      <c r="F145" s="1" t="s">
        <v>52</v>
      </c>
      <c r="G145" s="1" t="s">
        <v>132</v>
      </c>
      <c r="H145" s="1" t="s">
        <v>69</v>
      </c>
      <c r="I145" s="1" t="s">
        <v>36</v>
      </c>
      <c r="J145" s="7" t="s">
        <v>460</v>
      </c>
      <c r="K145" s="1" t="s">
        <v>358</v>
      </c>
      <c r="L145" s="1">
        <v>3</v>
      </c>
      <c r="M145" s="1" t="s">
        <v>97</v>
      </c>
      <c r="N145" s="1" t="s">
        <v>39</v>
      </c>
      <c r="O145" s="1">
        <v>84800.34</v>
      </c>
      <c r="P145" s="1">
        <v>3</v>
      </c>
      <c r="Q145" s="1" t="s">
        <v>40</v>
      </c>
    </row>
    <row r="146" spans="1:17">
      <c r="A146" s="1" t="s">
        <v>461</v>
      </c>
      <c r="B146" s="1" t="s">
        <v>321</v>
      </c>
      <c r="C146" s="1">
        <v>89</v>
      </c>
      <c r="D146" s="1" t="s">
        <v>19</v>
      </c>
      <c r="E146" s="1" t="s">
        <v>159</v>
      </c>
      <c r="F146" s="1" t="s">
        <v>67</v>
      </c>
      <c r="G146" s="1" t="s">
        <v>132</v>
      </c>
      <c r="H146" s="1" t="s">
        <v>105</v>
      </c>
      <c r="I146" s="1" t="s">
        <v>62</v>
      </c>
      <c r="J146" s="7" t="s">
        <v>462</v>
      </c>
      <c r="K146" s="1" t="s">
        <v>463</v>
      </c>
      <c r="L146" s="1">
        <v>4</v>
      </c>
      <c r="M146" s="1" t="s">
        <v>27</v>
      </c>
      <c r="N146" s="1" t="s">
        <v>57</v>
      </c>
      <c r="O146" s="1">
        <v>60082.400000000001</v>
      </c>
      <c r="P146" s="1">
        <v>5</v>
      </c>
      <c r="Q146" s="1" t="s">
        <v>58</v>
      </c>
    </row>
    <row r="147" spans="1:17">
      <c r="A147" s="1" t="s">
        <v>464</v>
      </c>
      <c r="B147" s="1" t="s">
        <v>443</v>
      </c>
      <c r="C147" s="1">
        <v>70</v>
      </c>
      <c r="D147" s="1" t="s">
        <v>19</v>
      </c>
      <c r="E147" s="1" t="s">
        <v>247</v>
      </c>
      <c r="F147" s="1" t="s">
        <v>33</v>
      </c>
      <c r="G147" s="1" t="s">
        <v>132</v>
      </c>
      <c r="H147" s="1" t="s">
        <v>88</v>
      </c>
      <c r="I147" s="1" t="s">
        <v>36</v>
      </c>
      <c r="J147" s="7">
        <v>45717</v>
      </c>
      <c r="K147" s="2">
        <v>45870</v>
      </c>
      <c r="L147" s="1">
        <v>5</v>
      </c>
      <c r="M147" s="1" t="s">
        <v>48</v>
      </c>
      <c r="N147" s="1" t="s">
        <v>28</v>
      </c>
      <c r="O147" s="1">
        <v>24142.71</v>
      </c>
      <c r="P147" s="1">
        <v>4</v>
      </c>
      <c r="Q147" s="1" t="s">
        <v>40</v>
      </c>
    </row>
    <row r="148" spans="1:17">
      <c r="A148" s="1" t="s">
        <v>465</v>
      </c>
      <c r="B148" s="1" t="s">
        <v>453</v>
      </c>
      <c r="C148" s="1">
        <v>29</v>
      </c>
      <c r="D148" s="1" t="s">
        <v>27</v>
      </c>
      <c r="E148" s="1" t="s">
        <v>247</v>
      </c>
      <c r="F148" s="1" t="s">
        <v>75</v>
      </c>
      <c r="G148" s="1" t="s">
        <v>104</v>
      </c>
      <c r="H148" s="1" t="s">
        <v>88</v>
      </c>
      <c r="I148" s="1" t="s">
        <v>62</v>
      </c>
      <c r="J148" s="7" t="s">
        <v>466</v>
      </c>
      <c r="K148" s="1" t="s">
        <v>467</v>
      </c>
      <c r="L148" s="1">
        <v>5</v>
      </c>
      <c r="M148" s="1" t="s">
        <v>48</v>
      </c>
      <c r="N148" s="1" t="s">
        <v>82</v>
      </c>
      <c r="O148" s="1">
        <v>40552.79</v>
      </c>
      <c r="P148" s="1">
        <v>5</v>
      </c>
      <c r="Q148" s="1" t="s">
        <v>58</v>
      </c>
    </row>
    <row r="149" spans="1:17">
      <c r="A149" s="1" t="s">
        <v>468</v>
      </c>
      <c r="B149" s="1" t="s">
        <v>295</v>
      </c>
      <c r="C149" s="1">
        <v>11</v>
      </c>
      <c r="D149" s="1" t="s">
        <v>19</v>
      </c>
      <c r="E149" s="1" t="s">
        <v>247</v>
      </c>
      <c r="F149" s="1" t="s">
        <v>75</v>
      </c>
      <c r="G149" s="1" t="s">
        <v>132</v>
      </c>
      <c r="H149" s="1" t="s">
        <v>23</v>
      </c>
      <c r="I149" s="1" t="s">
        <v>62</v>
      </c>
      <c r="J149" s="7" t="s">
        <v>469</v>
      </c>
      <c r="K149" s="1" t="s">
        <v>434</v>
      </c>
      <c r="L149" s="1">
        <v>2</v>
      </c>
      <c r="M149" s="1" t="s">
        <v>48</v>
      </c>
      <c r="N149" s="1" t="s">
        <v>39</v>
      </c>
      <c r="O149" s="1">
        <v>47253.599999999999</v>
      </c>
      <c r="P149" s="1">
        <v>4</v>
      </c>
      <c r="Q149" s="1" t="s">
        <v>72</v>
      </c>
    </row>
    <row r="150" spans="1:17">
      <c r="A150" s="1" t="s">
        <v>470</v>
      </c>
      <c r="B150" s="1" t="s">
        <v>226</v>
      </c>
      <c r="C150" s="1">
        <v>3</v>
      </c>
      <c r="D150" s="1" t="s">
        <v>43</v>
      </c>
      <c r="E150" s="1" t="s">
        <v>159</v>
      </c>
      <c r="F150" s="1" t="s">
        <v>21</v>
      </c>
      <c r="G150" s="1" t="s">
        <v>132</v>
      </c>
      <c r="H150" s="1" t="s">
        <v>23</v>
      </c>
      <c r="I150" s="1" t="s">
        <v>62</v>
      </c>
      <c r="J150" s="7" t="s">
        <v>471</v>
      </c>
      <c r="K150" s="1" t="s">
        <v>373</v>
      </c>
      <c r="L150" s="1">
        <v>6</v>
      </c>
      <c r="M150" s="1" t="s">
        <v>56</v>
      </c>
      <c r="N150" s="1" t="s">
        <v>85</v>
      </c>
      <c r="O150" s="1">
        <v>24735.09</v>
      </c>
      <c r="P150" s="1">
        <v>3</v>
      </c>
      <c r="Q150" s="1" t="s">
        <v>58</v>
      </c>
    </row>
    <row r="151" spans="1:17">
      <c r="A151" s="1" t="s">
        <v>472</v>
      </c>
      <c r="B151" s="1" t="s">
        <v>291</v>
      </c>
      <c r="C151" s="1">
        <v>51</v>
      </c>
      <c r="D151" s="1" t="s">
        <v>19</v>
      </c>
      <c r="E151" s="1" t="s">
        <v>51</v>
      </c>
      <c r="F151" s="1" t="s">
        <v>21</v>
      </c>
      <c r="G151" s="1" t="s">
        <v>34</v>
      </c>
      <c r="H151" s="1" t="s">
        <v>61</v>
      </c>
      <c r="I151" s="1" t="s">
        <v>62</v>
      </c>
      <c r="J151" s="7" t="s">
        <v>151</v>
      </c>
      <c r="K151" s="1" t="s">
        <v>473</v>
      </c>
      <c r="L151" s="1">
        <v>3</v>
      </c>
      <c r="M151" s="1" t="s">
        <v>38</v>
      </c>
      <c r="N151" s="1" t="s">
        <v>85</v>
      </c>
      <c r="O151" s="1">
        <v>50723.31</v>
      </c>
      <c r="P151" s="1">
        <v>5</v>
      </c>
      <c r="Q151" s="1" t="s">
        <v>58</v>
      </c>
    </row>
    <row r="152" spans="1:17">
      <c r="A152" s="1" t="s">
        <v>474</v>
      </c>
      <c r="B152" s="1" t="s">
        <v>475</v>
      </c>
      <c r="C152" s="1">
        <v>15</v>
      </c>
      <c r="D152" s="1" t="s">
        <v>43</v>
      </c>
      <c r="E152" s="1" t="s">
        <v>44</v>
      </c>
      <c r="F152" s="1" t="s">
        <v>21</v>
      </c>
      <c r="G152" s="1" t="s">
        <v>36</v>
      </c>
      <c r="H152" s="1" t="s">
        <v>69</v>
      </c>
      <c r="I152" s="1" t="s">
        <v>24</v>
      </c>
      <c r="J152" s="7" t="s">
        <v>476</v>
      </c>
      <c r="K152" s="1" t="s">
        <v>250</v>
      </c>
      <c r="L152" s="1">
        <v>4</v>
      </c>
      <c r="M152" s="1" t="s">
        <v>38</v>
      </c>
      <c r="N152" s="1" t="s">
        <v>90</v>
      </c>
      <c r="O152" s="1">
        <v>40655.71</v>
      </c>
      <c r="P152" s="1">
        <v>2</v>
      </c>
      <c r="Q152" s="1" t="s">
        <v>72</v>
      </c>
    </row>
    <row r="153" spans="1:17">
      <c r="A153" s="1" t="s">
        <v>477</v>
      </c>
      <c r="B153" s="1" t="s">
        <v>412</v>
      </c>
      <c r="C153" s="1">
        <v>87</v>
      </c>
      <c r="D153" s="1" t="s">
        <v>19</v>
      </c>
      <c r="E153" s="1" t="s">
        <v>66</v>
      </c>
      <c r="F153" s="1" t="s">
        <v>33</v>
      </c>
      <c r="G153" s="1" t="s">
        <v>53</v>
      </c>
      <c r="H153" s="1" t="s">
        <v>35</v>
      </c>
      <c r="I153" s="1" t="s">
        <v>24</v>
      </c>
      <c r="J153" s="7" t="s">
        <v>478</v>
      </c>
      <c r="K153" s="1" t="s">
        <v>479</v>
      </c>
      <c r="L153" s="1">
        <v>2</v>
      </c>
      <c r="M153" s="1" t="s">
        <v>27</v>
      </c>
      <c r="N153" s="1" t="s">
        <v>63</v>
      </c>
      <c r="O153" s="1">
        <v>77701.84</v>
      </c>
      <c r="P153" s="1">
        <v>3</v>
      </c>
      <c r="Q153" s="1" t="s">
        <v>29</v>
      </c>
    </row>
    <row r="154" spans="1:17">
      <c r="A154" s="1" t="s">
        <v>480</v>
      </c>
      <c r="B154" s="1" t="s">
        <v>361</v>
      </c>
      <c r="C154" s="1">
        <v>72</v>
      </c>
      <c r="D154" s="1" t="s">
        <v>19</v>
      </c>
      <c r="E154" s="1" t="s">
        <v>66</v>
      </c>
      <c r="F154" s="1" t="s">
        <v>21</v>
      </c>
      <c r="G154" s="1" t="s">
        <v>104</v>
      </c>
      <c r="H154" s="1" t="s">
        <v>69</v>
      </c>
      <c r="I154" s="1" t="s">
        <v>62</v>
      </c>
      <c r="J154" s="7" t="s">
        <v>481</v>
      </c>
      <c r="K154" s="1" t="s">
        <v>482</v>
      </c>
      <c r="L154" s="1">
        <v>1</v>
      </c>
      <c r="M154" s="1" t="s">
        <v>27</v>
      </c>
      <c r="N154" s="1" t="s">
        <v>90</v>
      </c>
      <c r="O154" s="1">
        <v>15913.62</v>
      </c>
      <c r="P154" s="1">
        <v>4</v>
      </c>
      <c r="Q154" s="1" t="s">
        <v>58</v>
      </c>
    </row>
    <row r="155" spans="1:17">
      <c r="A155" s="1" t="s">
        <v>483</v>
      </c>
      <c r="B155" s="1" t="s">
        <v>242</v>
      </c>
      <c r="C155" s="1">
        <v>53</v>
      </c>
      <c r="D155" s="1" t="s">
        <v>27</v>
      </c>
      <c r="E155" s="1" t="s">
        <v>20</v>
      </c>
      <c r="F155" s="1" t="s">
        <v>67</v>
      </c>
      <c r="G155" s="1" t="s">
        <v>110</v>
      </c>
      <c r="H155" s="1" t="s">
        <v>45</v>
      </c>
      <c r="I155" s="1" t="s">
        <v>62</v>
      </c>
      <c r="J155" s="7" t="s">
        <v>484</v>
      </c>
      <c r="K155" s="1" t="s">
        <v>370</v>
      </c>
      <c r="L155" s="1">
        <v>7</v>
      </c>
      <c r="M155" s="1" t="s">
        <v>56</v>
      </c>
      <c r="N155" s="1" t="s">
        <v>39</v>
      </c>
      <c r="O155" s="1">
        <v>102088.66</v>
      </c>
      <c r="P155" s="1">
        <v>3</v>
      </c>
      <c r="Q155" s="1" t="s">
        <v>58</v>
      </c>
    </row>
    <row r="156" spans="1:17">
      <c r="A156" s="1" t="s">
        <v>485</v>
      </c>
      <c r="B156" s="1" t="s">
        <v>486</v>
      </c>
      <c r="C156" s="1">
        <v>73</v>
      </c>
      <c r="D156" s="1" t="s">
        <v>27</v>
      </c>
      <c r="E156" s="1" t="s">
        <v>51</v>
      </c>
      <c r="F156" s="1" t="s">
        <v>21</v>
      </c>
      <c r="G156" s="1" t="s">
        <v>68</v>
      </c>
      <c r="H156" s="1" t="s">
        <v>23</v>
      </c>
      <c r="I156" s="1" t="s">
        <v>62</v>
      </c>
      <c r="J156" s="7" t="s">
        <v>487</v>
      </c>
      <c r="K156" s="1" t="s">
        <v>488</v>
      </c>
      <c r="L156" s="1">
        <v>4</v>
      </c>
      <c r="M156" s="1" t="s">
        <v>48</v>
      </c>
      <c r="N156" s="1" t="s">
        <v>63</v>
      </c>
      <c r="O156" s="1">
        <v>72099.64</v>
      </c>
      <c r="P156" s="1">
        <v>4</v>
      </c>
      <c r="Q156" s="1" t="s">
        <v>29</v>
      </c>
    </row>
    <row r="157" spans="1:17">
      <c r="A157" s="1" t="s">
        <v>489</v>
      </c>
      <c r="B157" s="1" t="s">
        <v>490</v>
      </c>
      <c r="C157" s="1">
        <v>39</v>
      </c>
      <c r="D157" s="1" t="s">
        <v>19</v>
      </c>
      <c r="E157" s="1" t="s">
        <v>44</v>
      </c>
      <c r="F157" s="1" t="s">
        <v>52</v>
      </c>
      <c r="G157" s="1" t="s">
        <v>104</v>
      </c>
      <c r="H157" s="1" t="s">
        <v>45</v>
      </c>
      <c r="I157" s="1" t="s">
        <v>62</v>
      </c>
      <c r="J157" s="7">
        <v>45781</v>
      </c>
      <c r="K157" s="2">
        <v>45873</v>
      </c>
      <c r="L157" s="1">
        <v>3</v>
      </c>
      <c r="M157" s="1" t="s">
        <v>56</v>
      </c>
      <c r="N157" s="1" t="s">
        <v>90</v>
      </c>
      <c r="O157" s="1">
        <v>68621.11</v>
      </c>
      <c r="P157" s="1">
        <v>3</v>
      </c>
      <c r="Q157" s="1" t="s">
        <v>29</v>
      </c>
    </row>
    <row r="158" spans="1:17">
      <c r="A158" s="1" t="s">
        <v>491</v>
      </c>
      <c r="B158" s="1" t="s">
        <v>492</v>
      </c>
      <c r="C158" s="1">
        <v>27</v>
      </c>
      <c r="D158" s="1" t="s">
        <v>19</v>
      </c>
      <c r="E158" s="1" t="s">
        <v>66</v>
      </c>
      <c r="F158" s="1" t="s">
        <v>33</v>
      </c>
      <c r="G158" s="1" t="s">
        <v>110</v>
      </c>
      <c r="H158" s="1" t="s">
        <v>88</v>
      </c>
      <c r="I158" s="1" t="s">
        <v>36</v>
      </c>
      <c r="J158" s="7">
        <v>45294</v>
      </c>
      <c r="K158" s="2">
        <v>45385</v>
      </c>
      <c r="L158" s="1">
        <v>3</v>
      </c>
      <c r="M158" s="1" t="s">
        <v>38</v>
      </c>
      <c r="N158" s="1" t="s">
        <v>39</v>
      </c>
      <c r="O158" s="1">
        <v>122143.22</v>
      </c>
      <c r="P158" s="1">
        <v>4</v>
      </c>
      <c r="Q158" s="1" t="s">
        <v>29</v>
      </c>
    </row>
    <row r="159" spans="1:17">
      <c r="A159" s="1" t="s">
        <v>493</v>
      </c>
      <c r="B159" s="1" t="s">
        <v>494</v>
      </c>
      <c r="C159" s="1">
        <v>90</v>
      </c>
      <c r="D159" s="1" t="s">
        <v>19</v>
      </c>
      <c r="E159" s="1" t="s">
        <v>159</v>
      </c>
      <c r="F159" s="1" t="s">
        <v>75</v>
      </c>
      <c r="G159" s="1" t="s">
        <v>36</v>
      </c>
      <c r="H159" s="1" t="s">
        <v>93</v>
      </c>
      <c r="I159" s="1" t="s">
        <v>24</v>
      </c>
      <c r="J159" s="7">
        <v>45635</v>
      </c>
      <c r="K159" s="1" t="s">
        <v>495</v>
      </c>
      <c r="L159" s="1">
        <v>7</v>
      </c>
      <c r="M159" s="1" t="s">
        <v>48</v>
      </c>
      <c r="N159" s="1" t="s">
        <v>57</v>
      </c>
      <c r="O159" s="1">
        <v>22378.53</v>
      </c>
      <c r="P159" s="1">
        <v>4</v>
      </c>
      <c r="Q159" s="1" t="s">
        <v>40</v>
      </c>
    </row>
    <row r="160" spans="1:17">
      <c r="A160" s="1" t="s">
        <v>496</v>
      </c>
      <c r="B160" s="1" t="s">
        <v>172</v>
      </c>
      <c r="C160" s="1">
        <v>89</v>
      </c>
      <c r="D160" s="1" t="s">
        <v>43</v>
      </c>
      <c r="E160" s="1" t="s">
        <v>137</v>
      </c>
      <c r="F160" s="1" t="s">
        <v>21</v>
      </c>
      <c r="G160" s="1" t="s">
        <v>104</v>
      </c>
      <c r="H160" s="1" t="s">
        <v>88</v>
      </c>
      <c r="I160" s="1" t="s">
        <v>62</v>
      </c>
      <c r="J160" s="7">
        <v>45934</v>
      </c>
      <c r="K160" s="1" t="s">
        <v>100</v>
      </c>
      <c r="L160" s="1">
        <v>8</v>
      </c>
      <c r="M160" s="1" t="s">
        <v>38</v>
      </c>
      <c r="N160" s="1" t="s">
        <v>82</v>
      </c>
      <c r="O160" s="1">
        <v>92572.19</v>
      </c>
      <c r="P160" s="1">
        <v>5</v>
      </c>
      <c r="Q160" s="1" t="s">
        <v>40</v>
      </c>
    </row>
    <row r="161" spans="1:17">
      <c r="A161" s="1" t="s">
        <v>497</v>
      </c>
      <c r="B161" s="1" t="s">
        <v>18</v>
      </c>
      <c r="C161" s="1">
        <v>44</v>
      </c>
      <c r="D161" s="1" t="s">
        <v>27</v>
      </c>
      <c r="E161" s="1" t="s">
        <v>66</v>
      </c>
      <c r="F161" s="1" t="s">
        <v>33</v>
      </c>
      <c r="G161" s="1" t="s">
        <v>53</v>
      </c>
      <c r="H161" s="1" t="s">
        <v>99</v>
      </c>
      <c r="I161" s="1" t="s">
        <v>62</v>
      </c>
      <c r="J161" s="7" t="s">
        <v>277</v>
      </c>
      <c r="K161" s="1" t="s">
        <v>431</v>
      </c>
      <c r="L161" s="1">
        <v>5</v>
      </c>
      <c r="M161" s="1" t="s">
        <v>48</v>
      </c>
      <c r="N161" s="1" t="s">
        <v>57</v>
      </c>
      <c r="O161" s="1">
        <v>27077.43</v>
      </c>
      <c r="P161" s="1">
        <v>5</v>
      </c>
      <c r="Q161" s="1" t="s">
        <v>29</v>
      </c>
    </row>
    <row r="162" spans="1:17">
      <c r="A162" s="1" t="s">
        <v>498</v>
      </c>
      <c r="B162" s="1" t="s">
        <v>499</v>
      </c>
      <c r="C162" s="1">
        <v>89</v>
      </c>
      <c r="D162" s="1" t="s">
        <v>19</v>
      </c>
      <c r="E162" s="1" t="s">
        <v>202</v>
      </c>
      <c r="F162" s="1" t="s">
        <v>33</v>
      </c>
      <c r="G162" s="1" t="s">
        <v>68</v>
      </c>
      <c r="H162" s="1" t="s">
        <v>45</v>
      </c>
      <c r="I162" s="1" t="s">
        <v>24</v>
      </c>
      <c r="J162" s="7" t="s">
        <v>170</v>
      </c>
      <c r="K162" s="1" t="s">
        <v>500</v>
      </c>
      <c r="L162" s="1">
        <v>1</v>
      </c>
      <c r="M162" s="1" t="s">
        <v>38</v>
      </c>
      <c r="N162" s="1" t="s">
        <v>63</v>
      </c>
      <c r="O162" s="1">
        <v>59784.92</v>
      </c>
      <c r="P162" s="1">
        <v>3</v>
      </c>
      <c r="Q162" s="1" t="s">
        <v>29</v>
      </c>
    </row>
    <row r="163" spans="1:17">
      <c r="A163" s="1" t="s">
        <v>501</v>
      </c>
      <c r="B163" s="1" t="s">
        <v>502</v>
      </c>
      <c r="C163" s="1">
        <v>55</v>
      </c>
      <c r="D163" s="1" t="s">
        <v>27</v>
      </c>
      <c r="E163" s="1" t="s">
        <v>202</v>
      </c>
      <c r="F163" s="1" t="s">
        <v>52</v>
      </c>
      <c r="G163" s="1" t="s">
        <v>22</v>
      </c>
      <c r="H163" s="1" t="s">
        <v>35</v>
      </c>
      <c r="I163" s="1" t="s">
        <v>62</v>
      </c>
      <c r="J163" s="7">
        <v>45355</v>
      </c>
      <c r="K163" s="2">
        <v>45386</v>
      </c>
      <c r="L163" s="1">
        <v>1</v>
      </c>
      <c r="M163" s="1" t="s">
        <v>48</v>
      </c>
      <c r="N163" s="1" t="s">
        <v>39</v>
      </c>
      <c r="O163" s="1">
        <v>55338.6</v>
      </c>
      <c r="P163" s="1">
        <v>4</v>
      </c>
      <c r="Q163" s="1" t="s">
        <v>58</v>
      </c>
    </row>
    <row r="164" spans="1:17">
      <c r="A164" s="1" t="s">
        <v>503</v>
      </c>
      <c r="B164" s="1" t="s">
        <v>280</v>
      </c>
      <c r="C164" s="1">
        <v>89</v>
      </c>
      <c r="D164" s="1" t="s">
        <v>19</v>
      </c>
      <c r="E164" s="1" t="s">
        <v>66</v>
      </c>
      <c r="F164" s="1" t="s">
        <v>52</v>
      </c>
      <c r="G164" s="1" t="s">
        <v>22</v>
      </c>
      <c r="H164" s="1" t="s">
        <v>45</v>
      </c>
      <c r="I164" s="1" t="s">
        <v>24</v>
      </c>
      <c r="J164" s="7">
        <v>45752</v>
      </c>
      <c r="K164" s="2">
        <v>45813</v>
      </c>
      <c r="L164" s="1">
        <v>2</v>
      </c>
      <c r="M164" s="1" t="s">
        <v>56</v>
      </c>
      <c r="N164" s="1" t="s">
        <v>28</v>
      </c>
      <c r="O164" s="1">
        <v>34874.660000000003</v>
      </c>
      <c r="P164" s="1">
        <v>5</v>
      </c>
      <c r="Q164" s="1" t="s">
        <v>72</v>
      </c>
    </row>
    <row r="165" spans="1:17">
      <c r="A165" s="1" t="s">
        <v>504</v>
      </c>
      <c r="B165" s="1" t="s">
        <v>354</v>
      </c>
      <c r="C165" s="1">
        <v>79</v>
      </c>
      <c r="D165" s="1" t="s">
        <v>27</v>
      </c>
      <c r="E165" s="1" t="s">
        <v>32</v>
      </c>
      <c r="F165" s="1" t="s">
        <v>67</v>
      </c>
      <c r="G165" s="1" t="s">
        <v>110</v>
      </c>
      <c r="H165" s="1" t="s">
        <v>76</v>
      </c>
      <c r="I165" s="1" t="s">
        <v>24</v>
      </c>
      <c r="J165" s="7" t="s">
        <v>106</v>
      </c>
      <c r="K165" s="1" t="s">
        <v>505</v>
      </c>
      <c r="L165" s="1">
        <v>3</v>
      </c>
      <c r="M165" s="1" t="s">
        <v>97</v>
      </c>
      <c r="N165" s="1" t="s">
        <v>82</v>
      </c>
      <c r="O165" s="1">
        <v>91052.02</v>
      </c>
      <c r="P165" s="1">
        <v>3</v>
      </c>
      <c r="Q165" s="1" t="s">
        <v>58</v>
      </c>
    </row>
    <row r="166" spans="1:17">
      <c r="A166" s="1" t="s">
        <v>506</v>
      </c>
      <c r="B166" s="1" t="s">
        <v>507</v>
      </c>
      <c r="C166" s="1">
        <v>41</v>
      </c>
      <c r="D166" s="1" t="s">
        <v>19</v>
      </c>
      <c r="E166" s="1" t="s">
        <v>51</v>
      </c>
      <c r="F166" s="1" t="s">
        <v>67</v>
      </c>
      <c r="G166" s="1" t="s">
        <v>68</v>
      </c>
      <c r="H166" s="1" t="s">
        <v>99</v>
      </c>
      <c r="I166" s="1" t="s">
        <v>24</v>
      </c>
      <c r="J166" s="7">
        <v>45574</v>
      </c>
      <c r="K166" s="1" t="s">
        <v>508</v>
      </c>
      <c r="L166" s="1">
        <v>6</v>
      </c>
      <c r="M166" s="1" t="s">
        <v>56</v>
      </c>
      <c r="N166" s="1" t="s">
        <v>63</v>
      </c>
      <c r="O166" s="1">
        <v>73896.12</v>
      </c>
      <c r="P166" s="1">
        <v>4</v>
      </c>
      <c r="Q166" s="1" t="s">
        <v>58</v>
      </c>
    </row>
    <row r="167" spans="1:17">
      <c r="A167" s="1" t="s">
        <v>509</v>
      </c>
      <c r="B167" s="1" t="s">
        <v>510</v>
      </c>
      <c r="C167" s="1">
        <v>38</v>
      </c>
      <c r="D167" s="1" t="s">
        <v>27</v>
      </c>
      <c r="E167" s="1" t="s">
        <v>247</v>
      </c>
      <c r="F167" s="1" t="s">
        <v>21</v>
      </c>
      <c r="G167" s="1" t="s">
        <v>104</v>
      </c>
      <c r="H167" s="1" t="s">
        <v>69</v>
      </c>
      <c r="I167" s="1" t="s">
        <v>62</v>
      </c>
      <c r="J167" s="7" t="s">
        <v>112</v>
      </c>
      <c r="K167" s="1" t="s">
        <v>410</v>
      </c>
      <c r="L167" s="1">
        <v>4</v>
      </c>
      <c r="M167" s="1" t="s">
        <v>27</v>
      </c>
      <c r="N167" s="1" t="s">
        <v>57</v>
      </c>
      <c r="O167" s="1">
        <v>17183.88</v>
      </c>
      <c r="P167" s="1">
        <v>5</v>
      </c>
      <c r="Q167" s="1" t="s">
        <v>40</v>
      </c>
    </row>
    <row r="168" spans="1:17">
      <c r="A168" s="1" t="s">
        <v>511</v>
      </c>
      <c r="B168" s="1" t="s">
        <v>494</v>
      </c>
      <c r="C168" s="1">
        <v>70</v>
      </c>
      <c r="D168" s="1" t="s">
        <v>27</v>
      </c>
      <c r="E168" s="1" t="s">
        <v>137</v>
      </c>
      <c r="F168" s="1" t="s">
        <v>75</v>
      </c>
      <c r="G168" s="1" t="s">
        <v>34</v>
      </c>
      <c r="H168" s="1" t="s">
        <v>76</v>
      </c>
      <c r="I168" s="1" t="s">
        <v>24</v>
      </c>
      <c r="J168" s="7" t="s">
        <v>512</v>
      </c>
      <c r="K168" s="1" t="s">
        <v>513</v>
      </c>
      <c r="L168" s="1">
        <v>2</v>
      </c>
      <c r="M168" s="1" t="s">
        <v>27</v>
      </c>
      <c r="N168" s="1" t="s">
        <v>90</v>
      </c>
      <c r="O168" s="1">
        <v>86489.2</v>
      </c>
      <c r="P168" s="1">
        <v>4</v>
      </c>
      <c r="Q168" s="1" t="s">
        <v>29</v>
      </c>
    </row>
    <row r="169" spans="1:17">
      <c r="A169" s="1" t="s">
        <v>514</v>
      </c>
      <c r="B169" s="1" t="s">
        <v>515</v>
      </c>
      <c r="C169" s="1">
        <v>36</v>
      </c>
      <c r="D169" s="1" t="s">
        <v>19</v>
      </c>
      <c r="E169" s="1" t="s">
        <v>137</v>
      </c>
      <c r="F169" s="1" t="s">
        <v>52</v>
      </c>
      <c r="G169" s="1" t="s">
        <v>110</v>
      </c>
      <c r="H169" s="1" t="s">
        <v>23</v>
      </c>
      <c r="I169" s="1" t="s">
        <v>36</v>
      </c>
      <c r="J169" s="7" t="s">
        <v>516</v>
      </c>
      <c r="K169" s="1" t="s">
        <v>517</v>
      </c>
      <c r="L169" s="1">
        <v>4</v>
      </c>
      <c r="M169" s="1" t="s">
        <v>48</v>
      </c>
      <c r="N169" s="1" t="s">
        <v>85</v>
      </c>
      <c r="O169" s="1">
        <v>61946.18</v>
      </c>
      <c r="P169" s="1">
        <v>5</v>
      </c>
      <c r="Q169" s="1" t="s">
        <v>72</v>
      </c>
    </row>
    <row r="170" spans="1:17">
      <c r="A170" s="1" t="s">
        <v>518</v>
      </c>
      <c r="B170" s="1" t="s">
        <v>519</v>
      </c>
      <c r="C170" s="1">
        <v>56</v>
      </c>
      <c r="D170" s="1" t="s">
        <v>19</v>
      </c>
      <c r="E170" s="1" t="s">
        <v>51</v>
      </c>
      <c r="F170" s="1" t="s">
        <v>67</v>
      </c>
      <c r="G170" s="1" t="s">
        <v>110</v>
      </c>
      <c r="H170" s="1" t="s">
        <v>45</v>
      </c>
      <c r="I170" s="1" t="s">
        <v>24</v>
      </c>
      <c r="J170" s="7">
        <v>45904</v>
      </c>
      <c r="K170" s="1" t="s">
        <v>70</v>
      </c>
      <c r="L170" s="1">
        <v>5</v>
      </c>
      <c r="M170" s="1" t="s">
        <v>38</v>
      </c>
      <c r="N170" s="1" t="s">
        <v>85</v>
      </c>
      <c r="O170" s="1">
        <v>17105.509999999998</v>
      </c>
      <c r="P170" s="1">
        <v>1</v>
      </c>
      <c r="Q170" s="1" t="s">
        <v>40</v>
      </c>
    </row>
    <row r="171" spans="1:17">
      <c r="A171" s="1" t="s">
        <v>520</v>
      </c>
      <c r="B171" s="1" t="s">
        <v>521</v>
      </c>
      <c r="C171" s="1">
        <v>17</v>
      </c>
      <c r="D171" s="1" t="s">
        <v>27</v>
      </c>
      <c r="E171" s="1" t="s">
        <v>159</v>
      </c>
      <c r="F171" s="1" t="s">
        <v>33</v>
      </c>
      <c r="G171" s="1" t="s">
        <v>34</v>
      </c>
      <c r="H171" s="1" t="s">
        <v>88</v>
      </c>
      <c r="I171" s="1" t="s">
        <v>24</v>
      </c>
      <c r="J171" s="7">
        <v>45332</v>
      </c>
      <c r="K171" s="1" t="s">
        <v>522</v>
      </c>
      <c r="L171" s="1">
        <v>13</v>
      </c>
      <c r="M171" s="1" t="s">
        <v>38</v>
      </c>
      <c r="N171" s="1" t="s">
        <v>28</v>
      </c>
      <c r="O171" s="1">
        <v>128077.94</v>
      </c>
      <c r="P171" s="1">
        <v>2</v>
      </c>
      <c r="Q171" s="1" t="s">
        <v>58</v>
      </c>
    </row>
    <row r="172" spans="1:17">
      <c r="A172" s="1" t="s">
        <v>523</v>
      </c>
      <c r="B172" s="1" t="s">
        <v>524</v>
      </c>
      <c r="C172" s="1">
        <v>73</v>
      </c>
      <c r="D172" s="1" t="s">
        <v>19</v>
      </c>
      <c r="E172" s="1" t="s">
        <v>202</v>
      </c>
      <c r="F172" s="1" t="s">
        <v>33</v>
      </c>
      <c r="G172" s="1" t="s">
        <v>22</v>
      </c>
      <c r="H172" s="1" t="s">
        <v>61</v>
      </c>
      <c r="I172" s="1" t="s">
        <v>62</v>
      </c>
      <c r="J172" s="7">
        <v>45962</v>
      </c>
      <c r="K172" s="1" t="s">
        <v>525</v>
      </c>
      <c r="L172" s="1">
        <v>2</v>
      </c>
      <c r="M172" s="1" t="s">
        <v>97</v>
      </c>
      <c r="N172" s="1" t="s">
        <v>85</v>
      </c>
      <c r="O172" s="1">
        <v>66076.94</v>
      </c>
      <c r="P172" s="1">
        <v>1</v>
      </c>
      <c r="Q172" s="1" t="s">
        <v>29</v>
      </c>
    </row>
    <row r="173" spans="1:17">
      <c r="A173" s="1" t="s">
        <v>526</v>
      </c>
      <c r="B173" s="1" t="s">
        <v>527</v>
      </c>
      <c r="C173" s="1">
        <v>5</v>
      </c>
      <c r="D173" s="1" t="s">
        <v>27</v>
      </c>
      <c r="E173" s="1" t="s">
        <v>20</v>
      </c>
      <c r="F173" s="1" t="s">
        <v>67</v>
      </c>
      <c r="G173" s="1" t="s">
        <v>53</v>
      </c>
      <c r="H173" s="1" t="s">
        <v>105</v>
      </c>
      <c r="I173" s="1" t="s">
        <v>36</v>
      </c>
      <c r="J173" s="7">
        <v>45699</v>
      </c>
      <c r="K173" s="2">
        <v>45758</v>
      </c>
      <c r="L173" s="1">
        <v>2</v>
      </c>
      <c r="M173" s="1" t="s">
        <v>97</v>
      </c>
      <c r="N173" s="1" t="s">
        <v>28</v>
      </c>
      <c r="O173" s="1">
        <v>123946.04</v>
      </c>
      <c r="P173" s="1">
        <v>2</v>
      </c>
      <c r="Q173" s="1" t="s">
        <v>58</v>
      </c>
    </row>
    <row r="174" spans="1:17">
      <c r="A174" s="1" t="s">
        <v>528</v>
      </c>
      <c r="B174" s="1" t="s">
        <v>529</v>
      </c>
      <c r="C174" s="1">
        <v>37</v>
      </c>
      <c r="D174" s="1" t="s">
        <v>43</v>
      </c>
      <c r="E174" s="1" t="s">
        <v>159</v>
      </c>
      <c r="F174" s="1" t="s">
        <v>120</v>
      </c>
      <c r="G174" s="1" t="s">
        <v>132</v>
      </c>
      <c r="H174" s="1" t="s">
        <v>105</v>
      </c>
      <c r="I174" s="1" t="s">
        <v>24</v>
      </c>
      <c r="J174" s="7">
        <v>45303</v>
      </c>
      <c r="K174" s="2">
        <v>45424</v>
      </c>
      <c r="L174" s="1">
        <v>4</v>
      </c>
      <c r="M174" s="1" t="s">
        <v>97</v>
      </c>
      <c r="N174" s="1" t="s">
        <v>39</v>
      </c>
      <c r="O174" s="1">
        <v>53157.89</v>
      </c>
      <c r="P174" s="1">
        <v>3</v>
      </c>
      <c r="Q174" s="1" t="s">
        <v>29</v>
      </c>
    </row>
    <row r="175" spans="1:17">
      <c r="A175" s="1" t="s">
        <v>530</v>
      </c>
      <c r="B175" s="1" t="s">
        <v>403</v>
      </c>
      <c r="C175" s="1">
        <v>70</v>
      </c>
      <c r="D175" s="1" t="s">
        <v>19</v>
      </c>
      <c r="E175" s="1" t="s">
        <v>20</v>
      </c>
      <c r="F175" s="1" t="s">
        <v>67</v>
      </c>
      <c r="G175" s="1" t="s">
        <v>34</v>
      </c>
      <c r="H175" s="1" t="s">
        <v>88</v>
      </c>
      <c r="I175" s="1" t="s">
        <v>36</v>
      </c>
      <c r="J175" s="7">
        <v>45357</v>
      </c>
      <c r="K175" s="2">
        <v>45479</v>
      </c>
      <c r="L175" s="1">
        <v>4</v>
      </c>
      <c r="M175" s="1" t="s">
        <v>97</v>
      </c>
      <c r="N175" s="1" t="s">
        <v>57</v>
      </c>
      <c r="O175" s="1">
        <v>21690.09</v>
      </c>
      <c r="P175" s="1">
        <v>5</v>
      </c>
      <c r="Q175" s="1" t="s">
        <v>72</v>
      </c>
    </row>
    <row r="176" spans="1:17">
      <c r="A176" s="1" t="s">
        <v>531</v>
      </c>
      <c r="B176" s="1" t="s">
        <v>521</v>
      </c>
      <c r="C176" s="1">
        <v>19</v>
      </c>
      <c r="D176" s="1" t="s">
        <v>27</v>
      </c>
      <c r="E176" s="1" t="s">
        <v>51</v>
      </c>
      <c r="F176" s="1" t="s">
        <v>21</v>
      </c>
      <c r="G176" s="1" t="s">
        <v>36</v>
      </c>
      <c r="H176" s="1" t="s">
        <v>88</v>
      </c>
      <c r="I176" s="1" t="s">
        <v>24</v>
      </c>
      <c r="J176" s="7" t="s">
        <v>532</v>
      </c>
      <c r="K176" s="1" t="s">
        <v>460</v>
      </c>
      <c r="L176" s="1">
        <v>1</v>
      </c>
      <c r="M176" s="1" t="s">
        <v>97</v>
      </c>
      <c r="N176" s="1" t="s">
        <v>28</v>
      </c>
      <c r="O176" s="1">
        <v>45467.44</v>
      </c>
      <c r="P176" s="1">
        <v>5</v>
      </c>
      <c r="Q176" s="1" t="s">
        <v>72</v>
      </c>
    </row>
    <row r="177" spans="1:17">
      <c r="A177" s="1" t="s">
        <v>533</v>
      </c>
      <c r="B177" s="1" t="s">
        <v>60</v>
      </c>
      <c r="C177" s="1">
        <v>56</v>
      </c>
      <c r="D177" s="1" t="s">
        <v>27</v>
      </c>
      <c r="E177" s="1" t="s">
        <v>66</v>
      </c>
      <c r="F177" s="1" t="s">
        <v>67</v>
      </c>
      <c r="G177" s="1" t="s">
        <v>36</v>
      </c>
      <c r="H177" s="1" t="s">
        <v>88</v>
      </c>
      <c r="I177" s="1" t="s">
        <v>36</v>
      </c>
      <c r="J177" s="7" t="s">
        <v>534</v>
      </c>
      <c r="K177" s="1" t="s">
        <v>535</v>
      </c>
      <c r="L177" s="1">
        <v>2</v>
      </c>
      <c r="M177" s="1" t="s">
        <v>56</v>
      </c>
      <c r="N177" s="1" t="s">
        <v>28</v>
      </c>
      <c r="O177" s="1">
        <v>35218.21</v>
      </c>
      <c r="P177" s="1">
        <v>3</v>
      </c>
      <c r="Q177" s="1" t="s">
        <v>29</v>
      </c>
    </row>
    <row r="178" spans="1:17">
      <c r="A178" s="1" t="s">
        <v>536</v>
      </c>
      <c r="B178" s="1" t="s">
        <v>264</v>
      </c>
      <c r="C178" s="1">
        <v>58</v>
      </c>
      <c r="D178" s="1" t="s">
        <v>43</v>
      </c>
      <c r="E178" s="1" t="s">
        <v>66</v>
      </c>
      <c r="F178" s="1" t="s">
        <v>52</v>
      </c>
      <c r="G178" s="1" t="s">
        <v>132</v>
      </c>
      <c r="H178" s="1" t="s">
        <v>93</v>
      </c>
      <c r="I178" s="1" t="s">
        <v>62</v>
      </c>
      <c r="J178" s="7" t="s">
        <v>517</v>
      </c>
      <c r="K178" s="1" t="s">
        <v>479</v>
      </c>
      <c r="L178" s="1">
        <v>1</v>
      </c>
      <c r="M178" s="1" t="s">
        <v>27</v>
      </c>
      <c r="N178" s="1" t="s">
        <v>28</v>
      </c>
      <c r="O178" s="1">
        <v>34506.46</v>
      </c>
      <c r="P178" s="1">
        <v>3</v>
      </c>
      <c r="Q178" s="1" t="s">
        <v>29</v>
      </c>
    </row>
    <row r="179" spans="1:17">
      <c r="A179" s="1" t="s">
        <v>537</v>
      </c>
      <c r="B179" s="1" t="s">
        <v>538</v>
      </c>
      <c r="C179" s="1">
        <v>42</v>
      </c>
      <c r="D179" s="1" t="s">
        <v>19</v>
      </c>
      <c r="E179" s="1" t="s">
        <v>51</v>
      </c>
      <c r="F179" s="1" t="s">
        <v>52</v>
      </c>
      <c r="G179" s="1" t="s">
        <v>34</v>
      </c>
      <c r="H179" s="1" t="s">
        <v>105</v>
      </c>
      <c r="I179" s="1" t="s">
        <v>24</v>
      </c>
      <c r="J179" s="7">
        <v>45355</v>
      </c>
      <c r="K179" s="2">
        <v>45416</v>
      </c>
      <c r="L179" s="1">
        <v>2</v>
      </c>
      <c r="M179" s="1" t="s">
        <v>56</v>
      </c>
      <c r="N179" s="1" t="s">
        <v>28</v>
      </c>
      <c r="O179" s="1">
        <v>64823.51</v>
      </c>
      <c r="P179" s="1">
        <v>1</v>
      </c>
      <c r="Q179" s="1" t="s">
        <v>58</v>
      </c>
    </row>
    <row r="180" spans="1:17">
      <c r="A180" s="1" t="s">
        <v>539</v>
      </c>
      <c r="B180" s="1" t="s">
        <v>515</v>
      </c>
      <c r="C180" s="1">
        <v>14</v>
      </c>
      <c r="D180" s="1" t="s">
        <v>19</v>
      </c>
      <c r="E180" s="1" t="s">
        <v>32</v>
      </c>
      <c r="F180" s="1" t="s">
        <v>75</v>
      </c>
      <c r="G180" s="1" t="s">
        <v>132</v>
      </c>
      <c r="H180" s="1" t="s">
        <v>35</v>
      </c>
      <c r="I180" s="1" t="s">
        <v>36</v>
      </c>
      <c r="J180" s="7">
        <v>45387</v>
      </c>
      <c r="K180" s="2">
        <v>45417</v>
      </c>
      <c r="L180" s="1">
        <v>1</v>
      </c>
      <c r="M180" s="1" t="s">
        <v>56</v>
      </c>
      <c r="N180" s="1" t="s">
        <v>63</v>
      </c>
      <c r="O180" s="1">
        <v>26463.71</v>
      </c>
      <c r="P180" s="1">
        <v>4</v>
      </c>
      <c r="Q180" s="1" t="s">
        <v>58</v>
      </c>
    </row>
    <row r="181" spans="1:17">
      <c r="A181" s="1" t="s">
        <v>540</v>
      </c>
      <c r="B181" s="1" t="s">
        <v>412</v>
      </c>
      <c r="C181" s="1">
        <v>17</v>
      </c>
      <c r="D181" s="1" t="s">
        <v>19</v>
      </c>
      <c r="E181" s="1" t="s">
        <v>66</v>
      </c>
      <c r="F181" s="1" t="s">
        <v>120</v>
      </c>
      <c r="G181" s="1" t="s">
        <v>110</v>
      </c>
      <c r="H181" s="1" t="s">
        <v>69</v>
      </c>
      <c r="I181" s="1" t="s">
        <v>36</v>
      </c>
      <c r="J181" s="7">
        <v>45424</v>
      </c>
      <c r="K181" s="2">
        <v>45455</v>
      </c>
      <c r="L181" s="1">
        <v>1</v>
      </c>
      <c r="M181" s="1" t="s">
        <v>56</v>
      </c>
      <c r="N181" s="1" t="s">
        <v>82</v>
      </c>
      <c r="O181" s="1">
        <v>80784.479999999996</v>
      </c>
      <c r="P181" s="1">
        <v>4</v>
      </c>
      <c r="Q181" s="1" t="s">
        <v>40</v>
      </c>
    </row>
    <row r="182" spans="1:17">
      <c r="A182" s="1" t="s">
        <v>541</v>
      </c>
      <c r="B182" s="1" t="s">
        <v>542</v>
      </c>
      <c r="C182" s="1">
        <v>58</v>
      </c>
      <c r="D182" s="1" t="s">
        <v>19</v>
      </c>
      <c r="E182" s="1" t="s">
        <v>117</v>
      </c>
      <c r="F182" s="1" t="s">
        <v>33</v>
      </c>
      <c r="G182" s="1" t="s">
        <v>68</v>
      </c>
      <c r="H182" s="1" t="s">
        <v>93</v>
      </c>
      <c r="I182" s="1" t="s">
        <v>36</v>
      </c>
      <c r="J182" s="7">
        <v>45414</v>
      </c>
      <c r="K182" s="2">
        <v>45567</v>
      </c>
      <c r="L182" s="1">
        <v>5</v>
      </c>
      <c r="M182" s="1" t="s">
        <v>97</v>
      </c>
      <c r="N182" s="1" t="s">
        <v>85</v>
      </c>
      <c r="O182" s="1">
        <v>42075.43</v>
      </c>
      <c r="P182" s="1">
        <v>4</v>
      </c>
      <c r="Q182" s="1" t="s">
        <v>29</v>
      </c>
    </row>
    <row r="183" spans="1:17">
      <c r="A183" s="1" t="s">
        <v>543</v>
      </c>
      <c r="B183" s="1" t="s">
        <v>208</v>
      </c>
      <c r="C183" s="1">
        <v>81</v>
      </c>
      <c r="D183" s="1" t="s">
        <v>27</v>
      </c>
      <c r="E183" s="1" t="s">
        <v>66</v>
      </c>
      <c r="F183" s="1" t="s">
        <v>75</v>
      </c>
      <c r="G183" s="1" t="s">
        <v>104</v>
      </c>
      <c r="H183" s="1" t="s">
        <v>88</v>
      </c>
      <c r="I183" s="1" t="s">
        <v>62</v>
      </c>
      <c r="J183" s="7" t="s">
        <v>544</v>
      </c>
      <c r="K183" s="1" t="s">
        <v>26</v>
      </c>
      <c r="L183" s="1">
        <v>8</v>
      </c>
      <c r="M183" s="1" t="s">
        <v>27</v>
      </c>
      <c r="N183" s="1" t="s">
        <v>85</v>
      </c>
      <c r="O183" s="1">
        <v>98281.78</v>
      </c>
      <c r="P183" s="1">
        <v>4</v>
      </c>
      <c r="Q183" s="1" t="s">
        <v>72</v>
      </c>
    </row>
    <row r="184" spans="1:17">
      <c r="A184" s="1" t="s">
        <v>545</v>
      </c>
      <c r="B184" s="1" t="s">
        <v>255</v>
      </c>
      <c r="C184" s="1">
        <v>36</v>
      </c>
      <c r="D184" s="1" t="s">
        <v>19</v>
      </c>
      <c r="E184" s="1" t="s">
        <v>20</v>
      </c>
      <c r="F184" s="1" t="s">
        <v>67</v>
      </c>
      <c r="G184" s="1" t="s">
        <v>132</v>
      </c>
      <c r="H184" s="1" t="s">
        <v>35</v>
      </c>
      <c r="I184" s="1" t="s">
        <v>62</v>
      </c>
      <c r="J184" s="7" t="s">
        <v>546</v>
      </c>
      <c r="K184" s="2">
        <v>45662</v>
      </c>
      <c r="L184" s="1">
        <v>3</v>
      </c>
      <c r="M184" s="1" t="s">
        <v>38</v>
      </c>
      <c r="N184" s="1" t="s">
        <v>39</v>
      </c>
      <c r="O184" s="1">
        <v>19309.810000000001</v>
      </c>
      <c r="P184" s="1">
        <v>4</v>
      </c>
      <c r="Q184" s="1" t="s">
        <v>29</v>
      </c>
    </row>
    <row r="185" spans="1:17">
      <c r="A185" s="1" t="s">
        <v>547</v>
      </c>
      <c r="B185" s="1" t="s">
        <v>548</v>
      </c>
      <c r="C185" s="1">
        <v>23</v>
      </c>
      <c r="D185" s="1" t="s">
        <v>19</v>
      </c>
      <c r="E185" s="1" t="s">
        <v>51</v>
      </c>
      <c r="F185" s="1" t="s">
        <v>120</v>
      </c>
      <c r="G185" s="1" t="s">
        <v>34</v>
      </c>
      <c r="H185" s="1" t="s">
        <v>88</v>
      </c>
      <c r="I185" s="1" t="s">
        <v>36</v>
      </c>
      <c r="J185" s="7" t="s">
        <v>549</v>
      </c>
      <c r="K185" s="2">
        <v>45847</v>
      </c>
      <c r="L185" s="1">
        <v>9</v>
      </c>
      <c r="M185" s="1" t="s">
        <v>97</v>
      </c>
      <c r="N185" s="1" t="s">
        <v>28</v>
      </c>
      <c r="O185" s="1">
        <v>173225.25</v>
      </c>
      <c r="P185" s="1">
        <v>4</v>
      </c>
      <c r="Q185" s="1" t="s">
        <v>72</v>
      </c>
    </row>
    <row r="186" spans="1:17">
      <c r="A186" s="1" t="s">
        <v>550</v>
      </c>
      <c r="B186" s="1" t="s">
        <v>551</v>
      </c>
      <c r="C186" s="1">
        <v>8</v>
      </c>
      <c r="D186" s="1" t="s">
        <v>19</v>
      </c>
      <c r="E186" s="1" t="s">
        <v>202</v>
      </c>
      <c r="F186" s="1" t="s">
        <v>21</v>
      </c>
      <c r="G186" s="1" t="s">
        <v>53</v>
      </c>
      <c r="H186" s="1" t="s">
        <v>69</v>
      </c>
      <c r="I186" s="1" t="s">
        <v>24</v>
      </c>
      <c r="J186" s="7">
        <v>45878</v>
      </c>
      <c r="K186" s="2">
        <v>45909</v>
      </c>
      <c r="L186" s="1">
        <v>1</v>
      </c>
      <c r="M186" s="1" t="s">
        <v>56</v>
      </c>
      <c r="N186" s="1" t="s">
        <v>39</v>
      </c>
      <c r="O186" s="1">
        <v>35184.75</v>
      </c>
      <c r="P186" s="1">
        <v>5</v>
      </c>
      <c r="Q186" s="1" t="s">
        <v>72</v>
      </c>
    </row>
    <row r="187" spans="1:17">
      <c r="A187" s="1" t="s">
        <v>552</v>
      </c>
      <c r="B187" s="1" t="s">
        <v>553</v>
      </c>
      <c r="C187" s="1">
        <v>68</v>
      </c>
      <c r="D187" s="1" t="s">
        <v>43</v>
      </c>
      <c r="E187" s="1" t="s">
        <v>159</v>
      </c>
      <c r="F187" s="1" t="s">
        <v>52</v>
      </c>
      <c r="G187" s="1" t="s">
        <v>22</v>
      </c>
      <c r="H187" s="1" t="s">
        <v>88</v>
      </c>
      <c r="I187" s="1" t="s">
        <v>62</v>
      </c>
      <c r="J187" s="7" t="s">
        <v>210</v>
      </c>
      <c r="K187" s="1" t="s">
        <v>554</v>
      </c>
      <c r="L187" s="1">
        <v>7</v>
      </c>
      <c r="M187" s="1" t="s">
        <v>56</v>
      </c>
      <c r="N187" s="1" t="s">
        <v>63</v>
      </c>
      <c r="O187" s="1">
        <v>34028.86</v>
      </c>
      <c r="P187" s="1">
        <v>3</v>
      </c>
      <c r="Q187" s="1" t="s">
        <v>40</v>
      </c>
    </row>
    <row r="188" spans="1:17">
      <c r="A188" s="1" t="s">
        <v>555</v>
      </c>
      <c r="B188" s="1" t="s">
        <v>443</v>
      </c>
      <c r="C188" s="1">
        <v>29</v>
      </c>
      <c r="D188" s="1" t="s">
        <v>27</v>
      </c>
      <c r="E188" s="1" t="s">
        <v>44</v>
      </c>
      <c r="F188" s="1" t="s">
        <v>75</v>
      </c>
      <c r="G188" s="1" t="s">
        <v>68</v>
      </c>
      <c r="H188" s="1" t="s">
        <v>35</v>
      </c>
      <c r="I188" s="1" t="s">
        <v>36</v>
      </c>
      <c r="J188" s="7" t="s">
        <v>191</v>
      </c>
      <c r="K188" s="1" t="s">
        <v>549</v>
      </c>
      <c r="L188" s="1">
        <v>3</v>
      </c>
      <c r="M188" s="1" t="s">
        <v>27</v>
      </c>
      <c r="N188" s="1" t="s">
        <v>82</v>
      </c>
      <c r="O188" s="1">
        <v>24972.71</v>
      </c>
      <c r="P188" s="1">
        <v>1</v>
      </c>
      <c r="Q188" s="1" t="s">
        <v>29</v>
      </c>
    </row>
    <row r="189" spans="1:17">
      <c r="A189" s="1" t="s">
        <v>556</v>
      </c>
      <c r="B189" s="1" t="s">
        <v>557</v>
      </c>
      <c r="C189" s="1">
        <v>82</v>
      </c>
      <c r="D189" s="1" t="s">
        <v>27</v>
      </c>
      <c r="E189" s="1" t="s">
        <v>159</v>
      </c>
      <c r="F189" s="1" t="s">
        <v>75</v>
      </c>
      <c r="G189" s="1" t="s">
        <v>132</v>
      </c>
      <c r="H189" s="1" t="s">
        <v>88</v>
      </c>
      <c r="I189" s="1" t="s">
        <v>62</v>
      </c>
      <c r="J189" s="7" t="s">
        <v>558</v>
      </c>
      <c r="K189" s="1" t="s">
        <v>559</v>
      </c>
      <c r="L189" s="1">
        <v>1</v>
      </c>
      <c r="M189" s="1" t="s">
        <v>56</v>
      </c>
      <c r="N189" s="1" t="s">
        <v>85</v>
      </c>
      <c r="O189" s="1">
        <v>83713.710000000006</v>
      </c>
      <c r="P189" s="1">
        <v>3</v>
      </c>
      <c r="Q189" s="1" t="s">
        <v>72</v>
      </c>
    </row>
    <row r="190" spans="1:17">
      <c r="A190" s="1" t="s">
        <v>560</v>
      </c>
      <c r="B190" s="1" t="s">
        <v>321</v>
      </c>
      <c r="C190" s="1">
        <v>45</v>
      </c>
      <c r="D190" s="1" t="s">
        <v>43</v>
      </c>
      <c r="E190" s="1" t="s">
        <v>159</v>
      </c>
      <c r="F190" s="1" t="s">
        <v>67</v>
      </c>
      <c r="G190" s="1" t="s">
        <v>36</v>
      </c>
      <c r="H190" s="1" t="s">
        <v>93</v>
      </c>
      <c r="I190" s="1" t="s">
        <v>24</v>
      </c>
      <c r="J190" s="7" t="s">
        <v>196</v>
      </c>
      <c r="K190" s="1" t="s">
        <v>81</v>
      </c>
      <c r="L190" s="1">
        <v>7</v>
      </c>
      <c r="M190" s="1" t="s">
        <v>56</v>
      </c>
      <c r="N190" s="1" t="s">
        <v>85</v>
      </c>
      <c r="O190" s="1">
        <v>76369.259999999995</v>
      </c>
      <c r="P190" s="1">
        <v>4</v>
      </c>
      <c r="Q190" s="1" t="s">
        <v>58</v>
      </c>
    </row>
    <row r="191" spans="1:17">
      <c r="A191" s="1" t="s">
        <v>561</v>
      </c>
      <c r="B191" s="1" t="s">
        <v>291</v>
      </c>
      <c r="C191" s="1">
        <v>10</v>
      </c>
      <c r="D191" s="1" t="s">
        <v>19</v>
      </c>
      <c r="E191" s="1" t="s">
        <v>247</v>
      </c>
      <c r="F191" s="1" t="s">
        <v>67</v>
      </c>
      <c r="G191" s="1" t="s">
        <v>22</v>
      </c>
      <c r="H191" s="1" t="s">
        <v>88</v>
      </c>
      <c r="I191" s="1" t="s">
        <v>24</v>
      </c>
      <c r="J191" s="7" t="s">
        <v>562</v>
      </c>
      <c r="K191" s="1" t="s">
        <v>563</v>
      </c>
      <c r="L191" s="1">
        <v>2</v>
      </c>
      <c r="M191" s="1" t="s">
        <v>97</v>
      </c>
      <c r="N191" s="1" t="s">
        <v>63</v>
      </c>
      <c r="O191" s="1">
        <v>24417.68</v>
      </c>
      <c r="P191" s="1">
        <v>4</v>
      </c>
      <c r="Q191" s="1" t="s">
        <v>72</v>
      </c>
    </row>
    <row r="192" spans="1:17">
      <c r="A192" s="1" t="s">
        <v>564</v>
      </c>
      <c r="B192" s="1" t="s">
        <v>565</v>
      </c>
      <c r="C192" s="1">
        <v>56</v>
      </c>
      <c r="D192" s="1" t="s">
        <v>27</v>
      </c>
      <c r="E192" s="1" t="s">
        <v>117</v>
      </c>
      <c r="F192" s="1" t="s">
        <v>120</v>
      </c>
      <c r="G192" s="1" t="s">
        <v>132</v>
      </c>
      <c r="H192" s="1" t="s">
        <v>76</v>
      </c>
      <c r="I192" s="1" t="s">
        <v>36</v>
      </c>
      <c r="J192" s="7" t="s">
        <v>106</v>
      </c>
      <c r="K192" s="1" t="s">
        <v>107</v>
      </c>
      <c r="L192" s="1">
        <v>1</v>
      </c>
      <c r="M192" s="1" t="s">
        <v>48</v>
      </c>
      <c r="N192" s="1" t="s">
        <v>28</v>
      </c>
      <c r="O192" s="1">
        <v>62895.360000000001</v>
      </c>
      <c r="P192" s="1">
        <v>5</v>
      </c>
      <c r="Q192" s="1" t="s">
        <v>58</v>
      </c>
    </row>
    <row r="193" spans="1:17">
      <c r="A193" s="1" t="s">
        <v>566</v>
      </c>
      <c r="B193" s="1" t="s">
        <v>403</v>
      </c>
      <c r="C193" s="1">
        <v>74</v>
      </c>
      <c r="D193" s="1" t="s">
        <v>27</v>
      </c>
      <c r="E193" s="1" t="s">
        <v>159</v>
      </c>
      <c r="F193" s="1" t="s">
        <v>75</v>
      </c>
      <c r="G193" s="1" t="s">
        <v>104</v>
      </c>
      <c r="H193" s="1" t="s">
        <v>61</v>
      </c>
      <c r="I193" s="1" t="s">
        <v>62</v>
      </c>
      <c r="J193" s="7" t="s">
        <v>482</v>
      </c>
      <c r="K193" s="1" t="s">
        <v>484</v>
      </c>
      <c r="L193" s="1">
        <v>1</v>
      </c>
      <c r="M193" s="1" t="s">
        <v>97</v>
      </c>
      <c r="N193" s="1" t="s">
        <v>57</v>
      </c>
      <c r="O193" s="1">
        <v>19080.04</v>
      </c>
      <c r="P193" s="1">
        <v>3</v>
      </c>
      <c r="Q193" s="1" t="s">
        <v>58</v>
      </c>
    </row>
    <row r="194" spans="1:17">
      <c r="A194" s="1" t="s">
        <v>567</v>
      </c>
      <c r="B194" s="1" t="s">
        <v>295</v>
      </c>
      <c r="C194" s="1">
        <v>85</v>
      </c>
      <c r="D194" s="1" t="s">
        <v>43</v>
      </c>
      <c r="E194" s="1" t="s">
        <v>117</v>
      </c>
      <c r="F194" s="1" t="s">
        <v>21</v>
      </c>
      <c r="G194" s="1" t="s">
        <v>36</v>
      </c>
      <c r="H194" s="1" t="s">
        <v>88</v>
      </c>
      <c r="I194" s="1" t="s">
        <v>62</v>
      </c>
      <c r="J194" s="7">
        <v>45355</v>
      </c>
      <c r="K194" s="2">
        <v>45477</v>
      </c>
      <c r="L194" s="1">
        <v>4</v>
      </c>
      <c r="M194" s="1" t="s">
        <v>27</v>
      </c>
      <c r="N194" s="1" t="s">
        <v>28</v>
      </c>
      <c r="O194" s="1">
        <v>25620.55</v>
      </c>
      <c r="P194" s="1">
        <v>2</v>
      </c>
      <c r="Q194" s="1" t="s">
        <v>29</v>
      </c>
    </row>
    <row r="195" spans="1:17">
      <c r="A195" s="1" t="s">
        <v>568</v>
      </c>
      <c r="B195" s="1" t="s">
        <v>412</v>
      </c>
      <c r="C195" s="1">
        <v>90</v>
      </c>
      <c r="D195" s="1" t="s">
        <v>27</v>
      </c>
      <c r="E195" s="1" t="s">
        <v>51</v>
      </c>
      <c r="F195" s="1" t="s">
        <v>52</v>
      </c>
      <c r="G195" s="1" t="s">
        <v>36</v>
      </c>
      <c r="H195" s="1" t="s">
        <v>69</v>
      </c>
      <c r="I195" s="1" t="s">
        <v>62</v>
      </c>
      <c r="J195" s="7">
        <v>45539</v>
      </c>
      <c r="K195" s="1" t="s">
        <v>195</v>
      </c>
      <c r="L195" s="1">
        <v>6</v>
      </c>
      <c r="M195" s="1" t="s">
        <v>27</v>
      </c>
      <c r="N195" s="1" t="s">
        <v>85</v>
      </c>
      <c r="O195" s="1">
        <v>28608.43</v>
      </c>
      <c r="P195" s="1">
        <v>2</v>
      </c>
      <c r="Q195" s="1" t="s">
        <v>58</v>
      </c>
    </row>
    <row r="196" spans="1:17">
      <c r="A196" s="1" t="s">
        <v>569</v>
      </c>
      <c r="B196" s="1" t="s">
        <v>570</v>
      </c>
      <c r="C196" s="1">
        <v>39</v>
      </c>
      <c r="D196" s="1" t="s">
        <v>19</v>
      </c>
      <c r="E196" s="1" t="s">
        <v>20</v>
      </c>
      <c r="F196" s="1" t="s">
        <v>21</v>
      </c>
      <c r="G196" s="1" t="s">
        <v>110</v>
      </c>
      <c r="H196" s="1" t="s">
        <v>45</v>
      </c>
      <c r="I196" s="1" t="s">
        <v>36</v>
      </c>
      <c r="J196" s="7">
        <v>45871</v>
      </c>
      <c r="K196" s="2">
        <v>45902</v>
      </c>
      <c r="L196" s="1">
        <v>1</v>
      </c>
      <c r="M196" s="1" t="s">
        <v>97</v>
      </c>
      <c r="N196" s="1" t="s">
        <v>28</v>
      </c>
      <c r="O196" s="1">
        <v>130409.18</v>
      </c>
      <c r="P196" s="1">
        <v>5</v>
      </c>
      <c r="Q196" s="1" t="s">
        <v>58</v>
      </c>
    </row>
    <row r="197" spans="1:17">
      <c r="A197" s="1" t="s">
        <v>571</v>
      </c>
      <c r="B197" s="1" t="s">
        <v>131</v>
      </c>
      <c r="C197" s="1">
        <v>26</v>
      </c>
      <c r="D197" s="1" t="s">
        <v>27</v>
      </c>
      <c r="E197" s="1" t="s">
        <v>51</v>
      </c>
      <c r="F197" s="1" t="s">
        <v>33</v>
      </c>
      <c r="G197" s="1" t="s">
        <v>22</v>
      </c>
      <c r="H197" s="1" t="s">
        <v>45</v>
      </c>
      <c r="I197" s="1" t="s">
        <v>36</v>
      </c>
      <c r="J197" s="7" t="s">
        <v>297</v>
      </c>
      <c r="K197" s="2">
        <v>45328</v>
      </c>
      <c r="L197" s="1">
        <v>2</v>
      </c>
      <c r="M197" s="1" t="s">
        <v>27</v>
      </c>
      <c r="N197" s="1" t="s">
        <v>90</v>
      </c>
      <c r="O197" s="1">
        <v>40331.24</v>
      </c>
      <c r="P197" s="1">
        <v>4</v>
      </c>
      <c r="Q197" s="1" t="s">
        <v>58</v>
      </c>
    </row>
    <row r="198" spans="1:17">
      <c r="A198" s="1" t="s">
        <v>572</v>
      </c>
      <c r="B198" s="1" t="s">
        <v>393</v>
      </c>
      <c r="C198" s="1">
        <v>15</v>
      </c>
      <c r="D198" s="1" t="s">
        <v>43</v>
      </c>
      <c r="E198" s="1" t="s">
        <v>137</v>
      </c>
      <c r="F198" s="1" t="s">
        <v>120</v>
      </c>
      <c r="G198" s="1" t="s">
        <v>22</v>
      </c>
      <c r="H198" s="1" t="s">
        <v>45</v>
      </c>
      <c r="I198" s="1" t="s">
        <v>62</v>
      </c>
      <c r="J198" s="7">
        <v>45328</v>
      </c>
      <c r="K198" s="2">
        <v>45479</v>
      </c>
      <c r="L198" s="1">
        <v>5</v>
      </c>
      <c r="M198" s="1" t="s">
        <v>97</v>
      </c>
      <c r="N198" s="1" t="s">
        <v>90</v>
      </c>
      <c r="O198" s="1">
        <v>53075.91</v>
      </c>
      <c r="P198" s="1">
        <v>2</v>
      </c>
      <c r="Q198" s="1" t="s">
        <v>58</v>
      </c>
    </row>
    <row r="199" spans="1:17">
      <c r="A199" s="1" t="s">
        <v>573</v>
      </c>
      <c r="B199" s="1" t="s">
        <v>574</v>
      </c>
      <c r="C199" s="1">
        <v>5</v>
      </c>
      <c r="D199" s="1" t="s">
        <v>19</v>
      </c>
      <c r="E199" s="1" t="s">
        <v>159</v>
      </c>
      <c r="F199" s="1" t="s">
        <v>120</v>
      </c>
      <c r="G199" s="1" t="s">
        <v>36</v>
      </c>
      <c r="H199" s="1" t="s">
        <v>99</v>
      </c>
      <c r="I199" s="1" t="s">
        <v>62</v>
      </c>
      <c r="J199" s="7">
        <v>45545</v>
      </c>
      <c r="K199" s="2">
        <v>45575</v>
      </c>
      <c r="L199" s="1">
        <v>1</v>
      </c>
      <c r="M199" s="1" t="s">
        <v>48</v>
      </c>
      <c r="N199" s="1" t="s">
        <v>82</v>
      </c>
      <c r="O199" s="1">
        <v>40892.870000000003</v>
      </c>
      <c r="P199" s="1">
        <v>5</v>
      </c>
      <c r="Q199" s="1" t="s">
        <v>40</v>
      </c>
    </row>
    <row r="200" spans="1:17">
      <c r="A200" s="1" t="s">
        <v>575</v>
      </c>
      <c r="B200" s="1" t="s">
        <v>131</v>
      </c>
      <c r="C200" s="1">
        <v>40</v>
      </c>
      <c r="D200" s="1" t="s">
        <v>43</v>
      </c>
      <c r="E200" s="1" t="s">
        <v>137</v>
      </c>
      <c r="F200" s="1" t="s">
        <v>67</v>
      </c>
      <c r="G200" s="1" t="s">
        <v>132</v>
      </c>
      <c r="H200" s="1" t="s">
        <v>35</v>
      </c>
      <c r="I200" s="1" t="s">
        <v>24</v>
      </c>
      <c r="J200" s="7" t="s">
        <v>484</v>
      </c>
      <c r="K200" s="1" t="s">
        <v>429</v>
      </c>
      <c r="L200" s="1">
        <v>6</v>
      </c>
      <c r="M200" s="1" t="s">
        <v>48</v>
      </c>
      <c r="N200" s="1" t="s">
        <v>85</v>
      </c>
      <c r="O200" s="1">
        <v>33935.07</v>
      </c>
      <c r="P200" s="1">
        <v>5</v>
      </c>
      <c r="Q200" s="1" t="s">
        <v>58</v>
      </c>
    </row>
    <row r="201" spans="1:17">
      <c r="A201" s="1" t="s">
        <v>576</v>
      </c>
      <c r="B201" s="1" t="s">
        <v>329</v>
      </c>
      <c r="C201" s="1">
        <v>28</v>
      </c>
      <c r="D201" s="1" t="s">
        <v>43</v>
      </c>
      <c r="E201" s="1" t="s">
        <v>66</v>
      </c>
      <c r="F201" s="1" t="s">
        <v>21</v>
      </c>
      <c r="G201" s="1" t="s">
        <v>110</v>
      </c>
      <c r="H201" s="1" t="s">
        <v>45</v>
      </c>
      <c r="I201" s="1" t="s">
        <v>36</v>
      </c>
      <c r="J201" s="7">
        <v>45966</v>
      </c>
      <c r="K201" s="1" t="s">
        <v>577</v>
      </c>
      <c r="L201" s="1">
        <v>12</v>
      </c>
      <c r="M201" s="1" t="s">
        <v>48</v>
      </c>
      <c r="N201" s="1" t="s">
        <v>85</v>
      </c>
      <c r="O201" s="1">
        <v>71858.83</v>
      </c>
      <c r="P201" s="1">
        <v>3</v>
      </c>
      <c r="Q201" s="1" t="s">
        <v>72</v>
      </c>
    </row>
    <row r="202" spans="1:17">
      <c r="A202" s="1" t="s">
        <v>578</v>
      </c>
      <c r="B202" s="1" t="s">
        <v>524</v>
      </c>
      <c r="C202" s="1">
        <v>59</v>
      </c>
      <c r="D202" s="1" t="s">
        <v>19</v>
      </c>
      <c r="E202" s="1" t="s">
        <v>247</v>
      </c>
      <c r="F202" s="1" t="s">
        <v>33</v>
      </c>
      <c r="G202" s="1" t="s">
        <v>104</v>
      </c>
      <c r="H202" s="1" t="s">
        <v>23</v>
      </c>
      <c r="I202" s="1" t="s">
        <v>24</v>
      </c>
      <c r="J202" s="7">
        <v>45748</v>
      </c>
      <c r="K202" s="2">
        <v>45809</v>
      </c>
      <c r="L202" s="1">
        <v>2</v>
      </c>
      <c r="M202" s="1" t="s">
        <v>97</v>
      </c>
      <c r="N202" s="1" t="s">
        <v>85</v>
      </c>
      <c r="O202" s="1">
        <v>40976.79</v>
      </c>
      <c r="P202" s="1">
        <v>5</v>
      </c>
      <c r="Q202" s="1" t="s">
        <v>58</v>
      </c>
    </row>
    <row r="203" spans="1:17">
      <c r="A203" s="1" t="s">
        <v>579</v>
      </c>
      <c r="B203" s="1" t="s">
        <v>204</v>
      </c>
      <c r="C203" s="1">
        <v>76</v>
      </c>
      <c r="D203" s="1" t="s">
        <v>27</v>
      </c>
      <c r="E203" s="1" t="s">
        <v>20</v>
      </c>
      <c r="F203" s="1" t="s">
        <v>52</v>
      </c>
      <c r="G203" s="1" t="s">
        <v>22</v>
      </c>
      <c r="H203" s="1" t="s">
        <v>105</v>
      </c>
      <c r="I203" s="1" t="s">
        <v>36</v>
      </c>
      <c r="J203" s="7" t="s">
        <v>580</v>
      </c>
      <c r="K203" s="1" t="s">
        <v>218</v>
      </c>
      <c r="L203" s="1">
        <v>1</v>
      </c>
      <c r="M203" s="1" t="s">
        <v>56</v>
      </c>
      <c r="N203" s="1" t="s">
        <v>82</v>
      </c>
      <c r="O203" s="1">
        <v>14003.89</v>
      </c>
      <c r="P203" s="1">
        <v>2</v>
      </c>
      <c r="Q203" s="1" t="s">
        <v>58</v>
      </c>
    </row>
    <row r="204" spans="1:17">
      <c r="A204" s="1" t="s">
        <v>581</v>
      </c>
      <c r="B204" s="1" t="s">
        <v>339</v>
      </c>
      <c r="C204" s="1">
        <v>66</v>
      </c>
      <c r="D204" s="1" t="s">
        <v>19</v>
      </c>
      <c r="E204" s="1" t="s">
        <v>137</v>
      </c>
      <c r="F204" s="1" t="s">
        <v>33</v>
      </c>
      <c r="G204" s="1" t="s">
        <v>110</v>
      </c>
      <c r="H204" s="1" t="s">
        <v>69</v>
      </c>
      <c r="I204" s="1" t="s">
        <v>62</v>
      </c>
      <c r="J204" s="7" t="s">
        <v>582</v>
      </c>
      <c r="K204" s="2">
        <v>45728</v>
      </c>
      <c r="L204" s="1">
        <v>4</v>
      </c>
      <c r="M204" s="1" t="s">
        <v>97</v>
      </c>
      <c r="N204" s="1" t="s">
        <v>82</v>
      </c>
      <c r="O204" s="1">
        <v>98746.54</v>
      </c>
      <c r="P204" s="1">
        <v>4</v>
      </c>
      <c r="Q204" s="1" t="s">
        <v>29</v>
      </c>
    </row>
    <row r="205" spans="1:17">
      <c r="A205" s="1" t="s">
        <v>583</v>
      </c>
      <c r="B205" s="1" t="s">
        <v>304</v>
      </c>
      <c r="C205" s="1">
        <v>60</v>
      </c>
      <c r="D205" s="1" t="s">
        <v>43</v>
      </c>
      <c r="E205" s="1" t="s">
        <v>117</v>
      </c>
      <c r="F205" s="1" t="s">
        <v>52</v>
      </c>
      <c r="G205" s="1" t="s">
        <v>22</v>
      </c>
      <c r="H205" s="1" t="s">
        <v>99</v>
      </c>
      <c r="I205" s="1" t="s">
        <v>36</v>
      </c>
      <c r="J205" s="7" t="s">
        <v>251</v>
      </c>
      <c r="K205" s="2">
        <v>45759</v>
      </c>
      <c r="L205" s="1">
        <v>10</v>
      </c>
      <c r="M205" s="1" t="s">
        <v>97</v>
      </c>
      <c r="N205" s="1" t="s">
        <v>28</v>
      </c>
      <c r="O205" s="1">
        <v>61675.63</v>
      </c>
      <c r="P205" s="1">
        <v>4</v>
      </c>
      <c r="Q205" s="1" t="s">
        <v>40</v>
      </c>
    </row>
    <row r="206" spans="1:17">
      <c r="A206" s="1" t="s">
        <v>584</v>
      </c>
      <c r="B206" s="1" t="s">
        <v>585</v>
      </c>
      <c r="C206" s="1">
        <v>36</v>
      </c>
      <c r="D206" s="1" t="s">
        <v>27</v>
      </c>
      <c r="E206" s="1" t="s">
        <v>247</v>
      </c>
      <c r="F206" s="1" t="s">
        <v>52</v>
      </c>
      <c r="G206" s="1" t="s">
        <v>68</v>
      </c>
      <c r="H206" s="1" t="s">
        <v>61</v>
      </c>
      <c r="I206" s="1" t="s">
        <v>36</v>
      </c>
      <c r="J206" s="7" t="s">
        <v>214</v>
      </c>
      <c r="K206" s="1" t="s">
        <v>248</v>
      </c>
      <c r="L206" s="1">
        <v>2</v>
      </c>
      <c r="M206" s="1" t="s">
        <v>48</v>
      </c>
      <c r="N206" s="1" t="s">
        <v>63</v>
      </c>
      <c r="O206" s="1">
        <v>22944.84</v>
      </c>
      <c r="P206" s="1">
        <v>5</v>
      </c>
      <c r="Q206" s="1" t="s">
        <v>58</v>
      </c>
    </row>
    <row r="207" spans="1:17">
      <c r="A207" s="1" t="s">
        <v>586</v>
      </c>
      <c r="B207" s="1" t="s">
        <v>103</v>
      </c>
      <c r="C207" s="1">
        <v>38</v>
      </c>
      <c r="D207" s="1" t="s">
        <v>43</v>
      </c>
      <c r="E207" s="1" t="s">
        <v>247</v>
      </c>
      <c r="F207" s="1" t="s">
        <v>67</v>
      </c>
      <c r="G207" s="1" t="s">
        <v>132</v>
      </c>
      <c r="H207" s="1" t="s">
        <v>88</v>
      </c>
      <c r="I207" s="1" t="s">
        <v>62</v>
      </c>
      <c r="J207" s="7">
        <v>45750</v>
      </c>
      <c r="K207" s="2">
        <v>45841</v>
      </c>
      <c r="L207" s="1">
        <v>3</v>
      </c>
      <c r="M207" s="1" t="s">
        <v>56</v>
      </c>
      <c r="N207" s="1" t="s">
        <v>39</v>
      </c>
      <c r="O207" s="1">
        <v>65038.14</v>
      </c>
      <c r="P207" s="1">
        <v>3</v>
      </c>
      <c r="Q207" s="1" t="s">
        <v>29</v>
      </c>
    </row>
    <row r="208" spans="1:17">
      <c r="A208" s="1" t="s">
        <v>587</v>
      </c>
      <c r="B208" s="1" t="s">
        <v>308</v>
      </c>
      <c r="C208" s="1">
        <v>38</v>
      </c>
      <c r="D208" s="1" t="s">
        <v>19</v>
      </c>
      <c r="E208" s="1" t="s">
        <v>247</v>
      </c>
      <c r="F208" s="1" t="s">
        <v>120</v>
      </c>
      <c r="G208" s="1" t="s">
        <v>110</v>
      </c>
      <c r="H208" s="1" t="s">
        <v>88</v>
      </c>
      <c r="I208" s="1" t="s">
        <v>62</v>
      </c>
      <c r="J208" s="7" t="s">
        <v>101</v>
      </c>
      <c r="K208" s="2">
        <v>45752</v>
      </c>
      <c r="L208" s="1">
        <v>7</v>
      </c>
      <c r="M208" s="1" t="s">
        <v>27</v>
      </c>
      <c r="N208" s="1" t="s">
        <v>82</v>
      </c>
      <c r="O208" s="1">
        <v>83684.899999999994</v>
      </c>
      <c r="P208" s="1">
        <v>3</v>
      </c>
      <c r="Q208" s="1" t="s">
        <v>58</v>
      </c>
    </row>
    <row r="209" spans="1:17">
      <c r="A209" s="1" t="s">
        <v>588</v>
      </c>
      <c r="B209" s="1" t="s">
        <v>208</v>
      </c>
      <c r="C209" s="1">
        <v>16</v>
      </c>
      <c r="D209" s="1" t="s">
        <v>43</v>
      </c>
      <c r="E209" s="1" t="s">
        <v>137</v>
      </c>
      <c r="F209" s="1" t="s">
        <v>75</v>
      </c>
      <c r="G209" s="1" t="s">
        <v>22</v>
      </c>
      <c r="H209" s="1" t="s">
        <v>93</v>
      </c>
      <c r="I209" s="1" t="s">
        <v>36</v>
      </c>
      <c r="J209" s="7" t="s">
        <v>589</v>
      </c>
      <c r="K209" s="1" t="s">
        <v>410</v>
      </c>
      <c r="L209" s="1">
        <v>5</v>
      </c>
      <c r="M209" s="1" t="s">
        <v>56</v>
      </c>
      <c r="N209" s="1" t="s">
        <v>85</v>
      </c>
      <c r="O209" s="1">
        <v>76928.100000000006</v>
      </c>
      <c r="P209" s="1">
        <v>4</v>
      </c>
      <c r="Q209" s="1" t="s">
        <v>40</v>
      </c>
    </row>
    <row r="210" spans="1:17">
      <c r="A210" s="1" t="s">
        <v>590</v>
      </c>
      <c r="B210" s="1" t="s">
        <v>551</v>
      </c>
      <c r="C210" s="1">
        <v>53</v>
      </c>
      <c r="D210" s="1" t="s">
        <v>27</v>
      </c>
      <c r="E210" s="1" t="s">
        <v>202</v>
      </c>
      <c r="F210" s="1" t="s">
        <v>33</v>
      </c>
      <c r="G210" s="1" t="s">
        <v>22</v>
      </c>
      <c r="H210" s="1" t="s">
        <v>93</v>
      </c>
      <c r="I210" s="1" t="s">
        <v>62</v>
      </c>
      <c r="J210" s="7" t="s">
        <v>591</v>
      </c>
      <c r="K210" s="1" t="s">
        <v>118</v>
      </c>
      <c r="L210" s="1">
        <v>2</v>
      </c>
      <c r="M210" s="1" t="s">
        <v>56</v>
      </c>
      <c r="N210" s="1" t="s">
        <v>39</v>
      </c>
      <c r="O210" s="1">
        <v>36281.949999999997</v>
      </c>
      <c r="P210" s="1">
        <v>5</v>
      </c>
      <c r="Q210" s="1" t="s">
        <v>29</v>
      </c>
    </row>
    <row r="211" spans="1:17">
      <c r="A211" s="1" t="s">
        <v>592</v>
      </c>
      <c r="B211" s="1" t="s">
        <v>593</v>
      </c>
      <c r="C211" s="1">
        <v>74</v>
      </c>
      <c r="D211" s="1" t="s">
        <v>19</v>
      </c>
      <c r="E211" s="1" t="s">
        <v>51</v>
      </c>
      <c r="F211" s="1" t="s">
        <v>21</v>
      </c>
      <c r="G211" s="1" t="s">
        <v>36</v>
      </c>
      <c r="H211" s="1" t="s">
        <v>76</v>
      </c>
      <c r="I211" s="1" t="s">
        <v>24</v>
      </c>
      <c r="J211" s="7" t="s">
        <v>481</v>
      </c>
      <c r="K211" s="1" t="s">
        <v>482</v>
      </c>
      <c r="L211" s="1">
        <v>1</v>
      </c>
      <c r="M211" s="1" t="s">
        <v>38</v>
      </c>
      <c r="N211" s="1" t="s">
        <v>28</v>
      </c>
      <c r="O211" s="1">
        <v>43318.86</v>
      </c>
      <c r="P211" s="1">
        <v>4</v>
      </c>
      <c r="Q211" s="1" t="s">
        <v>40</v>
      </c>
    </row>
    <row r="212" spans="1:17">
      <c r="A212" s="1" t="s">
        <v>594</v>
      </c>
      <c r="B212" s="1" t="s">
        <v>74</v>
      </c>
      <c r="C212" s="1">
        <v>68</v>
      </c>
      <c r="D212" s="1" t="s">
        <v>19</v>
      </c>
      <c r="E212" s="1" t="s">
        <v>66</v>
      </c>
      <c r="F212" s="1" t="s">
        <v>75</v>
      </c>
      <c r="G212" s="1" t="s">
        <v>132</v>
      </c>
      <c r="H212" s="1" t="s">
        <v>88</v>
      </c>
      <c r="I212" s="1" t="s">
        <v>36</v>
      </c>
      <c r="J212" s="7" t="s">
        <v>595</v>
      </c>
      <c r="K212" s="1" t="s">
        <v>544</v>
      </c>
      <c r="L212" s="1">
        <v>1</v>
      </c>
      <c r="M212" s="1" t="s">
        <v>38</v>
      </c>
      <c r="N212" s="1" t="s">
        <v>82</v>
      </c>
      <c r="O212" s="1">
        <v>34782.74</v>
      </c>
      <c r="P212" s="1">
        <v>2</v>
      </c>
      <c r="Q212" s="1" t="s">
        <v>58</v>
      </c>
    </row>
    <row r="213" spans="1:17">
      <c r="A213" s="1" t="s">
        <v>596</v>
      </c>
      <c r="B213" s="1" t="s">
        <v>553</v>
      </c>
      <c r="C213" s="1">
        <v>67</v>
      </c>
      <c r="D213" s="1" t="s">
        <v>27</v>
      </c>
      <c r="E213" s="1" t="s">
        <v>202</v>
      </c>
      <c r="F213" s="1" t="s">
        <v>21</v>
      </c>
      <c r="G213" s="1" t="s">
        <v>110</v>
      </c>
      <c r="H213" s="1" t="s">
        <v>88</v>
      </c>
      <c r="I213" s="1" t="s">
        <v>36</v>
      </c>
      <c r="J213" s="7" t="s">
        <v>467</v>
      </c>
      <c r="K213" s="1" t="s">
        <v>597</v>
      </c>
      <c r="L213" s="1">
        <v>3</v>
      </c>
      <c r="M213" s="1" t="s">
        <v>56</v>
      </c>
      <c r="N213" s="1" t="s">
        <v>85</v>
      </c>
      <c r="O213" s="1">
        <v>139036.09</v>
      </c>
      <c r="P213" s="1">
        <v>5</v>
      </c>
      <c r="Q213" s="1" t="s">
        <v>72</v>
      </c>
    </row>
    <row r="214" spans="1:17">
      <c r="A214" s="1" t="s">
        <v>598</v>
      </c>
      <c r="B214" s="1" t="s">
        <v>253</v>
      </c>
      <c r="C214" s="1">
        <v>76</v>
      </c>
      <c r="D214" s="1" t="s">
        <v>27</v>
      </c>
      <c r="E214" s="1" t="s">
        <v>32</v>
      </c>
      <c r="F214" s="1" t="s">
        <v>52</v>
      </c>
      <c r="G214" s="1" t="s">
        <v>34</v>
      </c>
      <c r="H214" s="1" t="s">
        <v>76</v>
      </c>
      <c r="I214" s="1" t="s">
        <v>36</v>
      </c>
      <c r="J214" s="7" t="s">
        <v>599</v>
      </c>
      <c r="K214" s="1" t="s">
        <v>512</v>
      </c>
      <c r="L214" s="1">
        <v>3</v>
      </c>
      <c r="M214" s="1" t="s">
        <v>48</v>
      </c>
      <c r="N214" s="1" t="s">
        <v>63</v>
      </c>
      <c r="O214" s="1">
        <v>108678.42</v>
      </c>
      <c r="P214" s="1">
        <v>4</v>
      </c>
      <c r="Q214" s="1" t="s">
        <v>72</v>
      </c>
    </row>
    <row r="215" spans="1:17">
      <c r="A215" s="1" t="s">
        <v>600</v>
      </c>
      <c r="B215" s="1" t="s">
        <v>79</v>
      </c>
      <c r="C215" s="1">
        <v>54</v>
      </c>
      <c r="D215" s="1" t="s">
        <v>43</v>
      </c>
      <c r="E215" s="1" t="s">
        <v>44</v>
      </c>
      <c r="F215" s="1" t="s">
        <v>67</v>
      </c>
      <c r="G215" s="1" t="s">
        <v>110</v>
      </c>
      <c r="H215" s="1" t="s">
        <v>61</v>
      </c>
      <c r="I215" s="1" t="s">
        <v>24</v>
      </c>
      <c r="J215" s="7" t="s">
        <v>457</v>
      </c>
      <c r="K215" s="1" t="s">
        <v>601</v>
      </c>
      <c r="L215" s="1">
        <v>4</v>
      </c>
      <c r="M215" s="1" t="s">
        <v>56</v>
      </c>
      <c r="N215" s="1" t="s">
        <v>57</v>
      </c>
      <c r="O215" s="1">
        <v>110895.1</v>
      </c>
      <c r="P215" s="1">
        <v>3</v>
      </c>
      <c r="Q215" s="1" t="s">
        <v>72</v>
      </c>
    </row>
    <row r="216" spans="1:17">
      <c r="A216" s="1" t="s">
        <v>602</v>
      </c>
      <c r="B216" s="1" t="s">
        <v>603</v>
      </c>
      <c r="C216" s="1">
        <v>66</v>
      </c>
      <c r="D216" s="1" t="s">
        <v>27</v>
      </c>
      <c r="E216" s="1" t="s">
        <v>247</v>
      </c>
      <c r="F216" s="1" t="s">
        <v>52</v>
      </c>
      <c r="G216" s="1" t="s">
        <v>104</v>
      </c>
      <c r="H216" s="1" t="s">
        <v>61</v>
      </c>
      <c r="I216" s="1" t="s">
        <v>62</v>
      </c>
      <c r="J216" s="7" t="s">
        <v>604</v>
      </c>
      <c r="K216" s="1" t="s">
        <v>605</v>
      </c>
      <c r="L216" s="1">
        <v>2</v>
      </c>
      <c r="M216" s="1" t="s">
        <v>38</v>
      </c>
      <c r="N216" s="1" t="s">
        <v>85</v>
      </c>
      <c r="O216" s="1">
        <v>56457.13</v>
      </c>
      <c r="P216" s="1">
        <v>5</v>
      </c>
      <c r="Q216" s="1" t="s">
        <v>72</v>
      </c>
    </row>
    <row r="217" spans="1:17">
      <c r="A217" s="1" t="s">
        <v>606</v>
      </c>
      <c r="B217" s="1" t="s">
        <v>291</v>
      </c>
      <c r="C217" s="1">
        <v>71</v>
      </c>
      <c r="D217" s="1" t="s">
        <v>43</v>
      </c>
      <c r="E217" s="1" t="s">
        <v>32</v>
      </c>
      <c r="F217" s="1" t="s">
        <v>120</v>
      </c>
      <c r="G217" s="1" t="s">
        <v>22</v>
      </c>
      <c r="H217" s="1" t="s">
        <v>69</v>
      </c>
      <c r="I217" s="1" t="s">
        <v>24</v>
      </c>
      <c r="J217" s="7" t="s">
        <v>262</v>
      </c>
      <c r="K217" s="2">
        <v>45299</v>
      </c>
      <c r="L217" s="1">
        <v>1</v>
      </c>
      <c r="M217" s="1" t="s">
        <v>56</v>
      </c>
      <c r="N217" s="1" t="s">
        <v>57</v>
      </c>
      <c r="O217" s="1">
        <v>60838.6</v>
      </c>
      <c r="P217" s="1">
        <v>3</v>
      </c>
      <c r="Q217" s="1" t="s">
        <v>40</v>
      </c>
    </row>
    <row r="218" spans="1:17">
      <c r="A218" s="1" t="s">
        <v>607</v>
      </c>
      <c r="B218" s="1" t="s">
        <v>264</v>
      </c>
      <c r="C218" s="1">
        <v>34</v>
      </c>
      <c r="D218" s="1" t="s">
        <v>43</v>
      </c>
      <c r="E218" s="1" t="s">
        <v>202</v>
      </c>
      <c r="F218" s="1" t="s">
        <v>75</v>
      </c>
      <c r="G218" s="1" t="s">
        <v>68</v>
      </c>
      <c r="H218" s="1" t="s">
        <v>88</v>
      </c>
      <c r="I218" s="1" t="s">
        <v>36</v>
      </c>
      <c r="J218" s="7" t="s">
        <v>111</v>
      </c>
      <c r="K218" s="2">
        <v>45294</v>
      </c>
      <c r="L218" s="1">
        <v>9</v>
      </c>
      <c r="M218" s="1" t="s">
        <v>56</v>
      </c>
      <c r="N218" s="1" t="s">
        <v>82</v>
      </c>
      <c r="O218" s="1">
        <v>88145.64</v>
      </c>
      <c r="P218" s="1">
        <v>3</v>
      </c>
      <c r="Q218" s="1" t="s">
        <v>40</v>
      </c>
    </row>
    <row r="219" spans="1:17">
      <c r="A219" s="1" t="s">
        <v>608</v>
      </c>
      <c r="B219" s="1" t="s">
        <v>538</v>
      </c>
      <c r="C219" s="1">
        <v>57</v>
      </c>
      <c r="D219" s="1" t="s">
        <v>27</v>
      </c>
      <c r="E219" s="1" t="s">
        <v>137</v>
      </c>
      <c r="F219" s="1" t="s">
        <v>52</v>
      </c>
      <c r="G219" s="1" t="s">
        <v>110</v>
      </c>
      <c r="H219" s="1" t="s">
        <v>45</v>
      </c>
      <c r="I219" s="1" t="s">
        <v>36</v>
      </c>
      <c r="J219" s="7">
        <v>45301</v>
      </c>
      <c r="K219" s="2">
        <v>45332</v>
      </c>
      <c r="L219" s="1">
        <v>1</v>
      </c>
      <c r="M219" s="1" t="s">
        <v>48</v>
      </c>
      <c r="N219" s="1" t="s">
        <v>85</v>
      </c>
      <c r="O219" s="1">
        <v>85239.72</v>
      </c>
      <c r="P219" s="1">
        <v>3</v>
      </c>
      <c r="Q219" s="1" t="s">
        <v>72</v>
      </c>
    </row>
    <row r="220" spans="1:17">
      <c r="A220" s="1" t="s">
        <v>609</v>
      </c>
      <c r="B220" s="1" t="s">
        <v>259</v>
      </c>
      <c r="C220" s="1">
        <v>21</v>
      </c>
      <c r="D220" s="1" t="s">
        <v>19</v>
      </c>
      <c r="E220" s="1" t="s">
        <v>66</v>
      </c>
      <c r="F220" s="1" t="s">
        <v>33</v>
      </c>
      <c r="G220" s="1" t="s">
        <v>104</v>
      </c>
      <c r="H220" s="1" t="s">
        <v>35</v>
      </c>
      <c r="I220" s="1" t="s">
        <v>62</v>
      </c>
      <c r="J220" s="7">
        <v>45691</v>
      </c>
      <c r="K220" s="2">
        <v>45811</v>
      </c>
      <c r="L220" s="1">
        <v>4</v>
      </c>
      <c r="M220" s="1" t="s">
        <v>48</v>
      </c>
      <c r="N220" s="1" t="s">
        <v>57</v>
      </c>
      <c r="O220" s="1">
        <v>56626.59</v>
      </c>
      <c r="P220" s="1">
        <v>5</v>
      </c>
      <c r="Q220" s="1" t="s">
        <v>58</v>
      </c>
    </row>
    <row r="221" spans="1:17">
      <c r="A221" s="1" t="s">
        <v>610</v>
      </c>
      <c r="B221" s="1" t="s">
        <v>109</v>
      </c>
      <c r="C221" s="1">
        <v>6</v>
      </c>
      <c r="D221" s="1" t="s">
        <v>19</v>
      </c>
      <c r="E221" s="1" t="s">
        <v>137</v>
      </c>
      <c r="F221" s="1" t="s">
        <v>52</v>
      </c>
      <c r="G221" s="1" t="s">
        <v>132</v>
      </c>
      <c r="H221" s="1" t="s">
        <v>88</v>
      </c>
      <c r="I221" s="1" t="s">
        <v>24</v>
      </c>
      <c r="J221" s="7" t="s">
        <v>138</v>
      </c>
      <c r="K221" s="1" t="s">
        <v>611</v>
      </c>
      <c r="L221" s="1">
        <v>2</v>
      </c>
      <c r="M221" s="1" t="s">
        <v>56</v>
      </c>
      <c r="N221" s="1" t="s">
        <v>57</v>
      </c>
      <c r="O221" s="1">
        <v>49894.28</v>
      </c>
      <c r="P221" s="1">
        <v>4</v>
      </c>
      <c r="Q221" s="1" t="s">
        <v>40</v>
      </c>
    </row>
    <row r="222" spans="1:17">
      <c r="A222" s="1" t="s">
        <v>612</v>
      </c>
      <c r="B222" s="1" t="s">
        <v>613</v>
      </c>
      <c r="C222" s="1">
        <v>85</v>
      </c>
      <c r="D222" s="1" t="s">
        <v>27</v>
      </c>
      <c r="E222" s="1" t="s">
        <v>32</v>
      </c>
      <c r="F222" s="1" t="s">
        <v>33</v>
      </c>
      <c r="G222" s="1" t="s">
        <v>34</v>
      </c>
      <c r="H222" s="1" t="s">
        <v>99</v>
      </c>
      <c r="I222" s="1" t="s">
        <v>62</v>
      </c>
      <c r="J222" s="7" t="s">
        <v>398</v>
      </c>
      <c r="K222" s="1" t="s">
        <v>237</v>
      </c>
      <c r="L222" s="1">
        <v>1</v>
      </c>
      <c r="M222" s="1" t="s">
        <v>56</v>
      </c>
      <c r="N222" s="1" t="s">
        <v>82</v>
      </c>
      <c r="O222" s="1">
        <v>79090.070000000007</v>
      </c>
      <c r="P222" s="1">
        <v>5</v>
      </c>
      <c r="Q222" s="1" t="s">
        <v>40</v>
      </c>
    </row>
    <row r="223" spans="1:17">
      <c r="A223" s="1" t="s">
        <v>614</v>
      </c>
      <c r="B223" s="1" t="s">
        <v>615</v>
      </c>
      <c r="C223" s="1">
        <v>7</v>
      </c>
      <c r="D223" s="1" t="s">
        <v>27</v>
      </c>
      <c r="E223" s="1" t="s">
        <v>159</v>
      </c>
      <c r="F223" s="1" t="s">
        <v>33</v>
      </c>
      <c r="G223" s="1" t="s">
        <v>132</v>
      </c>
      <c r="H223" s="1" t="s">
        <v>45</v>
      </c>
      <c r="I223" s="1" t="s">
        <v>62</v>
      </c>
      <c r="J223" s="7" t="s">
        <v>616</v>
      </c>
      <c r="K223" s="1" t="s">
        <v>617</v>
      </c>
      <c r="L223" s="1">
        <v>6</v>
      </c>
      <c r="M223" s="1" t="s">
        <v>48</v>
      </c>
      <c r="N223" s="1" t="s">
        <v>57</v>
      </c>
      <c r="O223" s="1">
        <v>45513.91</v>
      </c>
      <c r="P223" s="1">
        <v>5</v>
      </c>
      <c r="Q223" s="1" t="s">
        <v>72</v>
      </c>
    </row>
    <row r="224" spans="1:17">
      <c r="A224" s="1" t="s">
        <v>618</v>
      </c>
      <c r="B224" s="1" t="s">
        <v>236</v>
      </c>
      <c r="C224" s="1">
        <v>14</v>
      </c>
      <c r="D224" s="1" t="s">
        <v>43</v>
      </c>
      <c r="E224" s="1" t="s">
        <v>247</v>
      </c>
      <c r="F224" s="1" t="s">
        <v>75</v>
      </c>
      <c r="G224" s="1" t="s">
        <v>68</v>
      </c>
      <c r="H224" s="1" t="s">
        <v>23</v>
      </c>
      <c r="I224" s="1" t="s">
        <v>36</v>
      </c>
      <c r="J224" s="7" t="s">
        <v>463</v>
      </c>
      <c r="K224" s="1" t="s">
        <v>394</v>
      </c>
      <c r="L224" s="1">
        <v>1</v>
      </c>
      <c r="M224" s="1" t="s">
        <v>97</v>
      </c>
      <c r="N224" s="1" t="s">
        <v>82</v>
      </c>
      <c r="O224" s="1">
        <v>53050.28</v>
      </c>
      <c r="P224" s="1">
        <v>4</v>
      </c>
      <c r="Q224" s="1" t="s">
        <v>58</v>
      </c>
    </row>
    <row r="225" spans="1:17">
      <c r="A225" s="1" t="s">
        <v>619</v>
      </c>
      <c r="B225" s="1" t="s">
        <v>384</v>
      </c>
      <c r="C225" s="1">
        <v>85</v>
      </c>
      <c r="D225" s="1" t="s">
        <v>43</v>
      </c>
      <c r="E225" s="1" t="s">
        <v>32</v>
      </c>
      <c r="F225" s="1" t="s">
        <v>75</v>
      </c>
      <c r="G225" s="1" t="s">
        <v>34</v>
      </c>
      <c r="H225" s="1" t="s">
        <v>88</v>
      </c>
      <c r="I225" s="1" t="s">
        <v>36</v>
      </c>
      <c r="J225" s="7">
        <v>45873</v>
      </c>
      <c r="K225" s="2">
        <v>45904</v>
      </c>
      <c r="L225" s="1">
        <v>1</v>
      </c>
      <c r="M225" s="1" t="s">
        <v>97</v>
      </c>
      <c r="N225" s="1" t="s">
        <v>85</v>
      </c>
      <c r="O225" s="1">
        <v>67138.7</v>
      </c>
      <c r="P225" s="1">
        <v>5</v>
      </c>
      <c r="Q225" s="1" t="s">
        <v>58</v>
      </c>
    </row>
    <row r="226" spans="1:17">
      <c r="A226" s="1" t="s">
        <v>620</v>
      </c>
      <c r="B226" s="1" t="s">
        <v>31</v>
      </c>
      <c r="C226" s="1">
        <v>14</v>
      </c>
      <c r="D226" s="1" t="s">
        <v>43</v>
      </c>
      <c r="E226" s="1" t="s">
        <v>137</v>
      </c>
      <c r="F226" s="1" t="s">
        <v>75</v>
      </c>
      <c r="G226" s="1" t="s">
        <v>36</v>
      </c>
      <c r="H226" s="1" t="s">
        <v>61</v>
      </c>
      <c r="I226" s="1" t="s">
        <v>24</v>
      </c>
      <c r="J226" s="7" t="s">
        <v>150</v>
      </c>
      <c r="K226" s="1" t="s">
        <v>621</v>
      </c>
      <c r="L226" s="1">
        <v>1</v>
      </c>
      <c r="M226" s="1" t="s">
        <v>27</v>
      </c>
      <c r="N226" s="1" t="s">
        <v>28</v>
      </c>
      <c r="O226" s="1">
        <v>45364.36</v>
      </c>
      <c r="P226" s="1">
        <v>5</v>
      </c>
      <c r="Q226" s="1" t="s">
        <v>58</v>
      </c>
    </row>
    <row r="227" spans="1:17">
      <c r="A227" s="1" t="s">
        <v>622</v>
      </c>
      <c r="B227" s="1" t="s">
        <v>378</v>
      </c>
      <c r="C227" s="1">
        <v>59</v>
      </c>
      <c r="D227" s="1" t="s">
        <v>27</v>
      </c>
      <c r="E227" s="1" t="s">
        <v>44</v>
      </c>
      <c r="F227" s="1" t="s">
        <v>21</v>
      </c>
      <c r="G227" s="1" t="s">
        <v>34</v>
      </c>
      <c r="H227" s="1" t="s">
        <v>23</v>
      </c>
      <c r="I227" s="1" t="s">
        <v>24</v>
      </c>
      <c r="J227" s="7" t="s">
        <v>191</v>
      </c>
      <c r="K227" s="1" t="s">
        <v>623</v>
      </c>
      <c r="L227" s="1">
        <v>1</v>
      </c>
      <c r="M227" s="1" t="s">
        <v>56</v>
      </c>
      <c r="N227" s="1" t="s">
        <v>28</v>
      </c>
      <c r="O227" s="1">
        <v>156937.26</v>
      </c>
      <c r="P227" s="1">
        <v>4</v>
      </c>
      <c r="Q227" s="1" t="s">
        <v>58</v>
      </c>
    </row>
    <row r="228" spans="1:17">
      <c r="A228" s="1" t="s">
        <v>624</v>
      </c>
      <c r="B228" s="1" t="s">
        <v>299</v>
      </c>
      <c r="C228" s="1">
        <v>85</v>
      </c>
      <c r="D228" s="1" t="s">
        <v>27</v>
      </c>
      <c r="E228" s="1" t="s">
        <v>66</v>
      </c>
      <c r="F228" s="1" t="s">
        <v>21</v>
      </c>
      <c r="G228" s="1" t="s">
        <v>132</v>
      </c>
      <c r="H228" s="1" t="s">
        <v>105</v>
      </c>
      <c r="I228" s="1" t="s">
        <v>62</v>
      </c>
      <c r="J228" s="7">
        <v>46000</v>
      </c>
      <c r="K228" s="1" t="s">
        <v>625</v>
      </c>
      <c r="L228" s="1">
        <v>4</v>
      </c>
      <c r="M228" s="1" t="s">
        <v>27</v>
      </c>
      <c r="N228" s="1" t="s">
        <v>63</v>
      </c>
      <c r="O228" s="1">
        <v>41044.51</v>
      </c>
      <c r="P228" s="1">
        <v>4</v>
      </c>
      <c r="Q228" s="1" t="s">
        <v>40</v>
      </c>
    </row>
    <row r="229" spans="1:17">
      <c r="A229" s="1" t="s">
        <v>626</v>
      </c>
      <c r="B229" s="1" t="s">
        <v>499</v>
      </c>
      <c r="C229" s="1">
        <v>90</v>
      </c>
      <c r="D229" s="1" t="s">
        <v>27</v>
      </c>
      <c r="E229" s="1" t="s">
        <v>66</v>
      </c>
      <c r="F229" s="1" t="s">
        <v>67</v>
      </c>
      <c r="G229" s="1" t="s">
        <v>132</v>
      </c>
      <c r="H229" s="1" t="s">
        <v>61</v>
      </c>
      <c r="I229" s="1" t="s">
        <v>24</v>
      </c>
      <c r="J229" s="7" t="s">
        <v>517</v>
      </c>
      <c r="K229" s="1" t="s">
        <v>627</v>
      </c>
      <c r="L229" s="1">
        <v>7</v>
      </c>
      <c r="M229" s="1" t="s">
        <v>38</v>
      </c>
      <c r="N229" s="1" t="s">
        <v>63</v>
      </c>
      <c r="O229" s="1">
        <v>27309.03</v>
      </c>
      <c r="P229" s="1">
        <v>5</v>
      </c>
      <c r="Q229" s="1" t="s">
        <v>72</v>
      </c>
    </row>
    <row r="230" spans="1:17">
      <c r="A230" s="1" t="s">
        <v>628</v>
      </c>
      <c r="B230" s="1" t="s">
        <v>18</v>
      </c>
      <c r="C230" s="1">
        <v>46</v>
      </c>
      <c r="D230" s="1" t="s">
        <v>27</v>
      </c>
      <c r="E230" s="1" t="s">
        <v>202</v>
      </c>
      <c r="F230" s="1" t="s">
        <v>33</v>
      </c>
      <c r="G230" s="1" t="s">
        <v>36</v>
      </c>
      <c r="H230" s="1" t="s">
        <v>23</v>
      </c>
      <c r="I230" s="1" t="s">
        <v>36</v>
      </c>
      <c r="J230" s="7">
        <v>45813</v>
      </c>
      <c r="K230" s="2">
        <v>45966</v>
      </c>
      <c r="L230" s="1">
        <v>5</v>
      </c>
      <c r="M230" s="1" t="s">
        <v>48</v>
      </c>
      <c r="N230" s="1" t="s">
        <v>63</v>
      </c>
      <c r="O230" s="1">
        <v>32872.74</v>
      </c>
      <c r="P230" s="1">
        <v>5</v>
      </c>
      <c r="Q230" s="1" t="s">
        <v>72</v>
      </c>
    </row>
    <row r="231" spans="1:17">
      <c r="A231" s="1" t="s">
        <v>629</v>
      </c>
      <c r="B231" s="1" t="s">
        <v>615</v>
      </c>
      <c r="C231" s="1">
        <v>26</v>
      </c>
      <c r="D231" s="1" t="s">
        <v>43</v>
      </c>
      <c r="E231" s="1" t="s">
        <v>44</v>
      </c>
      <c r="F231" s="1" t="s">
        <v>52</v>
      </c>
      <c r="G231" s="1" t="s">
        <v>34</v>
      </c>
      <c r="H231" s="1" t="s">
        <v>105</v>
      </c>
      <c r="I231" s="1" t="s">
        <v>24</v>
      </c>
      <c r="J231" s="7" t="s">
        <v>630</v>
      </c>
      <c r="K231" s="1" t="s">
        <v>129</v>
      </c>
      <c r="L231" s="1">
        <v>6</v>
      </c>
      <c r="M231" s="1" t="s">
        <v>27</v>
      </c>
      <c r="N231" s="1" t="s">
        <v>39</v>
      </c>
      <c r="O231" s="1">
        <v>45368.39</v>
      </c>
      <c r="P231" s="1">
        <v>4</v>
      </c>
      <c r="Q231" s="1" t="s">
        <v>29</v>
      </c>
    </row>
    <row r="232" spans="1:17">
      <c r="A232" s="1" t="s">
        <v>631</v>
      </c>
      <c r="B232" s="1" t="s">
        <v>551</v>
      </c>
      <c r="C232" s="1">
        <v>83</v>
      </c>
      <c r="D232" s="1" t="s">
        <v>27</v>
      </c>
      <c r="E232" s="1" t="s">
        <v>202</v>
      </c>
      <c r="F232" s="1" t="s">
        <v>52</v>
      </c>
      <c r="G232" s="1" t="s">
        <v>68</v>
      </c>
      <c r="H232" s="1" t="s">
        <v>99</v>
      </c>
      <c r="I232" s="1" t="s">
        <v>62</v>
      </c>
      <c r="J232" s="7">
        <v>45690</v>
      </c>
      <c r="K232" s="2">
        <v>45810</v>
      </c>
      <c r="L232" s="1">
        <v>4</v>
      </c>
      <c r="M232" s="1" t="s">
        <v>56</v>
      </c>
      <c r="N232" s="1" t="s">
        <v>90</v>
      </c>
      <c r="O232" s="1">
        <v>79633.39</v>
      </c>
      <c r="P232" s="1">
        <v>4</v>
      </c>
      <c r="Q232" s="1" t="s">
        <v>58</v>
      </c>
    </row>
    <row r="233" spans="1:17">
      <c r="A233" s="1" t="s">
        <v>632</v>
      </c>
      <c r="B233" s="1" t="s">
        <v>50</v>
      </c>
      <c r="C233" s="1">
        <v>29</v>
      </c>
      <c r="D233" s="1" t="s">
        <v>27</v>
      </c>
      <c r="E233" s="1" t="s">
        <v>66</v>
      </c>
      <c r="F233" s="1" t="s">
        <v>52</v>
      </c>
      <c r="G233" s="1" t="s">
        <v>132</v>
      </c>
      <c r="H233" s="1" t="s">
        <v>61</v>
      </c>
      <c r="I233" s="1" t="s">
        <v>24</v>
      </c>
      <c r="J233" s="7" t="s">
        <v>633</v>
      </c>
      <c r="K233" s="1" t="s">
        <v>634</v>
      </c>
      <c r="L233" s="1">
        <v>6</v>
      </c>
      <c r="M233" s="1" t="s">
        <v>48</v>
      </c>
      <c r="N233" s="1" t="s">
        <v>57</v>
      </c>
      <c r="O233" s="1">
        <v>33474.97</v>
      </c>
      <c r="P233" s="1">
        <v>3</v>
      </c>
      <c r="Q233" s="1" t="s">
        <v>72</v>
      </c>
    </row>
    <row r="234" spans="1:17">
      <c r="A234" s="1" t="s">
        <v>635</v>
      </c>
      <c r="B234" s="1" t="s">
        <v>636</v>
      </c>
      <c r="C234" s="1">
        <v>55</v>
      </c>
      <c r="D234" s="1" t="s">
        <v>43</v>
      </c>
      <c r="E234" s="1" t="s">
        <v>66</v>
      </c>
      <c r="F234" s="1" t="s">
        <v>120</v>
      </c>
      <c r="G234" s="1" t="s">
        <v>68</v>
      </c>
      <c r="H234" s="1" t="s">
        <v>99</v>
      </c>
      <c r="I234" s="1" t="s">
        <v>24</v>
      </c>
      <c r="J234" s="7" t="s">
        <v>637</v>
      </c>
      <c r="K234" s="1" t="s">
        <v>638</v>
      </c>
      <c r="L234" s="1">
        <v>1</v>
      </c>
      <c r="M234" s="1" t="s">
        <v>48</v>
      </c>
      <c r="N234" s="1" t="s">
        <v>39</v>
      </c>
      <c r="O234" s="1">
        <v>36131.08</v>
      </c>
      <c r="P234" s="1">
        <v>5</v>
      </c>
      <c r="Q234" s="1" t="s">
        <v>40</v>
      </c>
    </row>
    <row r="235" spans="1:17">
      <c r="A235" s="1" t="s">
        <v>639</v>
      </c>
      <c r="B235" s="1" t="s">
        <v>553</v>
      </c>
      <c r="C235" s="1">
        <v>63</v>
      </c>
      <c r="D235" s="1" t="s">
        <v>27</v>
      </c>
      <c r="E235" s="1" t="s">
        <v>51</v>
      </c>
      <c r="F235" s="1" t="s">
        <v>67</v>
      </c>
      <c r="G235" s="1" t="s">
        <v>132</v>
      </c>
      <c r="H235" s="1" t="s">
        <v>35</v>
      </c>
      <c r="I235" s="1" t="s">
        <v>62</v>
      </c>
      <c r="J235" s="7" t="s">
        <v>640</v>
      </c>
      <c r="K235" s="1" t="s">
        <v>641</v>
      </c>
      <c r="L235" s="1">
        <v>1</v>
      </c>
      <c r="M235" s="1" t="s">
        <v>48</v>
      </c>
      <c r="N235" s="1" t="s">
        <v>82</v>
      </c>
      <c r="O235" s="1">
        <v>50004.26</v>
      </c>
      <c r="P235" s="1">
        <v>5</v>
      </c>
      <c r="Q235" s="1" t="s">
        <v>29</v>
      </c>
    </row>
    <row r="236" spans="1:17">
      <c r="A236" s="1" t="s">
        <v>642</v>
      </c>
      <c r="B236" s="1" t="s">
        <v>18</v>
      </c>
      <c r="C236" s="1">
        <v>28</v>
      </c>
      <c r="D236" s="1" t="s">
        <v>27</v>
      </c>
      <c r="E236" s="1" t="s">
        <v>247</v>
      </c>
      <c r="F236" s="1" t="s">
        <v>33</v>
      </c>
      <c r="G236" s="1" t="s">
        <v>104</v>
      </c>
      <c r="H236" s="1" t="s">
        <v>23</v>
      </c>
      <c r="I236" s="1" t="s">
        <v>36</v>
      </c>
      <c r="J236" s="7">
        <v>45424</v>
      </c>
      <c r="K236" s="2">
        <v>45516</v>
      </c>
      <c r="L236" s="1">
        <v>3</v>
      </c>
      <c r="M236" s="1" t="s">
        <v>27</v>
      </c>
      <c r="N236" s="1" t="s">
        <v>90</v>
      </c>
      <c r="O236" s="1">
        <v>72129.25</v>
      </c>
      <c r="P236" s="1">
        <v>5</v>
      </c>
      <c r="Q236" s="1" t="s">
        <v>29</v>
      </c>
    </row>
    <row r="237" spans="1:17">
      <c r="A237" s="1" t="s">
        <v>643</v>
      </c>
      <c r="B237" s="1" t="s">
        <v>644</v>
      </c>
      <c r="C237" s="1">
        <v>6</v>
      </c>
      <c r="D237" s="1" t="s">
        <v>27</v>
      </c>
      <c r="E237" s="1" t="s">
        <v>51</v>
      </c>
      <c r="F237" s="1" t="s">
        <v>67</v>
      </c>
      <c r="G237" s="1" t="s">
        <v>36</v>
      </c>
      <c r="H237" s="1" t="s">
        <v>105</v>
      </c>
      <c r="I237" s="1" t="s">
        <v>62</v>
      </c>
      <c r="J237" s="7" t="s">
        <v>627</v>
      </c>
      <c r="K237" s="2">
        <v>45577</v>
      </c>
      <c r="L237" s="1">
        <v>16</v>
      </c>
      <c r="M237" s="1" t="s">
        <v>97</v>
      </c>
      <c r="N237" s="1" t="s">
        <v>28</v>
      </c>
      <c r="O237" s="1">
        <v>64296.65</v>
      </c>
      <c r="P237" s="1">
        <v>3</v>
      </c>
      <c r="Q237" s="1" t="s">
        <v>40</v>
      </c>
    </row>
    <row r="238" spans="1:17">
      <c r="A238" s="1" t="s">
        <v>645</v>
      </c>
      <c r="B238" s="1" t="s">
        <v>136</v>
      </c>
      <c r="C238" s="1">
        <v>84</v>
      </c>
      <c r="D238" s="1" t="s">
        <v>19</v>
      </c>
      <c r="E238" s="1" t="s">
        <v>20</v>
      </c>
      <c r="F238" s="1" t="s">
        <v>67</v>
      </c>
      <c r="G238" s="1" t="s">
        <v>34</v>
      </c>
      <c r="H238" s="1" t="s">
        <v>45</v>
      </c>
      <c r="I238" s="1" t="s">
        <v>24</v>
      </c>
      <c r="J238" s="7" t="s">
        <v>627</v>
      </c>
      <c r="K238" s="1" t="s">
        <v>270</v>
      </c>
      <c r="L238" s="1">
        <v>1</v>
      </c>
      <c r="M238" s="1" t="s">
        <v>97</v>
      </c>
      <c r="N238" s="1" t="s">
        <v>63</v>
      </c>
      <c r="O238" s="1">
        <v>48380.95</v>
      </c>
      <c r="P238" s="1">
        <v>3</v>
      </c>
      <c r="Q238" s="1" t="s">
        <v>72</v>
      </c>
    </row>
    <row r="239" spans="1:17">
      <c r="A239" s="1" t="s">
        <v>646</v>
      </c>
      <c r="B239" s="1" t="s">
        <v>114</v>
      </c>
      <c r="C239" s="1">
        <v>88</v>
      </c>
      <c r="D239" s="1" t="s">
        <v>19</v>
      </c>
      <c r="E239" s="1" t="s">
        <v>137</v>
      </c>
      <c r="F239" s="1" t="s">
        <v>33</v>
      </c>
      <c r="G239" s="1" t="s">
        <v>68</v>
      </c>
      <c r="H239" s="1" t="s">
        <v>23</v>
      </c>
      <c r="I239" s="1" t="s">
        <v>24</v>
      </c>
      <c r="J239" s="7" t="s">
        <v>647</v>
      </c>
      <c r="K239" s="1" t="s">
        <v>25</v>
      </c>
      <c r="L239" s="1">
        <v>1</v>
      </c>
      <c r="M239" s="1" t="s">
        <v>97</v>
      </c>
      <c r="N239" s="1" t="s">
        <v>57</v>
      </c>
      <c r="O239" s="1">
        <v>17142.27</v>
      </c>
      <c r="P239" s="1">
        <v>5</v>
      </c>
      <c r="Q239" s="1" t="s">
        <v>40</v>
      </c>
    </row>
    <row r="240" spans="1:17">
      <c r="A240" s="1" t="s">
        <v>648</v>
      </c>
      <c r="B240" s="1" t="s">
        <v>285</v>
      </c>
      <c r="C240" s="1">
        <v>3</v>
      </c>
      <c r="D240" s="1" t="s">
        <v>43</v>
      </c>
      <c r="E240" s="1" t="s">
        <v>117</v>
      </c>
      <c r="F240" s="1" t="s">
        <v>52</v>
      </c>
      <c r="G240" s="1" t="s">
        <v>22</v>
      </c>
      <c r="H240" s="1" t="s">
        <v>69</v>
      </c>
      <c r="I240" s="1" t="s">
        <v>62</v>
      </c>
      <c r="J240" s="7" t="s">
        <v>649</v>
      </c>
      <c r="K240" s="1" t="s">
        <v>251</v>
      </c>
      <c r="L240" s="1">
        <v>4</v>
      </c>
      <c r="M240" s="1" t="s">
        <v>27</v>
      </c>
      <c r="N240" s="1" t="s">
        <v>28</v>
      </c>
      <c r="O240" s="1">
        <v>15322.73</v>
      </c>
      <c r="P240" s="1">
        <v>5</v>
      </c>
      <c r="Q240" s="1" t="s">
        <v>40</v>
      </c>
    </row>
    <row r="241" spans="1:17">
      <c r="A241" s="1" t="s">
        <v>650</v>
      </c>
      <c r="B241" s="1" t="s">
        <v>565</v>
      </c>
      <c r="C241" s="1">
        <v>57</v>
      </c>
      <c r="D241" s="1" t="s">
        <v>43</v>
      </c>
      <c r="E241" s="1" t="s">
        <v>66</v>
      </c>
      <c r="F241" s="1" t="s">
        <v>120</v>
      </c>
      <c r="G241" s="1" t="s">
        <v>132</v>
      </c>
      <c r="H241" s="1" t="s">
        <v>35</v>
      </c>
      <c r="I241" s="1" t="s">
        <v>24</v>
      </c>
      <c r="J241" s="7">
        <v>45871</v>
      </c>
      <c r="K241" s="2">
        <v>45902</v>
      </c>
      <c r="L241" s="1">
        <v>1</v>
      </c>
      <c r="M241" s="1" t="s">
        <v>38</v>
      </c>
      <c r="N241" s="1" t="s">
        <v>28</v>
      </c>
      <c r="O241" s="1">
        <v>66513.039999999994</v>
      </c>
      <c r="P241" s="1">
        <v>5</v>
      </c>
      <c r="Q241" s="1" t="s">
        <v>29</v>
      </c>
    </row>
    <row r="242" spans="1:17">
      <c r="A242" s="1" t="s">
        <v>651</v>
      </c>
      <c r="B242" s="1" t="s">
        <v>65</v>
      </c>
      <c r="C242" s="1">
        <v>16</v>
      </c>
      <c r="D242" s="1" t="s">
        <v>19</v>
      </c>
      <c r="E242" s="1" t="s">
        <v>137</v>
      </c>
      <c r="F242" s="1" t="s">
        <v>52</v>
      </c>
      <c r="G242" s="1" t="s">
        <v>22</v>
      </c>
      <c r="H242" s="1" t="s">
        <v>105</v>
      </c>
      <c r="I242" s="1" t="s">
        <v>24</v>
      </c>
      <c r="J242" s="7">
        <v>45444</v>
      </c>
      <c r="K242" s="2">
        <v>45597</v>
      </c>
      <c r="L242" s="1">
        <v>5</v>
      </c>
      <c r="M242" s="1" t="s">
        <v>56</v>
      </c>
      <c r="N242" s="1" t="s">
        <v>85</v>
      </c>
      <c r="O242" s="1">
        <v>27333.86</v>
      </c>
      <c r="P242" s="1">
        <v>5</v>
      </c>
      <c r="Q242" s="1" t="s">
        <v>29</v>
      </c>
    </row>
    <row r="243" spans="1:17">
      <c r="A243" s="1" t="s">
        <v>652</v>
      </c>
      <c r="B243" s="1" t="s">
        <v>515</v>
      </c>
      <c r="C243" s="1">
        <v>29</v>
      </c>
      <c r="D243" s="1" t="s">
        <v>27</v>
      </c>
      <c r="E243" s="1" t="s">
        <v>32</v>
      </c>
      <c r="F243" s="1" t="s">
        <v>21</v>
      </c>
      <c r="G243" s="1" t="s">
        <v>34</v>
      </c>
      <c r="H243" s="1" t="s">
        <v>23</v>
      </c>
      <c r="I243" s="1" t="s">
        <v>24</v>
      </c>
      <c r="J243" s="7" t="s">
        <v>653</v>
      </c>
      <c r="K243" s="1" t="s">
        <v>508</v>
      </c>
      <c r="L243" s="1">
        <v>1</v>
      </c>
      <c r="M243" s="1" t="s">
        <v>27</v>
      </c>
      <c r="N243" s="1" t="s">
        <v>57</v>
      </c>
      <c r="O243" s="1">
        <v>77400.86</v>
      </c>
      <c r="P243" s="1">
        <v>3</v>
      </c>
      <c r="Q243" s="1" t="s">
        <v>40</v>
      </c>
    </row>
    <row r="244" spans="1:17">
      <c r="A244" s="1" t="s">
        <v>654</v>
      </c>
      <c r="B244" s="1" t="s">
        <v>437</v>
      </c>
      <c r="C244" s="1">
        <v>46</v>
      </c>
      <c r="D244" s="1" t="s">
        <v>19</v>
      </c>
      <c r="E244" s="1" t="s">
        <v>44</v>
      </c>
      <c r="F244" s="1" t="s">
        <v>21</v>
      </c>
      <c r="G244" s="1" t="s">
        <v>22</v>
      </c>
      <c r="H244" s="1" t="s">
        <v>61</v>
      </c>
      <c r="I244" s="1" t="s">
        <v>24</v>
      </c>
      <c r="J244" s="7" t="s">
        <v>181</v>
      </c>
      <c r="K244" s="1" t="s">
        <v>649</v>
      </c>
      <c r="L244" s="1">
        <v>2</v>
      </c>
      <c r="M244" s="1" t="s">
        <v>27</v>
      </c>
      <c r="N244" s="1" t="s">
        <v>82</v>
      </c>
      <c r="O244" s="1">
        <v>35198.370000000003</v>
      </c>
      <c r="P244" s="1">
        <v>4</v>
      </c>
      <c r="Q244" s="1" t="s">
        <v>40</v>
      </c>
    </row>
    <row r="245" spans="1:17">
      <c r="A245" s="1" t="s">
        <v>655</v>
      </c>
      <c r="B245" s="1" t="s">
        <v>656</v>
      </c>
      <c r="C245" s="1">
        <v>55</v>
      </c>
      <c r="D245" s="1" t="s">
        <v>19</v>
      </c>
      <c r="E245" s="1" t="s">
        <v>159</v>
      </c>
      <c r="F245" s="1" t="s">
        <v>33</v>
      </c>
      <c r="G245" s="1" t="s">
        <v>36</v>
      </c>
      <c r="H245" s="1" t="s">
        <v>105</v>
      </c>
      <c r="I245" s="1" t="s">
        <v>62</v>
      </c>
      <c r="J245" s="7">
        <v>45413</v>
      </c>
      <c r="K245" s="2">
        <v>45474</v>
      </c>
      <c r="L245" s="1">
        <v>2</v>
      </c>
      <c r="M245" s="1" t="s">
        <v>38</v>
      </c>
      <c r="N245" s="1" t="s">
        <v>57</v>
      </c>
      <c r="O245" s="1">
        <v>73328.03</v>
      </c>
      <c r="P245" s="1">
        <v>3</v>
      </c>
      <c r="Q245" s="1" t="s">
        <v>72</v>
      </c>
    </row>
    <row r="246" spans="1:17">
      <c r="A246" s="1" t="s">
        <v>657</v>
      </c>
      <c r="B246" s="1" t="s">
        <v>409</v>
      </c>
      <c r="C246" s="1">
        <v>23</v>
      </c>
      <c r="D246" s="1" t="s">
        <v>27</v>
      </c>
      <c r="E246" s="1" t="s">
        <v>51</v>
      </c>
      <c r="F246" s="1" t="s">
        <v>52</v>
      </c>
      <c r="G246" s="1" t="s">
        <v>110</v>
      </c>
      <c r="H246" s="1" t="s">
        <v>23</v>
      </c>
      <c r="I246" s="1" t="s">
        <v>36</v>
      </c>
      <c r="J246" s="7" t="s">
        <v>243</v>
      </c>
      <c r="K246" s="1" t="s">
        <v>473</v>
      </c>
      <c r="L246" s="1">
        <v>10</v>
      </c>
      <c r="M246" s="1" t="s">
        <v>27</v>
      </c>
      <c r="N246" s="1" t="s">
        <v>90</v>
      </c>
      <c r="O246" s="1">
        <v>61245.67</v>
      </c>
      <c r="P246" s="1">
        <v>4</v>
      </c>
      <c r="Q246" s="1" t="s">
        <v>58</v>
      </c>
    </row>
    <row r="247" spans="1:17">
      <c r="A247" s="1" t="s">
        <v>658</v>
      </c>
      <c r="B247" s="1" t="s">
        <v>659</v>
      </c>
      <c r="C247" s="1">
        <v>76</v>
      </c>
      <c r="D247" s="1" t="s">
        <v>19</v>
      </c>
      <c r="E247" s="1" t="s">
        <v>66</v>
      </c>
      <c r="F247" s="1" t="s">
        <v>33</v>
      </c>
      <c r="G247" s="1" t="s">
        <v>104</v>
      </c>
      <c r="H247" s="1" t="s">
        <v>35</v>
      </c>
      <c r="I247" s="1" t="s">
        <v>24</v>
      </c>
      <c r="J247" s="7">
        <v>45475</v>
      </c>
      <c r="K247" s="2">
        <v>45537</v>
      </c>
      <c r="L247" s="1">
        <v>2</v>
      </c>
      <c r="M247" s="1" t="s">
        <v>27</v>
      </c>
      <c r="N247" s="1" t="s">
        <v>28</v>
      </c>
      <c r="O247" s="1">
        <v>38704.76</v>
      </c>
      <c r="P247" s="1">
        <v>3</v>
      </c>
      <c r="Q247" s="1" t="s">
        <v>58</v>
      </c>
    </row>
    <row r="248" spans="1:17">
      <c r="A248" s="1" t="s">
        <v>660</v>
      </c>
      <c r="B248" s="1" t="s">
        <v>453</v>
      </c>
      <c r="C248" s="1">
        <v>47</v>
      </c>
      <c r="D248" s="1" t="s">
        <v>27</v>
      </c>
      <c r="E248" s="1" t="s">
        <v>159</v>
      </c>
      <c r="F248" s="1" t="s">
        <v>120</v>
      </c>
      <c r="G248" s="1" t="s">
        <v>110</v>
      </c>
      <c r="H248" s="1" t="s">
        <v>23</v>
      </c>
      <c r="I248" s="1" t="s">
        <v>36</v>
      </c>
      <c r="J248" s="7">
        <v>45597</v>
      </c>
      <c r="K248" s="1" t="s">
        <v>661</v>
      </c>
      <c r="L248" s="1">
        <v>2</v>
      </c>
      <c r="M248" s="1" t="s">
        <v>56</v>
      </c>
      <c r="N248" s="1" t="s">
        <v>39</v>
      </c>
      <c r="O248" s="1">
        <v>29884.48</v>
      </c>
      <c r="P248" s="1">
        <v>4</v>
      </c>
      <c r="Q248" s="1" t="s">
        <v>58</v>
      </c>
    </row>
    <row r="249" spans="1:17">
      <c r="A249" s="1" t="s">
        <v>662</v>
      </c>
      <c r="B249" s="1" t="s">
        <v>31</v>
      </c>
      <c r="C249" s="1">
        <v>30</v>
      </c>
      <c r="D249" s="1" t="s">
        <v>19</v>
      </c>
      <c r="E249" s="1" t="s">
        <v>51</v>
      </c>
      <c r="F249" s="1" t="s">
        <v>52</v>
      </c>
      <c r="G249" s="1" t="s">
        <v>53</v>
      </c>
      <c r="H249" s="1" t="s">
        <v>76</v>
      </c>
      <c r="I249" s="1" t="s">
        <v>62</v>
      </c>
      <c r="J249" s="7" t="s">
        <v>663</v>
      </c>
      <c r="K249" s="1" t="s">
        <v>139</v>
      </c>
      <c r="L249" s="1">
        <v>2</v>
      </c>
      <c r="M249" s="1" t="s">
        <v>38</v>
      </c>
      <c r="N249" s="1" t="s">
        <v>90</v>
      </c>
      <c r="O249" s="1">
        <v>74482.820000000007</v>
      </c>
      <c r="P249" s="1">
        <v>2</v>
      </c>
      <c r="Q249" s="1" t="s">
        <v>29</v>
      </c>
    </row>
    <row r="250" spans="1:17">
      <c r="A250" s="1" t="s">
        <v>664</v>
      </c>
      <c r="B250" s="1" t="s">
        <v>183</v>
      </c>
      <c r="C250" s="1">
        <v>49</v>
      </c>
      <c r="D250" s="1" t="s">
        <v>27</v>
      </c>
      <c r="E250" s="1" t="s">
        <v>247</v>
      </c>
      <c r="F250" s="1" t="s">
        <v>120</v>
      </c>
      <c r="G250" s="1" t="s">
        <v>22</v>
      </c>
      <c r="H250" s="1" t="s">
        <v>23</v>
      </c>
      <c r="I250" s="1" t="s">
        <v>62</v>
      </c>
      <c r="J250" s="7" t="s">
        <v>665</v>
      </c>
      <c r="K250" s="1" t="s">
        <v>458</v>
      </c>
      <c r="L250" s="1">
        <v>5</v>
      </c>
      <c r="M250" s="1" t="s">
        <v>97</v>
      </c>
      <c r="N250" s="1" t="s">
        <v>90</v>
      </c>
      <c r="O250" s="1">
        <v>30365.81</v>
      </c>
      <c r="P250" s="1">
        <v>5</v>
      </c>
      <c r="Q250" s="1" t="s">
        <v>72</v>
      </c>
    </row>
    <row r="251" spans="1:17">
      <c r="A251" s="1" t="s">
        <v>666</v>
      </c>
      <c r="B251" s="1" t="s">
        <v>109</v>
      </c>
      <c r="C251" s="1">
        <v>65</v>
      </c>
      <c r="D251" s="1" t="s">
        <v>19</v>
      </c>
      <c r="E251" s="1" t="s">
        <v>20</v>
      </c>
      <c r="F251" s="1" t="s">
        <v>33</v>
      </c>
      <c r="G251" s="1" t="s">
        <v>68</v>
      </c>
      <c r="H251" s="1" t="s">
        <v>61</v>
      </c>
      <c r="I251" s="1" t="s">
        <v>62</v>
      </c>
      <c r="J251" s="7" t="s">
        <v>667</v>
      </c>
      <c r="K251" s="1" t="s">
        <v>147</v>
      </c>
      <c r="L251" s="1">
        <v>2</v>
      </c>
      <c r="M251" s="1" t="s">
        <v>48</v>
      </c>
      <c r="N251" s="1" t="s">
        <v>57</v>
      </c>
      <c r="O251" s="1">
        <v>22967.55</v>
      </c>
      <c r="P251" s="1">
        <v>3</v>
      </c>
      <c r="Q251" s="1" t="s">
        <v>58</v>
      </c>
    </row>
    <row r="252" spans="1:17">
      <c r="A252" s="1" t="s">
        <v>668</v>
      </c>
      <c r="B252" s="1" t="s">
        <v>636</v>
      </c>
      <c r="C252" s="1">
        <v>62</v>
      </c>
      <c r="D252" s="1" t="s">
        <v>19</v>
      </c>
      <c r="E252" s="1" t="s">
        <v>44</v>
      </c>
      <c r="F252" s="1" t="s">
        <v>21</v>
      </c>
      <c r="G252" s="1" t="s">
        <v>132</v>
      </c>
      <c r="H252" s="1" t="s">
        <v>99</v>
      </c>
      <c r="I252" s="1" t="s">
        <v>36</v>
      </c>
      <c r="J252" s="7" t="s">
        <v>623</v>
      </c>
      <c r="K252" s="2">
        <v>45697</v>
      </c>
      <c r="L252" s="1">
        <v>6</v>
      </c>
      <c r="M252" s="1" t="s">
        <v>56</v>
      </c>
      <c r="N252" s="1" t="s">
        <v>82</v>
      </c>
      <c r="O252" s="1">
        <v>21335.61</v>
      </c>
      <c r="P252" s="1">
        <v>4</v>
      </c>
      <c r="Q252" s="1" t="s">
        <v>29</v>
      </c>
    </row>
    <row r="253" spans="1:17">
      <c r="A253" s="1" t="s">
        <v>669</v>
      </c>
      <c r="B253" s="1" t="s">
        <v>670</v>
      </c>
      <c r="C253" s="1">
        <v>67</v>
      </c>
      <c r="D253" s="1" t="s">
        <v>43</v>
      </c>
      <c r="E253" s="1" t="s">
        <v>66</v>
      </c>
      <c r="F253" s="1" t="s">
        <v>21</v>
      </c>
      <c r="G253" s="1" t="s">
        <v>68</v>
      </c>
      <c r="H253" s="1" t="s">
        <v>45</v>
      </c>
      <c r="I253" s="1" t="s">
        <v>62</v>
      </c>
      <c r="J253" s="7">
        <v>45786</v>
      </c>
      <c r="K253" s="2">
        <v>45939</v>
      </c>
      <c r="L253" s="1">
        <v>5</v>
      </c>
      <c r="M253" s="1" t="s">
        <v>27</v>
      </c>
      <c r="N253" s="1" t="s">
        <v>85</v>
      </c>
      <c r="O253" s="1">
        <v>27811.32</v>
      </c>
      <c r="P253" s="1">
        <v>4</v>
      </c>
      <c r="Q253" s="1" t="s">
        <v>29</v>
      </c>
    </row>
    <row r="254" spans="1:17">
      <c r="A254" s="1" t="s">
        <v>671</v>
      </c>
      <c r="B254" s="1" t="s">
        <v>381</v>
      </c>
      <c r="C254" s="1">
        <v>80</v>
      </c>
      <c r="D254" s="1" t="s">
        <v>27</v>
      </c>
      <c r="E254" s="1" t="s">
        <v>32</v>
      </c>
      <c r="F254" s="1" t="s">
        <v>75</v>
      </c>
      <c r="G254" s="1" t="s">
        <v>104</v>
      </c>
      <c r="H254" s="1" t="s">
        <v>69</v>
      </c>
      <c r="I254" s="1" t="s">
        <v>36</v>
      </c>
      <c r="J254" s="7">
        <v>45844</v>
      </c>
      <c r="K254" s="2">
        <v>45875</v>
      </c>
      <c r="L254" s="1">
        <v>1</v>
      </c>
      <c r="M254" s="1" t="s">
        <v>27</v>
      </c>
      <c r="N254" s="1" t="s">
        <v>39</v>
      </c>
      <c r="O254" s="1">
        <v>55113.51</v>
      </c>
      <c r="P254" s="1">
        <v>3</v>
      </c>
      <c r="Q254" s="1" t="s">
        <v>58</v>
      </c>
    </row>
    <row r="255" spans="1:17">
      <c r="A255" s="1" t="s">
        <v>672</v>
      </c>
      <c r="B255" s="1" t="s">
        <v>636</v>
      </c>
      <c r="C255" s="1">
        <v>20</v>
      </c>
      <c r="D255" s="1" t="s">
        <v>27</v>
      </c>
      <c r="E255" s="1" t="s">
        <v>137</v>
      </c>
      <c r="F255" s="1" t="s">
        <v>67</v>
      </c>
      <c r="G255" s="1" t="s">
        <v>34</v>
      </c>
      <c r="H255" s="1" t="s">
        <v>23</v>
      </c>
      <c r="I255" s="1" t="s">
        <v>62</v>
      </c>
      <c r="J255" s="7">
        <v>45508</v>
      </c>
      <c r="K255" s="2">
        <v>45630</v>
      </c>
      <c r="L255" s="1">
        <v>4</v>
      </c>
      <c r="M255" s="1" t="s">
        <v>38</v>
      </c>
      <c r="N255" s="1" t="s">
        <v>39</v>
      </c>
      <c r="O255" s="1">
        <v>63646.93</v>
      </c>
      <c r="P255" s="1">
        <v>4</v>
      </c>
      <c r="Q255" s="1" t="s">
        <v>72</v>
      </c>
    </row>
    <row r="256" spans="1:17">
      <c r="A256" s="1" t="s">
        <v>673</v>
      </c>
      <c r="B256" s="1" t="s">
        <v>674</v>
      </c>
      <c r="C256" s="1">
        <v>90</v>
      </c>
      <c r="D256" s="1" t="s">
        <v>27</v>
      </c>
      <c r="E256" s="1" t="s">
        <v>117</v>
      </c>
      <c r="F256" s="1" t="s">
        <v>67</v>
      </c>
      <c r="G256" s="1" t="s">
        <v>22</v>
      </c>
      <c r="H256" s="1" t="s">
        <v>76</v>
      </c>
      <c r="I256" s="1" t="s">
        <v>24</v>
      </c>
      <c r="J256" s="7" t="s">
        <v>89</v>
      </c>
      <c r="K256" s="1" t="s">
        <v>675</v>
      </c>
      <c r="L256" s="1">
        <v>8</v>
      </c>
      <c r="M256" s="1" t="s">
        <v>97</v>
      </c>
      <c r="N256" s="1" t="s">
        <v>82</v>
      </c>
      <c r="O256" s="1">
        <v>27216.83</v>
      </c>
      <c r="P256" s="1">
        <v>4</v>
      </c>
      <c r="Q256" s="1" t="s">
        <v>29</v>
      </c>
    </row>
    <row r="257" spans="1:17">
      <c r="A257" s="1" t="s">
        <v>676</v>
      </c>
      <c r="B257" s="1" t="s">
        <v>285</v>
      </c>
      <c r="C257" s="1">
        <v>1</v>
      </c>
      <c r="D257" s="1" t="s">
        <v>27</v>
      </c>
      <c r="E257" s="1" t="s">
        <v>66</v>
      </c>
      <c r="F257" s="1" t="s">
        <v>33</v>
      </c>
      <c r="G257" s="1" t="s">
        <v>36</v>
      </c>
      <c r="H257" s="1" t="s">
        <v>61</v>
      </c>
      <c r="I257" s="1" t="s">
        <v>24</v>
      </c>
      <c r="J257" s="7">
        <v>45505</v>
      </c>
      <c r="K257" s="2">
        <v>45627</v>
      </c>
      <c r="L257" s="1">
        <v>4</v>
      </c>
      <c r="M257" s="1" t="s">
        <v>27</v>
      </c>
      <c r="N257" s="1" t="s">
        <v>82</v>
      </c>
      <c r="O257" s="1">
        <v>62206.97</v>
      </c>
      <c r="P257" s="1">
        <v>3</v>
      </c>
      <c r="Q257" s="1" t="s">
        <v>40</v>
      </c>
    </row>
    <row r="258" spans="1:17">
      <c r="A258" s="1" t="s">
        <v>677</v>
      </c>
      <c r="B258" s="1" t="s">
        <v>613</v>
      </c>
      <c r="C258" s="1">
        <v>69</v>
      </c>
      <c r="D258" s="1" t="s">
        <v>43</v>
      </c>
      <c r="E258" s="1" t="s">
        <v>247</v>
      </c>
      <c r="F258" s="1" t="s">
        <v>67</v>
      </c>
      <c r="G258" s="1" t="s">
        <v>36</v>
      </c>
      <c r="H258" s="1" t="s">
        <v>61</v>
      </c>
      <c r="I258" s="1" t="s">
        <v>24</v>
      </c>
      <c r="J258" s="7">
        <v>45665</v>
      </c>
      <c r="K258" s="2">
        <v>45816</v>
      </c>
      <c r="L258" s="1">
        <v>5</v>
      </c>
      <c r="M258" s="1" t="s">
        <v>97</v>
      </c>
      <c r="N258" s="1" t="s">
        <v>82</v>
      </c>
      <c r="O258" s="1">
        <v>42165.66</v>
      </c>
      <c r="P258" s="1">
        <v>5</v>
      </c>
      <c r="Q258" s="1" t="s">
        <v>40</v>
      </c>
    </row>
    <row r="259" spans="1:17">
      <c r="A259" s="1" t="s">
        <v>678</v>
      </c>
      <c r="B259" s="1" t="s">
        <v>234</v>
      </c>
      <c r="C259" s="1">
        <v>74</v>
      </c>
      <c r="D259" s="1" t="s">
        <v>43</v>
      </c>
      <c r="E259" s="1" t="s">
        <v>20</v>
      </c>
      <c r="F259" s="1" t="s">
        <v>67</v>
      </c>
      <c r="G259" s="1" t="s">
        <v>22</v>
      </c>
      <c r="H259" s="1" t="s">
        <v>61</v>
      </c>
      <c r="I259" s="1" t="s">
        <v>62</v>
      </c>
      <c r="J259" s="7" t="s">
        <v>679</v>
      </c>
      <c r="K259" s="1" t="s">
        <v>680</v>
      </c>
      <c r="L259" s="1">
        <v>7</v>
      </c>
      <c r="M259" s="1" t="s">
        <v>38</v>
      </c>
      <c r="N259" s="1" t="s">
        <v>39</v>
      </c>
      <c r="O259" s="1">
        <v>44601.43</v>
      </c>
      <c r="P259" s="1">
        <v>4</v>
      </c>
      <c r="Q259" s="1" t="s">
        <v>72</v>
      </c>
    </row>
    <row r="260" spans="1:17">
      <c r="A260" s="1" t="s">
        <v>681</v>
      </c>
      <c r="B260" s="1" t="s">
        <v>116</v>
      </c>
      <c r="C260" s="1">
        <v>21</v>
      </c>
      <c r="D260" s="1" t="s">
        <v>43</v>
      </c>
      <c r="E260" s="1" t="s">
        <v>32</v>
      </c>
      <c r="F260" s="1" t="s">
        <v>67</v>
      </c>
      <c r="G260" s="1" t="s">
        <v>104</v>
      </c>
      <c r="H260" s="1" t="s">
        <v>69</v>
      </c>
      <c r="I260" s="1" t="s">
        <v>36</v>
      </c>
      <c r="J260" s="7" t="s">
        <v>77</v>
      </c>
      <c r="K260" s="1" t="s">
        <v>399</v>
      </c>
      <c r="L260" s="1">
        <v>9</v>
      </c>
      <c r="M260" s="1" t="s">
        <v>97</v>
      </c>
      <c r="N260" s="1" t="s">
        <v>57</v>
      </c>
      <c r="O260" s="1">
        <v>54728.19</v>
      </c>
      <c r="P260" s="1">
        <v>2</v>
      </c>
      <c r="Q260" s="1" t="s">
        <v>40</v>
      </c>
    </row>
    <row r="261" spans="1:17">
      <c r="A261" s="1" t="s">
        <v>682</v>
      </c>
      <c r="B261" s="1" t="s">
        <v>603</v>
      </c>
      <c r="C261" s="1">
        <v>77</v>
      </c>
      <c r="D261" s="1" t="s">
        <v>19</v>
      </c>
      <c r="E261" s="1" t="s">
        <v>44</v>
      </c>
      <c r="F261" s="1" t="s">
        <v>21</v>
      </c>
      <c r="G261" s="1" t="s">
        <v>68</v>
      </c>
      <c r="H261" s="1" t="s">
        <v>61</v>
      </c>
      <c r="I261" s="1" t="s">
        <v>24</v>
      </c>
      <c r="J261" s="7" t="s">
        <v>420</v>
      </c>
      <c r="K261" s="2">
        <v>45329</v>
      </c>
      <c r="L261" s="1">
        <v>4</v>
      </c>
      <c r="M261" s="1" t="s">
        <v>48</v>
      </c>
      <c r="N261" s="1" t="s">
        <v>82</v>
      </c>
      <c r="O261" s="1">
        <v>14453.48</v>
      </c>
      <c r="P261" s="1">
        <v>4</v>
      </c>
      <c r="Q261" s="1" t="s">
        <v>29</v>
      </c>
    </row>
    <row r="262" spans="1:17">
      <c r="A262" s="1" t="s">
        <v>683</v>
      </c>
      <c r="B262" s="1" t="s">
        <v>515</v>
      </c>
      <c r="C262" s="1">
        <v>84</v>
      </c>
      <c r="D262" s="1" t="s">
        <v>19</v>
      </c>
      <c r="E262" s="1" t="s">
        <v>51</v>
      </c>
      <c r="F262" s="1" t="s">
        <v>67</v>
      </c>
      <c r="G262" s="1" t="s">
        <v>132</v>
      </c>
      <c r="H262" s="1" t="s">
        <v>23</v>
      </c>
      <c r="I262" s="1" t="s">
        <v>62</v>
      </c>
      <c r="J262" s="7">
        <v>45571</v>
      </c>
      <c r="K262" s="1" t="s">
        <v>630</v>
      </c>
      <c r="L262" s="1">
        <v>3</v>
      </c>
      <c r="M262" s="1" t="s">
        <v>38</v>
      </c>
      <c r="N262" s="1" t="s">
        <v>39</v>
      </c>
      <c r="O262" s="1">
        <v>13121.76</v>
      </c>
      <c r="P262" s="1">
        <v>5</v>
      </c>
      <c r="Q262" s="1" t="s">
        <v>40</v>
      </c>
    </row>
    <row r="263" spans="1:17">
      <c r="A263" s="1" t="s">
        <v>684</v>
      </c>
      <c r="B263" s="1" t="s">
        <v>79</v>
      </c>
      <c r="C263" s="1">
        <v>29</v>
      </c>
      <c r="D263" s="1" t="s">
        <v>27</v>
      </c>
      <c r="E263" s="1" t="s">
        <v>51</v>
      </c>
      <c r="F263" s="1" t="s">
        <v>67</v>
      </c>
      <c r="G263" s="1" t="s">
        <v>22</v>
      </c>
      <c r="H263" s="1" t="s">
        <v>23</v>
      </c>
      <c r="I263" s="1" t="s">
        <v>62</v>
      </c>
      <c r="J263" s="7" t="s">
        <v>415</v>
      </c>
      <c r="K263" s="1" t="s">
        <v>685</v>
      </c>
      <c r="L263" s="1">
        <v>2</v>
      </c>
      <c r="M263" s="1" t="s">
        <v>97</v>
      </c>
      <c r="N263" s="1" t="s">
        <v>57</v>
      </c>
      <c r="O263" s="1">
        <v>17284.18</v>
      </c>
      <c r="P263" s="1">
        <v>3</v>
      </c>
      <c r="Q263" s="1" t="s">
        <v>58</v>
      </c>
    </row>
    <row r="264" spans="1:17">
      <c r="A264" s="1" t="s">
        <v>686</v>
      </c>
      <c r="B264" s="1" t="s">
        <v>391</v>
      </c>
      <c r="C264" s="1">
        <v>32</v>
      </c>
      <c r="D264" s="1" t="s">
        <v>43</v>
      </c>
      <c r="E264" s="1" t="s">
        <v>247</v>
      </c>
      <c r="F264" s="1" t="s">
        <v>33</v>
      </c>
      <c r="G264" s="1" t="s">
        <v>34</v>
      </c>
      <c r="H264" s="1" t="s">
        <v>93</v>
      </c>
      <c r="I264" s="1" t="s">
        <v>62</v>
      </c>
      <c r="J264" s="7" t="s">
        <v>70</v>
      </c>
      <c r="K264" s="1" t="s">
        <v>100</v>
      </c>
      <c r="L264" s="1">
        <v>4</v>
      </c>
      <c r="M264" s="1" t="s">
        <v>27</v>
      </c>
      <c r="N264" s="1" t="s">
        <v>90</v>
      </c>
      <c r="O264" s="1">
        <v>25830.720000000001</v>
      </c>
      <c r="P264" s="1">
        <v>4</v>
      </c>
      <c r="Q264" s="1" t="s">
        <v>72</v>
      </c>
    </row>
    <row r="265" spans="1:17">
      <c r="A265" s="1" t="s">
        <v>687</v>
      </c>
      <c r="B265" s="1" t="s">
        <v>688</v>
      </c>
      <c r="C265" s="1">
        <v>90</v>
      </c>
      <c r="D265" s="1" t="s">
        <v>43</v>
      </c>
      <c r="E265" s="1" t="s">
        <v>66</v>
      </c>
      <c r="F265" s="1" t="s">
        <v>52</v>
      </c>
      <c r="G265" s="1" t="s">
        <v>53</v>
      </c>
      <c r="H265" s="1" t="s">
        <v>45</v>
      </c>
      <c r="I265" s="1" t="s">
        <v>24</v>
      </c>
      <c r="J265" s="7">
        <v>45605</v>
      </c>
      <c r="K265" s="2">
        <v>45635</v>
      </c>
      <c r="L265" s="1">
        <v>1</v>
      </c>
      <c r="M265" s="1" t="s">
        <v>56</v>
      </c>
      <c r="N265" s="1" t="s">
        <v>57</v>
      </c>
      <c r="O265" s="1">
        <v>71409.31</v>
      </c>
      <c r="P265" s="1">
        <v>3</v>
      </c>
      <c r="Q265" s="1" t="s">
        <v>29</v>
      </c>
    </row>
    <row r="266" spans="1:17">
      <c r="A266" s="1" t="s">
        <v>689</v>
      </c>
      <c r="B266" s="1" t="s">
        <v>264</v>
      </c>
      <c r="C266" s="1">
        <v>31</v>
      </c>
      <c r="D266" s="1" t="s">
        <v>27</v>
      </c>
      <c r="E266" s="1" t="s">
        <v>159</v>
      </c>
      <c r="F266" s="1" t="s">
        <v>67</v>
      </c>
      <c r="G266" s="1" t="s">
        <v>132</v>
      </c>
      <c r="H266" s="1" t="s">
        <v>69</v>
      </c>
      <c r="I266" s="1" t="s">
        <v>36</v>
      </c>
      <c r="J266" s="7">
        <v>45391</v>
      </c>
      <c r="K266" s="2">
        <v>45452</v>
      </c>
      <c r="L266" s="1">
        <v>2</v>
      </c>
      <c r="M266" s="1" t="s">
        <v>27</v>
      </c>
      <c r="N266" s="1" t="s">
        <v>28</v>
      </c>
      <c r="O266" s="1">
        <v>37990</v>
      </c>
      <c r="P266" s="1">
        <v>5</v>
      </c>
      <c r="Q266" s="1" t="s">
        <v>58</v>
      </c>
    </row>
    <row r="267" spans="1:17">
      <c r="A267" s="1" t="s">
        <v>690</v>
      </c>
      <c r="B267" s="1" t="s">
        <v>74</v>
      </c>
      <c r="C267" s="1">
        <v>48</v>
      </c>
      <c r="D267" s="1" t="s">
        <v>27</v>
      </c>
      <c r="E267" s="1" t="s">
        <v>137</v>
      </c>
      <c r="F267" s="1" t="s">
        <v>21</v>
      </c>
      <c r="G267" s="1" t="s">
        <v>68</v>
      </c>
      <c r="H267" s="1" t="s">
        <v>93</v>
      </c>
      <c r="I267" s="1" t="s">
        <v>24</v>
      </c>
      <c r="J267" s="7" t="s">
        <v>479</v>
      </c>
      <c r="K267" s="2">
        <v>45334</v>
      </c>
      <c r="L267" s="1">
        <v>14</v>
      </c>
      <c r="M267" s="1" t="s">
        <v>56</v>
      </c>
      <c r="N267" s="1" t="s">
        <v>28</v>
      </c>
      <c r="O267" s="1">
        <v>31687.06</v>
      </c>
      <c r="P267" s="1">
        <v>5</v>
      </c>
      <c r="Q267" s="1" t="s">
        <v>58</v>
      </c>
    </row>
    <row r="268" spans="1:17">
      <c r="A268" s="1" t="s">
        <v>691</v>
      </c>
      <c r="B268" s="1" t="s">
        <v>593</v>
      </c>
      <c r="C268" s="1">
        <v>62</v>
      </c>
      <c r="D268" s="1" t="s">
        <v>27</v>
      </c>
      <c r="E268" s="1" t="s">
        <v>20</v>
      </c>
      <c r="F268" s="1" t="s">
        <v>33</v>
      </c>
      <c r="G268" s="1" t="s">
        <v>110</v>
      </c>
      <c r="H268" s="1" t="s">
        <v>93</v>
      </c>
      <c r="I268" s="1" t="s">
        <v>24</v>
      </c>
      <c r="J268" s="7">
        <v>45353</v>
      </c>
      <c r="K268" s="2">
        <v>45445</v>
      </c>
      <c r="L268" s="1">
        <v>3</v>
      </c>
      <c r="M268" s="1" t="s">
        <v>48</v>
      </c>
      <c r="N268" s="1" t="s">
        <v>82</v>
      </c>
      <c r="O268" s="1">
        <v>152280.01999999999</v>
      </c>
      <c r="P268" s="1">
        <v>4</v>
      </c>
      <c r="Q268" s="1" t="s">
        <v>40</v>
      </c>
    </row>
    <row r="269" spans="1:17">
      <c r="A269" s="1" t="s">
        <v>692</v>
      </c>
      <c r="B269" s="1" t="s">
        <v>693</v>
      </c>
      <c r="C269" s="1">
        <v>79</v>
      </c>
      <c r="D269" s="1" t="s">
        <v>43</v>
      </c>
      <c r="E269" s="1" t="s">
        <v>137</v>
      </c>
      <c r="F269" s="1" t="s">
        <v>120</v>
      </c>
      <c r="G269" s="1" t="s">
        <v>53</v>
      </c>
      <c r="H269" s="1" t="s">
        <v>88</v>
      </c>
      <c r="I269" s="1" t="s">
        <v>62</v>
      </c>
      <c r="J269" s="7">
        <v>45572</v>
      </c>
      <c r="K269" s="2">
        <v>45633</v>
      </c>
      <c r="L269" s="1">
        <v>2</v>
      </c>
      <c r="M269" s="1" t="s">
        <v>56</v>
      </c>
      <c r="N269" s="1" t="s">
        <v>90</v>
      </c>
      <c r="O269" s="1">
        <v>40211.980000000003</v>
      </c>
      <c r="P269" s="1">
        <v>4</v>
      </c>
      <c r="Q269" s="1" t="s">
        <v>29</v>
      </c>
    </row>
    <row r="270" spans="1:17">
      <c r="A270" s="1" t="s">
        <v>694</v>
      </c>
      <c r="B270" s="1" t="s">
        <v>169</v>
      </c>
      <c r="C270" s="1">
        <v>74</v>
      </c>
      <c r="D270" s="1" t="s">
        <v>27</v>
      </c>
      <c r="E270" s="1" t="s">
        <v>202</v>
      </c>
      <c r="F270" s="1" t="s">
        <v>21</v>
      </c>
      <c r="G270" s="1" t="s">
        <v>36</v>
      </c>
      <c r="H270" s="1" t="s">
        <v>76</v>
      </c>
      <c r="I270" s="1" t="s">
        <v>62</v>
      </c>
      <c r="J270" s="7" t="s">
        <v>617</v>
      </c>
      <c r="K270" s="1" t="s">
        <v>55</v>
      </c>
      <c r="L270" s="1">
        <v>7</v>
      </c>
      <c r="M270" s="1" t="s">
        <v>97</v>
      </c>
      <c r="N270" s="1" t="s">
        <v>85</v>
      </c>
      <c r="O270" s="1">
        <v>26312.61</v>
      </c>
      <c r="P270" s="1">
        <v>5</v>
      </c>
      <c r="Q270" s="1" t="s">
        <v>40</v>
      </c>
    </row>
    <row r="271" spans="1:17">
      <c r="A271" s="1" t="s">
        <v>695</v>
      </c>
      <c r="B271" s="1" t="s">
        <v>236</v>
      </c>
      <c r="C271" s="1">
        <v>63</v>
      </c>
      <c r="D271" s="1" t="s">
        <v>43</v>
      </c>
      <c r="E271" s="1" t="s">
        <v>117</v>
      </c>
      <c r="F271" s="1" t="s">
        <v>120</v>
      </c>
      <c r="G271" s="1" t="s">
        <v>132</v>
      </c>
      <c r="H271" s="1" t="s">
        <v>105</v>
      </c>
      <c r="I271" s="1" t="s">
        <v>62</v>
      </c>
      <c r="J271" s="7" t="s">
        <v>696</v>
      </c>
      <c r="K271" s="1" t="s">
        <v>697</v>
      </c>
      <c r="L271" s="1">
        <v>1</v>
      </c>
      <c r="M271" s="1" t="s">
        <v>27</v>
      </c>
      <c r="N271" s="1" t="s">
        <v>90</v>
      </c>
      <c r="O271" s="1">
        <v>46787.38</v>
      </c>
      <c r="P271" s="1">
        <v>4</v>
      </c>
      <c r="Q271" s="1" t="s">
        <v>40</v>
      </c>
    </row>
    <row r="272" spans="1:17">
      <c r="A272" s="1" t="s">
        <v>698</v>
      </c>
      <c r="B272" s="1" t="s">
        <v>699</v>
      </c>
      <c r="C272" s="1">
        <v>45</v>
      </c>
      <c r="D272" s="1" t="s">
        <v>19</v>
      </c>
      <c r="E272" s="1" t="s">
        <v>247</v>
      </c>
      <c r="F272" s="1" t="s">
        <v>120</v>
      </c>
      <c r="G272" s="1" t="s">
        <v>132</v>
      </c>
      <c r="H272" s="1" t="s">
        <v>69</v>
      </c>
      <c r="I272" s="1" t="s">
        <v>24</v>
      </c>
      <c r="J272" s="7" t="s">
        <v>700</v>
      </c>
      <c r="K272" s="1" t="s">
        <v>160</v>
      </c>
      <c r="L272" s="1">
        <v>3</v>
      </c>
      <c r="M272" s="1" t="s">
        <v>27</v>
      </c>
      <c r="N272" s="1" t="s">
        <v>57</v>
      </c>
      <c r="O272" s="1">
        <v>54040.3</v>
      </c>
      <c r="P272" s="1">
        <v>4</v>
      </c>
      <c r="Q272" s="1" t="s">
        <v>58</v>
      </c>
    </row>
    <row r="273" spans="1:17">
      <c r="A273" s="1" t="s">
        <v>701</v>
      </c>
      <c r="B273" s="1" t="s">
        <v>291</v>
      </c>
      <c r="C273" s="1">
        <v>11</v>
      </c>
      <c r="D273" s="1" t="s">
        <v>43</v>
      </c>
      <c r="E273" s="1" t="s">
        <v>66</v>
      </c>
      <c r="F273" s="1" t="s">
        <v>120</v>
      </c>
      <c r="G273" s="1" t="s">
        <v>110</v>
      </c>
      <c r="H273" s="1" t="s">
        <v>88</v>
      </c>
      <c r="I273" s="1" t="s">
        <v>36</v>
      </c>
      <c r="J273" s="7" t="s">
        <v>151</v>
      </c>
      <c r="K273" s="1" t="s">
        <v>604</v>
      </c>
      <c r="L273" s="1">
        <v>4</v>
      </c>
      <c r="M273" s="1" t="s">
        <v>38</v>
      </c>
      <c r="N273" s="1" t="s">
        <v>82</v>
      </c>
      <c r="O273" s="1">
        <v>74933.23</v>
      </c>
      <c r="P273" s="1">
        <v>4</v>
      </c>
      <c r="Q273" s="1" t="s">
        <v>40</v>
      </c>
    </row>
    <row r="274" spans="1:17">
      <c r="A274" s="1" t="s">
        <v>702</v>
      </c>
      <c r="B274" s="1" t="s">
        <v>190</v>
      </c>
      <c r="C274" s="1">
        <v>35</v>
      </c>
      <c r="D274" s="1" t="s">
        <v>27</v>
      </c>
      <c r="E274" s="1" t="s">
        <v>20</v>
      </c>
      <c r="F274" s="1" t="s">
        <v>52</v>
      </c>
      <c r="G274" s="1" t="s">
        <v>53</v>
      </c>
      <c r="H274" s="1" t="s">
        <v>69</v>
      </c>
      <c r="I274" s="1" t="s">
        <v>62</v>
      </c>
      <c r="J274" s="7" t="s">
        <v>399</v>
      </c>
      <c r="K274" s="1" t="s">
        <v>306</v>
      </c>
      <c r="L274" s="1">
        <v>2</v>
      </c>
      <c r="M274" s="1" t="s">
        <v>48</v>
      </c>
      <c r="N274" s="1" t="s">
        <v>85</v>
      </c>
      <c r="O274" s="1">
        <v>80308.429999999993</v>
      </c>
      <c r="P274" s="1">
        <v>3</v>
      </c>
      <c r="Q274" s="1" t="s">
        <v>29</v>
      </c>
    </row>
    <row r="275" spans="1:17">
      <c r="A275" s="1" t="s">
        <v>703</v>
      </c>
      <c r="B275" s="1" t="s">
        <v>208</v>
      </c>
      <c r="C275" s="1">
        <v>51</v>
      </c>
      <c r="D275" s="1" t="s">
        <v>19</v>
      </c>
      <c r="E275" s="1" t="s">
        <v>20</v>
      </c>
      <c r="F275" s="1" t="s">
        <v>21</v>
      </c>
      <c r="G275" s="1" t="s">
        <v>22</v>
      </c>
      <c r="H275" s="1" t="s">
        <v>45</v>
      </c>
      <c r="I275" s="1" t="s">
        <v>24</v>
      </c>
      <c r="J275" s="7">
        <v>45477</v>
      </c>
      <c r="K275" s="2">
        <v>45508</v>
      </c>
      <c r="L275" s="1">
        <v>1</v>
      </c>
      <c r="M275" s="1" t="s">
        <v>38</v>
      </c>
      <c r="N275" s="1" t="s">
        <v>57</v>
      </c>
      <c r="O275" s="1">
        <v>31159.02</v>
      </c>
      <c r="P275" s="1">
        <v>3</v>
      </c>
      <c r="Q275" s="1" t="s">
        <v>29</v>
      </c>
    </row>
    <row r="276" spans="1:17">
      <c r="A276" s="1" t="s">
        <v>704</v>
      </c>
      <c r="B276" s="1" t="s">
        <v>103</v>
      </c>
      <c r="C276" s="1">
        <v>17</v>
      </c>
      <c r="D276" s="1" t="s">
        <v>27</v>
      </c>
      <c r="E276" s="1" t="s">
        <v>66</v>
      </c>
      <c r="F276" s="1" t="s">
        <v>52</v>
      </c>
      <c r="G276" s="1" t="s">
        <v>53</v>
      </c>
      <c r="H276" s="1" t="s">
        <v>93</v>
      </c>
      <c r="I276" s="1" t="s">
        <v>24</v>
      </c>
      <c r="J276" s="7" t="s">
        <v>705</v>
      </c>
      <c r="K276" s="1" t="s">
        <v>706</v>
      </c>
      <c r="L276" s="1">
        <v>1</v>
      </c>
      <c r="M276" s="1" t="s">
        <v>56</v>
      </c>
      <c r="N276" s="1" t="s">
        <v>90</v>
      </c>
      <c r="O276" s="1">
        <v>91463.73</v>
      </c>
      <c r="P276" s="1">
        <v>5</v>
      </c>
      <c r="Q276" s="1" t="s">
        <v>58</v>
      </c>
    </row>
    <row r="277" spans="1:17">
      <c r="A277" s="1" t="s">
        <v>707</v>
      </c>
      <c r="B277" s="1" t="s">
        <v>405</v>
      </c>
      <c r="C277" s="1">
        <v>81</v>
      </c>
      <c r="D277" s="1" t="s">
        <v>27</v>
      </c>
      <c r="E277" s="1" t="s">
        <v>117</v>
      </c>
      <c r="F277" s="1" t="s">
        <v>120</v>
      </c>
      <c r="G277" s="1" t="s">
        <v>68</v>
      </c>
      <c r="H277" s="1" t="s">
        <v>88</v>
      </c>
      <c r="I277" s="1" t="s">
        <v>62</v>
      </c>
      <c r="J277" s="7" t="s">
        <v>77</v>
      </c>
      <c r="K277" s="1" t="s">
        <v>333</v>
      </c>
      <c r="L277" s="1">
        <v>3</v>
      </c>
      <c r="M277" s="1" t="s">
        <v>38</v>
      </c>
      <c r="N277" s="1" t="s">
        <v>85</v>
      </c>
      <c r="O277" s="1">
        <v>47160.57</v>
      </c>
      <c r="P277" s="1">
        <v>3</v>
      </c>
      <c r="Q277" s="1" t="s">
        <v>40</v>
      </c>
    </row>
    <row r="278" spans="1:17">
      <c r="A278" s="1" t="s">
        <v>708</v>
      </c>
      <c r="B278" s="1" t="s">
        <v>709</v>
      </c>
      <c r="C278" s="1">
        <v>2</v>
      </c>
      <c r="D278" s="1" t="s">
        <v>19</v>
      </c>
      <c r="E278" s="1" t="s">
        <v>44</v>
      </c>
      <c r="F278" s="1" t="s">
        <v>21</v>
      </c>
      <c r="G278" s="1" t="s">
        <v>34</v>
      </c>
      <c r="H278" s="1" t="s">
        <v>93</v>
      </c>
      <c r="I278" s="1" t="s">
        <v>36</v>
      </c>
      <c r="J278" s="7" t="s">
        <v>710</v>
      </c>
      <c r="K278" s="1" t="s">
        <v>156</v>
      </c>
      <c r="L278" s="1">
        <v>3</v>
      </c>
      <c r="M278" s="1" t="s">
        <v>27</v>
      </c>
      <c r="N278" s="1" t="s">
        <v>82</v>
      </c>
      <c r="O278" s="1">
        <v>132186.57999999999</v>
      </c>
      <c r="P278" s="1">
        <v>1</v>
      </c>
      <c r="Q278" s="1" t="s">
        <v>29</v>
      </c>
    </row>
    <row r="279" spans="1:17">
      <c r="A279" s="1" t="s">
        <v>711</v>
      </c>
      <c r="B279" s="1" t="s">
        <v>712</v>
      </c>
      <c r="C279" s="1">
        <v>53</v>
      </c>
      <c r="D279" s="1" t="s">
        <v>27</v>
      </c>
      <c r="E279" s="1" t="s">
        <v>117</v>
      </c>
      <c r="F279" s="1" t="s">
        <v>52</v>
      </c>
      <c r="G279" s="1" t="s">
        <v>36</v>
      </c>
      <c r="H279" s="1" t="s">
        <v>76</v>
      </c>
      <c r="I279" s="1" t="s">
        <v>24</v>
      </c>
      <c r="J279" s="7" t="s">
        <v>675</v>
      </c>
      <c r="K279" s="1" t="s">
        <v>293</v>
      </c>
      <c r="L279" s="1">
        <v>2</v>
      </c>
      <c r="M279" s="1" t="s">
        <v>27</v>
      </c>
      <c r="N279" s="1" t="s">
        <v>39</v>
      </c>
      <c r="O279" s="1">
        <v>28103.25</v>
      </c>
      <c r="P279" s="1">
        <v>2</v>
      </c>
      <c r="Q279" s="1" t="s">
        <v>40</v>
      </c>
    </row>
    <row r="280" spans="1:17">
      <c r="A280" s="1" t="s">
        <v>713</v>
      </c>
      <c r="B280" s="1" t="s">
        <v>315</v>
      </c>
      <c r="C280" s="1">
        <v>53</v>
      </c>
      <c r="D280" s="1" t="s">
        <v>19</v>
      </c>
      <c r="E280" s="1" t="s">
        <v>247</v>
      </c>
      <c r="F280" s="1" t="s">
        <v>75</v>
      </c>
      <c r="G280" s="1" t="s">
        <v>104</v>
      </c>
      <c r="H280" s="1" t="s">
        <v>69</v>
      </c>
      <c r="I280" s="1" t="s">
        <v>36</v>
      </c>
      <c r="J280" s="7">
        <v>45599</v>
      </c>
      <c r="K280" s="2">
        <v>45629</v>
      </c>
      <c r="L280" s="1">
        <v>1</v>
      </c>
      <c r="M280" s="1" t="s">
        <v>48</v>
      </c>
      <c r="N280" s="1" t="s">
        <v>90</v>
      </c>
      <c r="O280" s="1">
        <v>45052.01</v>
      </c>
      <c r="P280" s="1">
        <v>5</v>
      </c>
      <c r="Q280" s="1" t="s">
        <v>72</v>
      </c>
    </row>
    <row r="281" spans="1:17">
      <c r="A281" s="1" t="s">
        <v>714</v>
      </c>
      <c r="B281" s="1" t="s">
        <v>709</v>
      </c>
      <c r="C281" s="1">
        <v>24</v>
      </c>
      <c r="D281" s="1" t="s">
        <v>19</v>
      </c>
      <c r="E281" s="1" t="s">
        <v>159</v>
      </c>
      <c r="F281" s="1" t="s">
        <v>120</v>
      </c>
      <c r="G281" s="1" t="s">
        <v>34</v>
      </c>
      <c r="H281" s="1" t="s">
        <v>61</v>
      </c>
      <c r="I281" s="1" t="s">
        <v>62</v>
      </c>
      <c r="J281" s="7" t="s">
        <v>522</v>
      </c>
      <c r="K281" s="1" t="s">
        <v>224</v>
      </c>
      <c r="L281" s="1">
        <v>1</v>
      </c>
      <c r="M281" s="1" t="s">
        <v>48</v>
      </c>
      <c r="N281" s="1" t="s">
        <v>82</v>
      </c>
      <c r="O281" s="1">
        <v>22547.54</v>
      </c>
      <c r="P281" s="1">
        <v>3</v>
      </c>
      <c r="Q281" s="1" t="s">
        <v>72</v>
      </c>
    </row>
    <row r="282" spans="1:17">
      <c r="A282" s="1" t="s">
        <v>715</v>
      </c>
      <c r="B282" s="1" t="s">
        <v>87</v>
      </c>
      <c r="C282" s="1">
        <v>19</v>
      </c>
      <c r="D282" s="1" t="s">
        <v>19</v>
      </c>
      <c r="E282" s="1" t="s">
        <v>137</v>
      </c>
      <c r="F282" s="1" t="s">
        <v>33</v>
      </c>
      <c r="G282" s="1" t="s">
        <v>132</v>
      </c>
      <c r="H282" s="1" t="s">
        <v>105</v>
      </c>
      <c r="I282" s="1" t="s">
        <v>36</v>
      </c>
      <c r="J282" s="7" t="s">
        <v>139</v>
      </c>
      <c r="K282" s="1" t="s">
        <v>716</v>
      </c>
      <c r="L282" s="1">
        <v>1</v>
      </c>
      <c r="M282" s="1" t="s">
        <v>48</v>
      </c>
      <c r="N282" s="1" t="s">
        <v>85</v>
      </c>
      <c r="O282" s="1">
        <v>71659.3</v>
      </c>
      <c r="P282" s="1">
        <v>5</v>
      </c>
      <c r="Q282" s="1" t="s">
        <v>58</v>
      </c>
    </row>
    <row r="283" spans="1:17">
      <c r="A283" s="1" t="s">
        <v>717</v>
      </c>
      <c r="B283" s="1" t="s">
        <v>154</v>
      </c>
      <c r="C283" s="1">
        <v>13</v>
      </c>
      <c r="D283" s="1" t="s">
        <v>27</v>
      </c>
      <c r="E283" s="1" t="s">
        <v>117</v>
      </c>
      <c r="F283" s="1" t="s">
        <v>33</v>
      </c>
      <c r="G283" s="1" t="s">
        <v>68</v>
      </c>
      <c r="H283" s="1" t="s">
        <v>88</v>
      </c>
      <c r="I283" s="1" t="s">
        <v>24</v>
      </c>
      <c r="J283" s="7">
        <v>46002</v>
      </c>
      <c r="K283" s="1" t="s">
        <v>718</v>
      </c>
      <c r="L283" s="1">
        <v>4</v>
      </c>
      <c r="M283" s="1" t="s">
        <v>38</v>
      </c>
      <c r="N283" s="1" t="s">
        <v>85</v>
      </c>
      <c r="O283" s="1">
        <v>23578.63</v>
      </c>
      <c r="P283" s="1">
        <v>5</v>
      </c>
      <c r="Q283" s="1" t="s">
        <v>40</v>
      </c>
    </row>
    <row r="284" spans="1:17">
      <c r="A284" s="1" t="s">
        <v>719</v>
      </c>
      <c r="B284" s="1" t="s">
        <v>574</v>
      </c>
      <c r="C284" s="1">
        <v>7</v>
      </c>
      <c r="D284" s="1" t="s">
        <v>27</v>
      </c>
      <c r="E284" s="1" t="s">
        <v>202</v>
      </c>
      <c r="F284" s="1" t="s">
        <v>67</v>
      </c>
      <c r="G284" s="1" t="s">
        <v>34</v>
      </c>
      <c r="H284" s="1" t="s">
        <v>35</v>
      </c>
      <c r="I284" s="1" t="s">
        <v>24</v>
      </c>
      <c r="J284" s="7">
        <v>45604</v>
      </c>
      <c r="K284" s="1" t="s">
        <v>720</v>
      </c>
      <c r="L284" s="1">
        <v>2</v>
      </c>
      <c r="M284" s="1" t="s">
        <v>97</v>
      </c>
      <c r="N284" s="1" t="s">
        <v>63</v>
      </c>
      <c r="O284" s="1">
        <v>120819.5</v>
      </c>
      <c r="P284" s="1">
        <v>4</v>
      </c>
      <c r="Q284" s="1" t="s">
        <v>29</v>
      </c>
    </row>
    <row r="285" spans="1:17">
      <c r="A285" s="1" t="s">
        <v>721</v>
      </c>
      <c r="B285" s="1" t="s">
        <v>354</v>
      </c>
      <c r="C285" s="1">
        <v>48</v>
      </c>
      <c r="D285" s="1" t="s">
        <v>19</v>
      </c>
      <c r="E285" s="1" t="s">
        <v>159</v>
      </c>
      <c r="F285" s="1" t="s">
        <v>21</v>
      </c>
      <c r="G285" s="1" t="s">
        <v>53</v>
      </c>
      <c r="H285" s="1" t="s">
        <v>99</v>
      </c>
      <c r="I285" s="1" t="s">
        <v>62</v>
      </c>
      <c r="J285" s="7">
        <v>45605</v>
      </c>
      <c r="K285" s="1" t="s">
        <v>653</v>
      </c>
      <c r="L285" s="1">
        <v>4</v>
      </c>
      <c r="M285" s="1" t="s">
        <v>27</v>
      </c>
      <c r="N285" s="1" t="s">
        <v>39</v>
      </c>
      <c r="O285" s="1">
        <v>29129.1</v>
      </c>
      <c r="P285" s="1">
        <v>5</v>
      </c>
      <c r="Q285" s="1" t="s">
        <v>40</v>
      </c>
    </row>
    <row r="286" spans="1:17">
      <c r="A286" s="1" t="s">
        <v>722</v>
      </c>
      <c r="B286" s="1" t="s">
        <v>299</v>
      </c>
      <c r="C286" s="1">
        <v>57</v>
      </c>
      <c r="D286" s="1" t="s">
        <v>27</v>
      </c>
      <c r="E286" s="1" t="s">
        <v>20</v>
      </c>
      <c r="F286" s="1" t="s">
        <v>67</v>
      </c>
      <c r="G286" s="1" t="s">
        <v>110</v>
      </c>
      <c r="H286" s="1" t="s">
        <v>105</v>
      </c>
      <c r="I286" s="1" t="s">
        <v>36</v>
      </c>
      <c r="J286" s="7" t="s">
        <v>424</v>
      </c>
      <c r="K286" s="1" t="s">
        <v>239</v>
      </c>
      <c r="L286" s="1">
        <v>6</v>
      </c>
      <c r="M286" s="1" t="s">
        <v>27</v>
      </c>
      <c r="N286" s="1" t="s">
        <v>82</v>
      </c>
      <c r="O286" s="1">
        <v>127017.43</v>
      </c>
      <c r="P286" s="1">
        <v>4</v>
      </c>
      <c r="Q286" s="1" t="s">
        <v>40</v>
      </c>
    </row>
    <row r="287" spans="1:17">
      <c r="A287" s="1" t="s">
        <v>723</v>
      </c>
      <c r="B287" s="1" t="s">
        <v>502</v>
      </c>
      <c r="C287" s="1">
        <v>60</v>
      </c>
      <c r="D287" s="1" t="s">
        <v>43</v>
      </c>
      <c r="E287" s="1" t="s">
        <v>51</v>
      </c>
      <c r="F287" s="1" t="s">
        <v>33</v>
      </c>
      <c r="G287" s="1" t="s">
        <v>104</v>
      </c>
      <c r="H287" s="1" t="s">
        <v>105</v>
      </c>
      <c r="I287" s="1" t="s">
        <v>24</v>
      </c>
      <c r="J287" s="7">
        <v>45786</v>
      </c>
      <c r="K287" s="2">
        <v>45817</v>
      </c>
      <c r="L287" s="1">
        <v>1</v>
      </c>
      <c r="M287" s="1" t="s">
        <v>56</v>
      </c>
      <c r="N287" s="1" t="s">
        <v>28</v>
      </c>
      <c r="O287" s="1">
        <v>71817.55</v>
      </c>
      <c r="P287" s="1">
        <v>4</v>
      </c>
      <c r="Q287" s="1" t="s">
        <v>40</v>
      </c>
    </row>
    <row r="288" spans="1:17">
      <c r="A288" s="1" t="s">
        <v>724</v>
      </c>
      <c r="B288" s="1" t="s">
        <v>84</v>
      </c>
      <c r="C288" s="1">
        <v>80</v>
      </c>
      <c r="D288" s="1" t="s">
        <v>19</v>
      </c>
      <c r="E288" s="1" t="s">
        <v>44</v>
      </c>
      <c r="F288" s="1" t="s">
        <v>120</v>
      </c>
      <c r="G288" s="1" t="s">
        <v>36</v>
      </c>
      <c r="H288" s="1" t="s">
        <v>61</v>
      </c>
      <c r="I288" s="1" t="s">
        <v>62</v>
      </c>
      <c r="J288" s="7" t="s">
        <v>627</v>
      </c>
      <c r="K288" s="1" t="s">
        <v>270</v>
      </c>
      <c r="L288" s="1">
        <v>1</v>
      </c>
      <c r="M288" s="1" t="s">
        <v>97</v>
      </c>
      <c r="N288" s="1" t="s">
        <v>63</v>
      </c>
      <c r="O288" s="1">
        <v>50257.09</v>
      </c>
      <c r="P288" s="1">
        <v>4</v>
      </c>
      <c r="Q288" s="1" t="s">
        <v>40</v>
      </c>
    </row>
    <row r="289" spans="1:17">
      <c r="A289" s="1" t="s">
        <v>725</v>
      </c>
      <c r="B289" s="1" t="s">
        <v>726</v>
      </c>
      <c r="C289" s="1">
        <v>15</v>
      </c>
      <c r="D289" s="1" t="s">
        <v>19</v>
      </c>
      <c r="E289" s="1" t="s">
        <v>44</v>
      </c>
      <c r="F289" s="1" t="s">
        <v>52</v>
      </c>
      <c r="G289" s="1" t="s">
        <v>110</v>
      </c>
      <c r="H289" s="1" t="s">
        <v>35</v>
      </c>
      <c r="I289" s="1" t="s">
        <v>62</v>
      </c>
      <c r="J289" s="7" t="s">
        <v>710</v>
      </c>
      <c r="K289" s="1" t="s">
        <v>467</v>
      </c>
      <c r="L289" s="1">
        <v>1</v>
      </c>
      <c r="M289" s="1" t="s">
        <v>97</v>
      </c>
      <c r="N289" s="1" t="s">
        <v>90</v>
      </c>
      <c r="O289" s="1">
        <v>104697.43</v>
      </c>
      <c r="P289" s="1">
        <v>4</v>
      </c>
      <c r="Q289" s="1" t="s">
        <v>40</v>
      </c>
    </row>
    <row r="290" spans="1:17">
      <c r="A290" s="1" t="s">
        <v>727</v>
      </c>
      <c r="B290" s="1" t="s">
        <v>242</v>
      </c>
      <c r="C290" s="1">
        <v>7</v>
      </c>
      <c r="D290" s="1" t="s">
        <v>43</v>
      </c>
      <c r="E290" s="1" t="s">
        <v>51</v>
      </c>
      <c r="F290" s="1" t="s">
        <v>75</v>
      </c>
      <c r="G290" s="1" t="s">
        <v>53</v>
      </c>
      <c r="H290" s="1" t="s">
        <v>23</v>
      </c>
      <c r="I290" s="1" t="s">
        <v>24</v>
      </c>
      <c r="J290" s="7" t="s">
        <v>267</v>
      </c>
      <c r="K290" s="1" t="s">
        <v>728</v>
      </c>
      <c r="L290" s="1">
        <v>4</v>
      </c>
      <c r="M290" s="1" t="s">
        <v>48</v>
      </c>
      <c r="N290" s="1" t="s">
        <v>39</v>
      </c>
      <c r="O290" s="1">
        <v>132639.66</v>
      </c>
      <c r="P290" s="1">
        <v>5</v>
      </c>
      <c r="Q290" s="1" t="s">
        <v>40</v>
      </c>
    </row>
    <row r="291" spans="1:17">
      <c r="A291" s="1" t="s">
        <v>729</v>
      </c>
      <c r="B291" s="1" t="s">
        <v>453</v>
      </c>
      <c r="C291" s="1">
        <v>10</v>
      </c>
      <c r="D291" s="1" t="s">
        <v>19</v>
      </c>
      <c r="E291" s="1" t="s">
        <v>51</v>
      </c>
      <c r="F291" s="1" t="s">
        <v>52</v>
      </c>
      <c r="G291" s="1" t="s">
        <v>36</v>
      </c>
      <c r="H291" s="1" t="s">
        <v>61</v>
      </c>
      <c r="I291" s="1" t="s">
        <v>24</v>
      </c>
      <c r="J291" s="7" t="s">
        <v>466</v>
      </c>
      <c r="K291" s="1" t="s">
        <v>730</v>
      </c>
      <c r="L291" s="1">
        <v>1</v>
      </c>
      <c r="M291" s="1" t="s">
        <v>97</v>
      </c>
      <c r="N291" s="1" t="s">
        <v>63</v>
      </c>
      <c r="O291" s="1">
        <v>26097.72</v>
      </c>
      <c r="P291" s="1">
        <v>4</v>
      </c>
      <c r="Q291" s="1" t="s">
        <v>72</v>
      </c>
    </row>
    <row r="292" spans="1:17">
      <c r="A292" s="1" t="s">
        <v>731</v>
      </c>
      <c r="B292" s="1" t="s">
        <v>644</v>
      </c>
      <c r="C292" s="1">
        <v>82</v>
      </c>
      <c r="D292" s="1" t="s">
        <v>27</v>
      </c>
      <c r="E292" s="1" t="s">
        <v>66</v>
      </c>
      <c r="F292" s="1" t="s">
        <v>67</v>
      </c>
      <c r="G292" s="1" t="s">
        <v>22</v>
      </c>
      <c r="H292" s="1" t="s">
        <v>35</v>
      </c>
      <c r="I292" s="1" t="s">
        <v>24</v>
      </c>
      <c r="J292" s="7">
        <v>45658</v>
      </c>
      <c r="K292" s="2">
        <v>45778</v>
      </c>
      <c r="L292" s="1">
        <v>4</v>
      </c>
      <c r="M292" s="1" t="s">
        <v>97</v>
      </c>
      <c r="N292" s="1" t="s">
        <v>82</v>
      </c>
      <c r="O292" s="1">
        <v>69849.7</v>
      </c>
      <c r="P292" s="1">
        <v>4</v>
      </c>
      <c r="Q292" s="1" t="s">
        <v>40</v>
      </c>
    </row>
    <row r="293" spans="1:17">
      <c r="A293" s="1" t="s">
        <v>732</v>
      </c>
      <c r="B293" s="1" t="s">
        <v>565</v>
      </c>
      <c r="C293" s="1">
        <v>71</v>
      </c>
      <c r="D293" s="1" t="s">
        <v>43</v>
      </c>
      <c r="E293" s="1" t="s">
        <v>247</v>
      </c>
      <c r="F293" s="1" t="s">
        <v>33</v>
      </c>
      <c r="G293" s="1" t="s">
        <v>53</v>
      </c>
      <c r="H293" s="1" t="s">
        <v>69</v>
      </c>
      <c r="I293" s="1" t="s">
        <v>62</v>
      </c>
      <c r="J293" s="7" t="s">
        <v>316</v>
      </c>
      <c r="K293" s="1" t="s">
        <v>733</v>
      </c>
      <c r="L293" s="1">
        <v>8</v>
      </c>
      <c r="M293" s="1" t="s">
        <v>97</v>
      </c>
      <c r="N293" s="1" t="s">
        <v>28</v>
      </c>
      <c r="O293" s="1">
        <v>62511.74</v>
      </c>
      <c r="P293" s="1">
        <v>4</v>
      </c>
      <c r="Q293" s="1" t="s">
        <v>72</v>
      </c>
    </row>
    <row r="294" spans="1:17">
      <c r="A294" s="1" t="s">
        <v>734</v>
      </c>
      <c r="B294" s="1" t="s">
        <v>735</v>
      </c>
      <c r="C294" s="1">
        <v>37</v>
      </c>
      <c r="D294" s="1" t="s">
        <v>27</v>
      </c>
      <c r="E294" s="1" t="s">
        <v>32</v>
      </c>
      <c r="F294" s="1" t="s">
        <v>75</v>
      </c>
      <c r="G294" s="1" t="s">
        <v>34</v>
      </c>
      <c r="H294" s="1" t="s">
        <v>105</v>
      </c>
      <c r="I294" s="1" t="s">
        <v>62</v>
      </c>
      <c r="J294" s="7" t="s">
        <v>444</v>
      </c>
      <c r="K294" s="1" t="s">
        <v>736</v>
      </c>
      <c r="L294" s="1">
        <v>1</v>
      </c>
      <c r="M294" s="1" t="s">
        <v>38</v>
      </c>
      <c r="N294" s="1" t="s">
        <v>85</v>
      </c>
      <c r="O294" s="1">
        <v>116846.64</v>
      </c>
      <c r="P294" s="1">
        <v>3</v>
      </c>
      <c r="Q294" s="1" t="s">
        <v>29</v>
      </c>
    </row>
    <row r="295" spans="1:17">
      <c r="A295" s="1" t="s">
        <v>737</v>
      </c>
      <c r="B295" s="1" t="s">
        <v>557</v>
      </c>
      <c r="C295" s="1">
        <v>34</v>
      </c>
      <c r="D295" s="1" t="s">
        <v>43</v>
      </c>
      <c r="E295" s="1" t="s">
        <v>159</v>
      </c>
      <c r="F295" s="1" t="s">
        <v>21</v>
      </c>
      <c r="G295" s="1" t="s">
        <v>22</v>
      </c>
      <c r="H295" s="1" t="s">
        <v>69</v>
      </c>
      <c r="I295" s="1" t="s">
        <v>62</v>
      </c>
      <c r="J295" s="7" t="s">
        <v>431</v>
      </c>
      <c r="K295" s="1" t="s">
        <v>738</v>
      </c>
      <c r="L295" s="1">
        <v>2</v>
      </c>
      <c r="M295" s="1" t="s">
        <v>27</v>
      </c>
      <c r="N295" s="1" t="s">
        <v>39</v>
      </c>
      <c r="O295" s="1">
        <v>41185.269999999997</v>
      </c>
      <c r="P295" s="1">
        <v>5</v>
      </c>
      <c r="Q295" s="1" t="s">
        <v>72</v>
      </c>
    </row>
    <row r="296" spans="1:17">
      <c r="A296" s="1" t="s">
        <v>739</v>
      </c>
      <c r="B296" s="1" t="s">
        <v>494</v>
      </c>
      <c r="C296" s="1">
        <v>77</v>
      </c>
      <c r="D296" s="1" t="s">
        <v>27</v>
      </c>
      <c r="E296" s="1" t="s">
        <v>32</v>
      </c>
      <c r="F296" s="1" t="s">
        <v>21</v>
      </c>
      <c r="G296" s="1" t="s">
        <v>22</v>
      </c>
      <c r="H296" s="1" t="s">
        <v>99</v>
      </c>
      <c r="I296" s="1" t="s">
        <v>24</v>
      </c>
      <c r="J296" s="7">
        <v>45362</v>
      </c>
      <c r="K296" s="2">
        <v>45576</v>
      </c>
      <c r="L296" s="1">
        <v>7</v>
      </c>
      <c r="M296" s="1" t="s">
        <v>27</v>
      </c>
      <c r="N296" s="1" t="s">
        <v>28</v>
      </c>
      <c r="O296" s="1">
        <v>79296.62</v>
      </c>
      <c r="P296" s="1">
        <v>4</v>
      </c>
      <c r="Q296" s="1" t="s">
        <v>58</v>
      </c>
    </row>
    <row r="297" spans="1:17">
      <c r="A297" s="1" t="s">
        <v>740</v>
      </c>
      <c r="B297" s="1" t="s">
        <v>538</v>
      </c>
      <c r="C297" s="1">
        <v>7</v>
      </c>
      <c r="D297" s="1" t="s">
        <v>43</v>
      </c>
      <c r="E297" s="1" t="s">
        <v>44</v>
      </c>
      <c r="F297" s="1" t="s">
        <v>67</v>
      </c>
      <c r="G297" s="1" t="s">
        <v>53</v>
      </c>
      <c r="H297" s="1" t="s">
        <v>23</v>
      </c>
      <c r="I297" s="1" t="s">
        <v>24</v>
      </c>
      <c r="J297" s="7" t="s">
        <v>467</v>
      </c>
      <c r="K297" s="1" t="s">
        <v>156</v>
      </c>
      <c r="L297" s="1">
        <v>2</v>
      </c>
      <c r="M297" s="1" t="s">
        <v>48</v>
      </c>
      <c r="N297" s="1" t="s">
        <v>85</v>
      </c>
      <c r="O297" s="1">
        <v>84202.16</v>
      </c>
      <c r="P297" s="1">
        <v>4</v>
      </c>
      <c r="Q297" s="1" t="s">
        <v>58</v>
      </c>
    </row>
    <row r="298" spans="1:17">
      <c r="A298" s="1" t="s">
        <v>741</v>
      </c>
      <c r="B298" s="1" t="s">
        <v>261</v>
      </c>
      <c r="C298" s="1">
        <v>38</v>
      </c>
      <c r="D298" s="1" t="s">
        <v>43</v>
      </c>
      <c r="E298" s="1" t="s">
        <v>159</v>
      </c>
      <c r="F298" s="1" t="s">
        <v>67</v>
      </c>
      <c r="G298" s="1" t="s">
        <v>34</v>
      </c>
      <c r="H298" s="1" t="s">
        <v>23</v>
      </c>
      <c r="I298" s="1" t="s">
        <v>36</v>
      </c>
      <c r="J298" s="7" t="s">
        <v>297</v>
      </c>
      <c r="K298" s="2">
        <v>45357</v>
      </c>
      <c r="L298" s="1">
        <v>3</v>
      </c>
      <c r="M298" s="1" t="s">
        <v>97</v>
      </c>
      <c r="N298" s="1" t="s">
        <v>57</v>
      </c>
      <c r="O298" s="1">
        <v>52519.37</v>
      </c>
      <c r="P298" s="1">
        <v>4</v>
      </c>
      <c r="Q298" s="1" t="s">
        <v>29</v>
      </c>
    </row>
    <row r="299" spans="1:17">
      <c r="A299" s="1" t="s">
        <v>742</v>
      </c>
      <c r="B299" s="1" t="s">
        <v>375</v>
      </c>
      <c r="C299" s="1">
        <v>72</v>
      </c>
      <c r="D299" s="1" t="s">
        <v>27</v>
      </c>
      <c r="E299" s="1" t="s">
        <v>137</v>
      </c>
      <c r="F299" s="1" t="s">
        <v>120</v>
      </c>
      <c r="G299" s="1" t="s">
        <v>36</v>
      </c>
      <c r="H299" s="1" t="s">
        <v>88</v>
      </c>
      <c r="I299" s="1" t="s">
        <v>62</v>
      </c>
      <c r="J299" s="7" t="s">
        <v>467</v>
      </c>
      <c r="K299" s="1" t="s">
        <v>156</v>
      </c>
      <c r="L299" s="1">
        <v>2</v>
      </c>
      <c r="M299" s="1" t="s">
        <v>56</v>
      </c>
      <c r="N299" s="1" t="s">
        <v>82</v>
      </c>
      <c r="O299" s="1">
        <v>61985.87</v>
      </c>
      <c r="P299" s="1">
        <v>4</v>
      </c>
      <c r="Q299" s="1" t="s">
        <v>40</v>
      </c>
    </row>
    <row r="300" spans="1:17">
      <c r="A300" s="1" t="s">
        <v>743</v>
      </c>
      <c r="B300" s="1" t="s">
        <v>391</v>
      </c>
      <c r="C300" s="1">
        <v>77</v>
      </c>
      <c r="D300" s="1" t="s">
        <v>27</v>
      </c>
      <c r="E300" s="1" t="s">
        <v>247</v>
      </c>
      <c r="F300" s="1" t="s">
        <v>21</v>
      </c>
      <c r="G300" s="1" t="s">
        <v>104</v>
      </c>
      <c r="H300" s="1" t="s">
        <v>69</v>
      </c>
      <c r="I300" s="1" t="s">
        <v>24</v>
      </c>
      <c r="J300" s="7" t="s">
        <v>647</v>
      </c>
      <c r="K300" s="1" t="s">
        <v>25</v>
      </c>
      <c r="L300" s="1">
        <v>1</v>
      </c>
      <c r="M300" s="1" t="s">
        <v>48</v>
      </c>
      <c r="N300" s="1" t="s">
        <v>28</v>
      </c>
      <c r="O300" s="1">
        <v>22644.75</v>
      </c>
      <c r="P300" s="1">
        <v>2</v>
      </c>
      <c r="Q300" s="1" t="s">
        <v>72</v>
      </c>
    </row>
    <row r="301" spans="1:17">
      <c r="A301" s="1" t="s">
        <v>744</v>
      </c>
      <c r="B301" s="1" t="s">
        <v>745</v>
      </c>
      <c r="C301" s="1">
        <v>32</v>
      </c>
      <c r="D301" s="1" t="s">
        <v>27</v>
      </c>
      <c r="E301" s="1" t="s">
        <v>20</v>
      </c>
      <c r="F301" s="1" t="s">
        <v>67</v>
      </c>
      <c r="G301" s="1" t="s">
        <v>22</v>
      </c>
      <c r="H301" s="1" t="s">
        <v>105</v>
      </c>
      <c r="I301" s="1" t="s">
        <v>24</v>
      </c>
      <c r="J301" s="7" t="s">
        <v>297</v>
      </c>
      <c r="K301" s="2">
        <v>45297</v>
      </c>
      <c r="L301" s="1">
        <v>1</v>
      </c>
      <c r="M301" s="1" t="s">
        <v>38</v>
      </c>
      <c r="N301" s="1" t="s">
        <v>90</v>
      </c>
      <c r="O301" s="1">
        <v>44854.49</v>
      </c>
      <c r="P301" s="1">
        <v>1</v>
      </c>
      <c r="Q301" s="1" t="s">
        <v>58</v>
      </c>
    </row>
    <row r="302" spans="1:17">
      <c r="A302" s="1" t="s">
        <v>746</v>
      </c>
      <c r="B302" s="1" t="s">
        <v>437</v>
      </c>
      <c r="C302" s="1">
        <v>80</v>
      </c>
      <c r="D302" s="1" t="s">
        <v>27</v>
      </c>
      <c r="E302" s="1" t="s">
        <v>202</v>
      </c>
      <c r="F302" s="1" t="s">
        <v>33</v>
      </c>
      <c r="G302" s="1" t="s">
        <v>34</v>
      </c>
      <c r="H302" s="1" t="s">
        <v>105</v>
      </c>
      <c r="I302" s="1" t="s">
        <v>24</v>
      </c>
      <c r="J302" s="7" t="s">
        <v>747</v>
      </c>
      <c r="K302" s="1" t="s">
        <v>296</v>
      </c>
      <c r="L302" s="1">
        <v>5</v>
      </c>
      <c r="M302" s="1" t="s">
        <v>48</v>
      </c>
      <c r="N302" s="1" t="s">
        <v>28</v>
      </c>
      <c r="O302" s="1">
        <v>35565.46</v>
      </c>
      <c r="P302" s="1">
        <v>5</v>
      </c>
      <c r="Q302" s="1" t="s">
        <v>58</v>
      </c>
    </row>
    <row r="303" spans="1:17">
      <c r="A303" s="1" t="s">
        <v>748</v>
      </c>
      <c r="B303" s="1" t="s">
        <v>749</v>
      </c>
      <c r="C303" s="1">
        <v>85</v>
      </c>
      <c r="D303" s="1" t="s">
        <v>43</v>
      </c>
      <c r="E303" s="1" t="s">
        <v>159</v>
      </c>
      <c r="F303" s="1" t="s">
        <v>67</v>
      </c>
      <c r="G303" s="1" t="s">
        <v>68</v>
      </c>
      <c r="H303" s="1" t="s">
        <v>76</v>
      </c>
      <c r="I303" s="1" t="s">
        <v>24</v>
      </c>
      <c r="J303" s="7">
        <v>45911</v>
      </c>
      <c r="K303" s="2">
        <v>46002</v>
      </c>
      <c r="L303" s="1">
        <v>3</v>
      </c>
      <c r="M303" s="1" t="s">
        <v>48</v>
      </c>
      <c r="N303" s="1" t="s">
        <v>85</v>
      </c>
      <c r="O303" s="1">
        <v>28875.31</v>
      </c>
      <c r="P303" s="1">
        <v>4</v>
      </c>
      <c r="Q303" s="1" t="s">
        <v>29</v>
      </c>
    </row>
    <row r="304" spans="1:17">
      <c r="A304" s="1" t="s">
        <v>750</v>
      </c>
      <c r="B304" s="1" t="s">
        <v>510</v>
      </c>
      <c r="C304" s="1">
        <v>65</v>
      </c>
      <c r="D304" s="1" t="s">
        <v>43</v>
      </c>
      <c r="E304" s="1" t="s">
        <v>247</v>
      </c>
      <c r="F304" s="1" t="s">
        <v>120</v>
      </c>
      <c r="G304" s="1" t="s">
        <v>68</v>
      </c>
      <c r="H304" s="1" t="s">
        <v>88</v>
      </c>
      <c r="I304" s="1" t="s">
        <v>24</v>
      </c>
      <c r="J304" s="7" t="s">
        <v>185</v>
      </c>
      <c r="K304" s="1" t="s">
        <v>751</v>
      </c>
      <c r="L304" s="1">
        <v>1</v>
      </c>
      <c r="M304" s="1" t="s">
        <v>38</v>
      </c>
      <c r="N304" s="1" t="s">
        <v>85</v>
      </c>
      <c r="O304" s="1">
        <v>47765.1</v>
      </c>
      <c r="P304" s="1">
        <v>5</v>
      </c>
      <c r="Q304" s="1" t="s">
        <v>40</v>
      </c>
    </row>
    <row r="305" spans="1:17">
      <c r="A305" s="1" t="s">
        <v>752</v>
      </c>
      <c r="B305" s="1" t="s">
        <v>381</v>
      </c>
      <c r="C305" s="1">
        <v>8</v>
      </c>
      <c r="D305" s="1" t="s">
        <v>27</v>
      </c>
      <c r="E305" s="1" t="s">
        <v>32</v>
      </c>
      <c r="F305" s="1" t="s">
        <v>52</v>
      </c>
      <c r="G305" s="1" t="s">
        <v>34</v>
      </c>
      <c r="H305" s="1" t="s">
        <v>23</v>
      </c>
      <c r="I305" s="1" t="s">
        <v>62</v>
      </c>
      <c r="J305" s="7" t="s">
        <v>753</v>
      </c>
      <c r="K305" s="2">
        <v>45361</v>
      </c>
      <c r="L305" s="1">
        <v>13</v>
      </c>
      <c r="M305" s="1" t="s">
        <v>27</v>
      </c>
      <c r="N305" s="1" t="s">
        <v>63</v>
      </c>
      <c r="O305" s="1">
        <v>142556.93</v>
      </c>
      <c r="P305" s="1">
        <v>4</v>
      </c>
      <c r="Q305" s="1" t="s">
        <v>29</v>
      </c>
    </row>
    <row r="306" spans="1:17">
      <c r="A306" s="1" t="s">
        <v>754</v>
      </c>
      <c r="B306" s="1" t="s">
        <v>423</v>
      </c>
      <c r="C306" s="1">
        <v>54</v>
      </c>
      <c r="D306" s="1" t="s">
        <v>19</v>
      </c>
      <c r="E306" s="1" t="s">
        <v>66</v>
      </c>
      <c r="F306" s="1" t="s">
        <v>120</v>
      </c>
      <c r="G306" s="1" t="s">
        <v>53</v>
      </c>
      <c r="H306" s="1" t="s">
        <v>93</v>
      </c>
      <c r="I306" s="1" t="s">
        <v>24</v>
      </c>
      <c r="J306" s="7">
        <v>45908</v>
      </c>
      <c r="K306" s="2">
        <v>45999</v>
      </c>
      <c r="L306" s="1">
        <v>3</v>
      </c>
      <c r="M306" s="1" t="s">
        <v>27</v>
      </c>
      <c r="N306" s="1" t="s">
        <v>85</v>
      </c>
      <c r="O306" s="1">
        <v>71498.33</v>
      </c>
      <c r="P306" s="1">
        <v>3</v>
      </c>
      <c r="Q306" s="1" t="s">
        <v>58</v>
      </c>
    </row>
    <row r="307" spans="1:17">
      <c r="A307" s="1" t="s">
        <v>755</v>
      </c>
      <c r="B307" s="1" t="s">
        <v>510</v>
      </c>
      <c r="C307" s="1">
        <v>19</v>
      </c>
      <c r="D307" s="1" t="s">
        <v>27</v>
      </c>
      <c r="E307" s="1" t="s">
        <v>137</v>
      </c>
      <c r="F307" s="1" t="s">
        <v>33</v>
      </c>
      <c r="G307" s="1" t="s">
        <v>22</v>
      </c>
      <c r="H307" s="1" t="s">
        <v>35</v>
      </c>
      <c r="I307" s="1" t="s">
        <v>62</v>
      </c>
      <c r="J307" s="7">
        <v>45665</v>
      </c>
      <c r="K307" s="2">
        <v>45724</v>
      </c>
      <c r="L307" s="1">
        <v>2</v>
      </c>
      <c r="M307" s="1" t="s">
        <v>97</v>
      </c>
      <c r="N307" s="1" t="s">
        <v>63</v>
      </c>
      <c r="O307" s="1">
        <v>35184.620000000003</v>
      </c>
      <c r="P307" s="1">
        <v>5</v>
      </c>
      <c r="Q307" s="1" t="s">
        <v>40</v>
      </c>
    </row>
    <row r="308" spans="1:17">
      <c r="A308" s="1" t="s">
        <v>756</v>
      </c>
      <c r="B308" s="1" t="s">
        <v>391</v>
      </c>
      <c r="C308" s="1">
        <v>20</v>
      </c>
      <c r="D308" s="1" t="s">
        <v>19</v>
      </c>
      <c r="E308" s="1" t="s">
        <v>202</v>
      </c>
      <c r="F308" s="1" t="s">
        <v>120</v>
      </c>
      <c r="G308" s="1" t="s">
        <v>68</v>
      </c>
      <c r="H308" s="1" t="s">
        <v>69</v>
      </c>
      <c r="I308" s="1" t="s">
        <v>36</v>
      </c>
      <c r="J308" s="7" t="s">
        <v>451</v>
      </c>
      <c r="K308" s="1" t="s">
        <v>196</v>
      </c>
      <c r="L308" s="1">
        <v>1</v>
      </c>
      <c r="M308" s="1" t="s">
        <v>97</v>
      </c>
      <c r="N308" s="1" t="s">
        <v>85</v>
      </c>
      <c r="O308" s="1">
        <v>53394.15</v>
      </c>
      <c r="P308" s="1">
        <v>3</v>
      </c>
      <c r="Q308" s="1" t="s">
        <v>58</v>
      </c>
    </row>
    <row r="309" spans="1:17">
      <c r="A309" s="1" t="s">
        <v>757</v>
      </c>
      <c r="B309" s="1" t="s">
        <v>324</v>
      </c>
      <c r="C309" s="1">
        <v>84</v>
      </c>
      <c r="D309" s="1" t="s">
        <v>43</v>
      </c>
      <c r="E309" s="1" t="s">
        <v>137</v>
      </c>
      <c r="F309" s="1" t="s">
        <v>21</v>
      </c>
      <c r="G309" s="1" t="s">
        <v>132</v>
      </c>
      <c r="H309" s="1" t="s">
        <v>61</v>
      </c>
      <c r="I309" s="1" t="s">
        <v>24</v>
      </c>
      <c r="J309" s="7">
        <v>45480</v>
      </c>
      <c r="K309" s="2">
        <v>45603</v>
      </c>
      <c r="L309" s="1">
        <v>4</v>
      </c>
      <c r="M309" s="1" t="s">
        <v>56</v>
      </c>
      <c r="N309" s="1" t="s">
        <v>39</v>
      </c>
      <c r="O309" s="1">
        <v>14352.76</v>
      </c>
      <c r="P309" s="1">
        <v>5</v>
      </c>
      <c r="Q309" s="1" t="s">
        <v>29</v>
      </c>
    </row>
    <row r="310" spans="1:17">
      <c r="A310" s="1" t="s">
        <v>758</v>
      </c>
      <c r="B310" s="1" t="s">
        <v>229</v>
      </c>
      <c r="C310" s="1">
        <v>9</v>
      </c>
      <c r="D310" s="1" t="s">
        <v>19</v>
      </c>
      <c r="E310" s="1" t="s">
        <v>247</v>
      </c>
      <c r="F310" s="1" t="s">
        <v>33</v>
      </c>
      <c r="G310" s="1" t="s">
        <v>104</v>
      </c>
      <c r="H310" s="1" t="s">
        <v>61</v>
      </c>
      <c r="I310" s="1" t="s">
        <v>24</v>
      </c>
      <c r="J310" s="7" t="s">
        <v>293</v>
      </c>
      <c r="K310" s="1" t="s">
        <v>759</v>
      </c>
      <c r="L310" s="1">
        <v>4</v>
      </c>
      <c r="M310" s="1" t="s">
        <v>27</v>
      </c>
      <c r="N310" s="1" t="s">
        <v>90</v>
      </c>
      <c r="O310" s="1">
        <v>43211.56</v>
      </c>
      <c r="P310" s="1">
        <v>5</v>
      </c>
      <c r="Q310" s="1" t="s">
        <v>72</v>
      </c>
    </row>
    <row r="311" spans="1:17">
      <c r="A311" s="1" t="s">
        <v>760</v>
      </c>
      <c r="B311" s="1" t="s">
        <v>688</v>
      </c>
      <c r="C311" s="1">
        <v>67</v>
      </c>
      <c r="D311" s="1" t="s">
        <v>19</v>
      </c>
      <c r="E311" s="1" t="s">
        <v>159</v>
      </c>
      <c r="F311" s="1" t="s">
        <v>33</v>
      </c>
      <c r="G311" s="1" t="s">
        <v>36</v>
      </c>
      <c r="H311" s="1" t="s">
        <v>23</v>
      </c>
      <c r="I311" s="1" t="s">
        <v>62</v>
      </c>
      <c r="J311" s="7">
        <v>45842</v>
      </c>
      <c r="K311" s="2">
        <v>45934</v>
      </c>
      <c r="L311" s="1">
        <v>3</v>
      </c>
      <c r="M311" s="1" t="s">
        <v>38</v>
      </c>
      <c r="N311" s="1" t="s">
        <v>57</v>
      </c>
      <c r="O311" s="1">
        <v>67856.67</v>
      </c>
      <c r="P311" s="1">
        <v>5</v>
      </c>
      <c r="Q311" s="1" t="s">
        <v>29</v>
      </c>
    </row>
    <row r="312" spans="1:17">
      <c r="A312" s="1" t="s">
        <v>761</v>
      </c>
      <c r="B312" s="1" t="s">
        <v>762</v>
      </c>
      <c r="C312" s="1">
        <v>55</v>
      </c>
      <c r="D312" s="1" t="s">
        <v>43</v>
      </c>
      <c r="E312" s="1" t="s">
        <v>137</v>
      </c>
      <c r="F312" s="1" t="s">
        <v>33</v>
      </c>
      <c r="G312" s="1" t="s">
        <v>104</v>
      </c>
      <c r="H312" s="1" t="s">
        <v>93</v>
      </c>
      <c r="I312" s="1" t="s">
        <v>62</v>
      </c>
      <c r="J312" s="7" t="s">
        <v>763</v>
      </c>
      <c r="K312" s="1" t="s">
        <v>764</v>
      </c>
      <c r="L312" s="1">
        <v>6</v>
      </c>
      <c r="M312" s="1" t="s">
        <v>97</v>
      </c>
      <c r="N312" s="1" t="s">
        <v>28</v>
      </c>
      <c r="O312" s="1">
        <v>18602.18</v>
      </c>
      <c r="P312" s="1">
        <v>4</v>
      </c>
      <c r="Q312" s="1" t="s">
        <v>29</v>
      </c>
    </row>
    <row r="313" spans="1:17">
      <c r="A313" s="1" t="s">
        <v>765</v>
      </c>
      <c r="B313" s="1" t="s">
        <v>766</v>
      </c>
      <c r="C313" s="1">
        <v>59</v>
      </c>
      <c r="D313" s="1" t="s">
        <v>27</v>
      </c>
      <c r="E313" s="1" t="s">
        <v>51</v>
      </c>
      <c r="F313" s="1" t="s">
        <v>67</v>
      </c>
      <c r="G313" s="1" t="s">
        <v>110</v>
      </c>
      <c r="H313" s="1" t="s">
        <v>45</v>
      </c>
      <c r="I313" s="1" t="s">
        <v>36</v>
      </c>
      <c r="J313" s="7" t="s">
        <v>680</v>
      </c>
      <c r="K313" s="2">
        <v>46023</v>
      </c>
      <c r="L313" s="1">
        <v>2</v>
      </c>
      <c r="M313" s="1" t="s">
        <v>97</v>
      </c>
      <c r="N313" s="1" t="s">
        <v>90</v>
      </c>
      <c r="O313" s="1">
        <v>34246.79</v>
      </c>
      <c r="P313" s="1">
        <v>4</v>
      </c>
      <c r="Q313" s="1" t="s">
        <v>58</v>
      </c>
    </row>
    <row r="314" spans="1:17">
      <c r="A314" s="1" t="s">
        <v>767</v>
      </c>
      <c r="B314" s="1" t="s">
        <v>299</v>
      </c>
      <c r="C314" s="1">
        <v>6</v>
      </c>
      <c r="D314" s="1" t="s">
        <v>19</v>
      </c>
      <c r="E314" s="1" t="s">
        <v>117</v>
      </c>
      <c r="F314" s="1" t="s">
        <v>52</v>
      </c>
      <c r="G314" s="1" t="s">
        <v>110</v>
      </c>
      <c r="H314" s="1" t="s">
        <v>35</v>
      </c>
      <c r="I314" s="1" t="s">
        <v>36</v>
      </c>
      <c r="J314" s="7">
        <v>45547</v>
      </c>
      <c r="K314" s="1" t="s">
        <v>188</v>
      </c>
      <c r="L314" s="1">
        <v>12</v>
      </c>
      <c r="M314" s="1" t="s">
        <v>48</v>
      </c>
      <c r="N314" s="1" t="s">
        <v>85</v>
      </c>
      <c r="O314" s="1">
        <v>57658.13</v>
      </c>
      <c r="P314" s="1">
        <v>4</v>
      </c>
      <c r="Q314" s="1" t="s">
        <v>29</v>
      </c>
    </row>
    <row r="315" spans="1:17">
      <c r="A315" s="1" t="s">
        <v>768</v>
      </c>
      <c r="B315" s="1" t="s">
        <v>670</v>
      </c>
      <c r="C315" s="1">
        <v>1</v>
      </c>
      <c r="D315" s="1" t="s">
        <v>27</v>
      </c>
      <c r="E315" s="1" t="s">
        <v>137</v>
      </c>
      <c r="F315" s="1" t="s">
        <v>33</v>
      </c>
      <c r="G315" s="1" t="s">
        <v>34</v>
      </c>
      <c r="H315" s="1" t="s">
        <v>69</v>
      </c>
      <c r="I315" s="1" t="s">
        <v>36</v>
      </c>
      <c r="J315" s="7" t="s">
        <v>508</v>
      </c>
      <c r="K315" s="1" t="s">
        <v>753</v>
      </c>
      <c r="L315" s="1">
        <v>4</v>
      </c>
      <c r="M315" s="1" t="s">
        <v>27</v>
      </c>
      <c r="N315" s="1" t="s">
        <v>90</v>
      </c>
      <c r="O315" s="1">
        <v>108089.28</v>
      </c>
      <c r="P315" s="1">
        <v>4</v>
      </c>
      <c r="Q315" s="1" t="s">
        <v>72</v>
      </c>
    </row>
    <row r="316" spans="1:17">
      <c r="A316" s="1" t="s">
        <v>769</v>
      </c>
      <c r="B316" s="1" t="s">
        <v>770</v>
      </c>
      <c r="C316" s="1">
        <v>32</v>
      </c>
      <c r="D316" s="1" t="s">
        <v>27</v>
      </c>
      <c r="E316" s="1" t="s">
        <v>66</v>
      </c>
      <c r="F316" s="1" t="s">
        <v>75</v>
      </c>
      <c r="G316" s="1" t="s">
        <v>132</v>
      </c>
      <c r="H316" s="1" t="s">
        <v>99</v>
      </c>
      <c r="I316" s="1" t="s">
        <v>24</v>
      </c>
      <c r="J316" s="7">
        <v>45606</v>
      </c>
      <c r="K316" s="1" t="s">
        <v>224</v>
      </c>
      <c r="L316" s="1">
        <v>5</v>
      </c>
      <c r="M316" s="1" t="s">
        <v>27</v>
      </c>
      <c r="N316" s="1" t="s">
        <v>39</v>
      </c>
      <c r="O316" s="1">
        <v>25493.32</v>
      </c>
      <c r="P316" s="1">
        <v>2</v>
      </c>
      <c r="Q316" s="1" t="s">
        <v>40</v>
      </c>
    </row>
    <row r="317" spans="1:17">
      <c r="A317" s="1" t="s">
        <v>771</v>
      </c>
      <c r="B317" s="1" t="s">
        <v>453</v>
      </c>
      <c r="C317" s="1">
        <v>43</v>
      </c>
      <c r="D317" s="1" t="s">
        <v>19</v>
      </c>
      <c r="E317" s="1" t="s">
        <v>159</v>
      </c>
      <c r="F317" s="1" t="s">
        <v>52</v>
      </c>
      <c r="G317" s="1" t="s">
        <v>68</v>
      </c>
      <c r="H317" s="1" t="s">
        <v>69</v>
      </c>
      <c r="I317" s="1" t="s">
        <v>24</v>
      </c>
      <c r="J317" s="7" t="s">
        <v>772</v>
      </c>
      <c r="K317" s="1" t="s">
        <v>773</v>
      </c>
      <c r="L317" s="1">
        <v>3</v>
      </c>
      <c r="M317" s="1" t="s">
        <v>38</v>
      </c>
      <c r="N317" s="1" t="s">
        <v>28</v>
      </c>
      <c r="O317" s="1">
        <v>60247.5</v>
      </c>
      <c r="P317" s="1">
        <v>4</v>
      </c>
      <c r="Q317" s="1" t="s">
        <v>72</v>
      </c>
    </row>
    <row r="318" spans="1:17">
      <c r="A318" s="1" t="s">
        <v>774</v>
      </c>
      <c r="B318" s="1" t="s">
        <v>176</v>
      </c>
      <c r="C318" s="1">
        <v>39</v>
      </c>
      <c r="D318" s="1" t="s">
        <v>43</v>
      </c>
      <c r="E318" s="1" t="s">
        <v>51</v>
      </c>
      <c r="F318" s="1" t="s">
        <v>33</v>
      </c>
      <c r="G318" s="1" t="s">
        <v>22</v>
      </c>
      <c r="H318" s="1" t="s">
        <v>105</v>
      </c>
      <c r="I318" s="1" t="s">
        <v>24</v>
      </c>
      <c r="J318" s="7">
        <v>45992</v>
      </c>
      <c r="K318" s="1" t="s">
        <v>665</v>
      </c>
      <c r="L318" s="1">
        <v>10</v>
      </c>
      <c r="M318" s="1" t="s">
        <v>56</v>
      </c>
      <c r="N318" s="1" t="s">
        <v>63</v>
      </c>
      <c r="O318" s="1">
        <v>57962.04</v>
      </c>
      <c r="P318" s="1">
        <v>3</v>
      </c>
      <c r="Q318" s="1" t="s">
        <v>29</v>
      </c>
    </row>
    <row r="319" spans="1:17">
      <c r="A319" s="1" t="s">
        <v>775</v>
      </c>
      <c r="B319" s="1" t="s">
        <v>308</v>
      </c>
      <c r="C319" s="1">
        <v>79</v>
      </c>
      <c r="D319" s="1" t="s">
        <v>19</v>
      </c>
      <c r="E319" s="1" t="s">
        <v>44</v>
      </c>
      <c r="F319" s="1" t="s">
        <v>120</v>
      </c>
      <c r="G319" s="1" t="s">
        <v>22</v>
      </c>
      <c r="H319" s="1" t="s">
        <v>93</v>
      </c>
      <c r="I319" s="1" t="s">
        <v>62</v>
      </c>
      <c r="J319" s="7" t="s">
        <v>776</v>
      </c>
      <c r="K319" s="1" t="s">
        <v>777</v>
      </c>
      <c r="L319" s="1">
        <v>7</v>
      </c>
      <c r="M319" s="1" t="s">
        <v>27</v>
      </c>
      <c r="N319" s="1" t="s">
        <v>90</v>
      </c>
      <c r="O319" s="1">
        <v>64857.41</v>
      </c>
      <c r="P319" s="1">
        <v>4</v>
      </c>
      <c r="Q319" s="1" t="s">
        <v>40</v>
      </c>
    </row>
    <row r="320" spans="1:17">
      <c r="A320" s="1" t="s">
        <v>778</v>
      </c>
      <c r="B320" s="1" t="s">
        <v>507</v>
      </c>
      <c r="C320" s="1">
        <v>17</v>
      </c>
      <c r="D320" s="1" t="s">
        <v>27</v>
      </c>
      <c r="E320" s="1" t="s">
        <v>202</v>
      </c>
      <c r="F320" s="1" t="s">
        <v>75</v>
      </c>
      <c r="G320" s="1" t="s">
        <v>104</v>
      </c>
      <c r="H320" s="1" t="s">
        <v>35</v>
      </c>
      <c r="I320" s="1" t="s">
        <v>36</v>
      </c>
      <c r="J320" s="7" t="s">
        <v>199</v>
      </c>
      <c r="K320" s="2">
        <v>45724</v>
      </c>
      <c r="L320" s="1">
        <v>4</v>
      </c>
      <c r="M320" s="1" t="s">
        <v>97</v>
      </c>
      <c r="N320" s="1" t="s">
        <v>63</v>
      </c>
      <c r="O320" s="1">
        <v>76507.45</v>
      </c>
      <c r="P320" s="1">
        <v>3</v>
      </c>
      <c r="Q320" s="1" t="s">
        <v>72</v>
      </c>
    </row>
    <row r="321" spans="1:17">
      <c r="A321" s="1" t="s">
        <v>779</v>
      </c>
      <c r="B321" s="1" t="s">
        <v>780</v>
      </c>
      <c r="C321" s="1">
        <v>27</v>
      </c>
      <c r="D321" s="1" t="s">
        <v>27</v>
      </c>
      <c r="E321" s="1" t="s">
        <v>117</v>
      </c>
      <c r="F321" s="1" t="s">
        <v>120</v>
      </c>
      <c r="G321" s="1" t="s">
        <v>132</v>
      </c>
      <c r="H321" s="1" t="s">
        <v>99</v>
      </c>
      <c r="I321" s="1" t="s">
        <v>24</v>
      </c>
      <c r="J321" s="7" t="s">
        <v>160</v>
      </c>
      <c r="K321" s="2">
        <v>45660</v>
      </c>
      <c r="L321" s="1">
        <v>1</v>
      </c>
      <c r="M321" s="1" t="s">
        <v>27</v>
      </c>
      <c r="N321" s="1" t="s">
        <v>82</v>
      </c>
      <c r="O321" s="1">
        <v>58765.14</v>
      </c>
      <c r="P321" s="1">
        <v>4</v>
      </c>
      <c r="Q321" s="1" t="s">
        <v>72</v>
      </c>
    </row>
    <row r="322" spans="1:17">
      <c r="A322" s="1" t="s">
        <v>781</v>
      </c>
      <c r="B322" s="1" t="s">
        <v>670</v>
      </c>
      <c r="C322" s="1">
        <v>15</v>
      </c>
      <c r="D322" s="1" t="s">
        <v>27</v>
      </c>
      <c r="E322" s="1" t="s">
        <v>202</v>
      </c>
      <c r="F322" s="1" t="s">
        <v>52</v>
      </c>
      <c r="G322" s="1" t="s">
        <v>34</v>
      </c>
      <c r="H322" s="1" t="s">
        <v>35</v>
      </c>
      <c r="I322" s="1" t="s">
        <v>36</v>
      </c>
      <c r="J322" s="7">
        <v>45485</v>
      </c>
      <c r="K322" s="2">
        <v>45577</v>
      </c>
      <c r="L322" s="1">
        <v>3</v>
      </c>
      <c r="M322" s="1" t="s">
        <v>97</v>
      </c>
      <c r="N322" s="1" t="s">
        <v>85</v>
      </c>
      <c r="O322" s="1">
        <v>51029.7</v>
      </c>
      <c r="P322" s="1">
        <v>5</v>
      </c>
      <c r="Q322" s="1" t="s">
        <v>58</v>
      </c>
    </row>
    <row r="323" spans="1:17">
      <c r="A323" s="1" t="s">
        <v>782</v>
      </c>
      <c r="B323" s="1" t="s">
        <v>285</v>
      </c>
      <c r="C323" s="1">
        <v>69</v>
      </c>
      <c r="D323" s="1" t="s">
        <v>43</v>
      </c>
      <c r="E323" s="1" t="s">
        <v>66</v>
      </c>
      <c r="F323" s="1" t="s">
        <v>120</v>
      </c>
      <c r="G323" s="1" t="s">
        <v>53</v>
      </c>
      <c r="H323" s="1" t="s">
        <v>23</v>
      </c>
      <c r="I323" s="1" t="s">
        <v>36</v>
      </c>
      <c r="J323" s="7" t="s">
        <v>100</v>
      </c>
      <c r="K323" s="1" t="s">
        <v>366</v>
      </c>
      <c r="L323" s="1">
        <v>4</v>
      </c>
      <c r="M323" s="1" t="s">
        <v>38</v>
      </c>
      <c r="N323" s="1" t="s">
        <v>57</v>
      </c>
      <c r="O323" s="1">
        <v>70925.240000000005</v>
      </c>
      <c r="P323" s="1">
        <v>4</v>
      </c>
      <c r="Q323" s="1" t="s">
        <v>29</v>
      </c>
    </row>
    <row r="324" spans="1:17">
      <c r="A324" s="1" t="s">
        <v>783</v>
      </c>
      <c r="B324" s="1" t="s">
        <v>405</v>
      </c>
      <c r="C324" s="1">
        <v>74</v>
      </c>
      <c r="D324" s="1" t="s">
        <v>27</v>
      </c>
      <c r="E324" s="1" t="s">
        <v>20</v>
      </c>
      <c r="F324" s="1" t="s">
        <v>120</v>
      </c>
      <c r="G324" s="1" t="s">
        <v>68</v>
      </c>
      <c r="H324" s="1" t="s">
        <v>88</v>
      </c>
      <c r="I324" s="1" t="s">
        <v>62</v>
      </c>
      <c r="J324" s="7">
        <v>45690</v>
      </c>
      <c r="K324" s="2">
        <v>45840</v>
      </c>
      <c r="L324" s="1">
        <v>5</v>
      </c>
      <c r="M324" s="1" t="s">
        <v>38</v>
      </c>
      <c r="N324" s="1" t="s">
        <v>85</v>
      </c>
      <c r="O324" s="1">
        <v>63818.32</v>
      </c>
      <c r="P324" s="1">
        <v>3</v>
      </c>
      <c r="Q324" s="1" t="s">
        <v>40</v>
      </c>
    </row>
    <row r="325" spans="1:17">
      <c r="A325" s="1" t="s">
        <v>784</v>
      </c>
      <c r="B325" s="1" t="s">
        <v>378</v>
      </c>
      <c r="C325" s="1">
        <v>23</v>
      </c>
      <c r="D325" s="1" t="s">
        <v>19</v>
      </c>
      <c r="E325" s="1" t="s">
        <v>20</v>
      </c>
      <c r="F325" s="1" t="s">
        <v>120</v>
      </c>
      <c r="G325" s="1" t="s">
        <v>104</v>
      </c>
      <c r="H325" s="1" t="s">
        <v>23</v>
      </c>
      <c r="I325" s="1" t="s">
        <v>62</v>
      </c>
      <c r="J325" s="7" t="s">
        <v>257</v>
      </c>
      <c r="K325" s="1" t="s">
        <v>785</v>
      </c>
      <c r="L325" s="1">
        <v>8</v>
      </c>
      <c r="M325" s="1" t="s">
        <v>27</v>
      </c>
      <c r="N325" s="1" t="s">
        <v>82</v>
      </c>
      <c r="O325" s="1">
        <v>17275.3</v>
      </c>
      <c r="P325" s="1">
        <v>4</v>
      </c>
      <c r="Q325" s="1" t="s">
        <v>40</v>
      </c>
    </row>
    <row r="326" spans="1:17">
      <c r="A326" s="1" t="s">
        <v>786</v>
      </c>
      <c r="B326" s="1" t="s">
        <v>109</v>
      </c>
      <c r="C326" s="1">
        <v>19</v>
      </c>
      <c r="D326" s="1" t="s">
        <v>19</v>
      </c>
      <c r="E326" s="1" t="s">
        <v>247</v>
      </c>
      <c r="F326" s="1" t="s">
        <v>33</v>
      </c>
      <c r="G326" s="1" t="s">
        <v>22</v>
      </c>
      <c r="H326" s="1" t="s">
        <v>99</v>
      </c>
      <c r="I326" s="1" t="s">
        <v>36</v>
      </c>
      <c r="J326" s="7">
        <v>45997</v>
      </c>
      <c r="K326" s="1" t="s">
        <v>787</v>
      </c>
      <c r="L326" s="1">
        <v>1</v>
      </c>
      <c r="M326" s="1" t="s">
        <v>48</v>
      </c>
      <c r="N326" s="1" t="s">
        <v>90</v>
      </c>
      <c r="O326" s="1">
        <v>34701.64</v>
      </c>
      <c r="P326" s="1">
        <v>2</v>
      </c>
      <c r="Q326" s="1" t="s">
        <v>40</v>
      </c>
    </row>
    <row r="327" spans="1:17">
      <c r="A327" s="1" t="s">
        <v>788</v>
      </c>
      <c r="B327" s="1" t="s">
        <v>726</v>
      </c>
      <c r="C327" s="1">
        <v>3</v>
      </c>
      <c r="D327" s="1" t="s">
        <v>27</v>
      </c>
      <c r="E327" s="1" t="s">
        <v>44</v>
      </c>
      <c r="F327" s="1" t="s">
        <v>67</v>
      </c>
      <c r="G327" s="1" t="s">
        <v>53</v>
      </c>
      <c r="H327" s="1" t="s">
        <v>93</v>
      </c>
      <c r="I327" s="1" t="s">
        <v>24</v>
      </c>
      <c r="J327" s="7" t="s">
        <v>789</v>
      </c>
      <c r="K327" s="1" t="s">
        <v>517</v>
      </c>
      <c r="L327" s="1">
        <v>2</v>
      </c>
      <c r="M327" s="1" t="s">
        <v>48</v>
      </c>
      <c r="N327" s="1" t="s">
        <v>85</v>
      </c>
      <c r="O327" s="1">
        <v>88157.23</v>
      </c>
      <c r="P327" s="1">
        <v>3</v>
      </c>
      <c r="Q327" s="1" t="s">
        <v>40</v>
      </c>
    </row>
    <row r="328" spans="1:17">
      <c r="A328" s="1" t="s">
        <v>790</v>
      </c>
      <c r="B328" s="1" t="s">
        <v>527</v>
      </c>
      <c r="C328" s="1">
        <v>71</v>
      </c>
      <c r="D328" s="1" t="s">
        <v>43</v>
      </c>
      <c r="E328" s="1" t="s">
        <v>202</v>
      </c>
      <c r="F328" s="1" t="s">
        <v>33</v>
      </c>
      <c r="G328" s="1" t="s">
        <v>68</v>
      </c>
      <c r="H328" s="1" t="s">
        <v>69</v>
      </c>
      <c r="I328" s="1" t="s">
        <v>24</v>
      </c>
      <c r="J328" s="7">
        <v>45392</v>
      </c>
      <c r="K328" s="2">
        <v>45545</v>
      </c>
      <c r="L328" s="1">
        <v>5</v>
      </c>
      <c r="M328" s="1" t="s">
        <v>48</v>
      </c>
      <c r="N328" s="1" t="s">
        <v>28</v>
      </c>
      <c r="O328" s="1">
        <v>77133.75</v>
      </c>
      <c r="P328" s="1">
        <v>4</v>
      </c>
      <c r="Q328" s="1" t="s">
        <v>58</v>
      </c>
    </row>
    <row r="329" spans="1:17">
      <c r="A329" s="1" t="s">
        <v>791</v>
      </c>
      <c r="B329" s="1" t="s">
        <v>792</v>
      </c>
      <c r="C329" s="1">
        <v>7</v>
      </c>
      <c r="D329" s="1" t="s">
        <v>19</v>
      </c>
      <c r="E329" s="1" t="s">
        <v>159</v>
      </c>
      <c r="F329" s="1" t="s">
        <v>67</v>
      </c>
      <c r="G329" s="1" t="s">
        <v>104</v>
      </c>
      <c r="H329" s="1" t="s">
        <v>69</v>
      </c>
      <c r="I329" s="1" t="s">
        <v>36</v>
      </c>
      <c r="J329" s="7">
        <v>45994</v>
      </c>
      <c r="K329" s="1" t="s">
        <v>340</v>
      </c>
      <c r="L329" s="1">
        <v>1</v>
      </c>
      <c r="M329" s="1" t="s">
        <v>48</v>
      </c>
      <c r="N329" s="1" t="s">
        <v>39</v>
      </c>
      <c r="O329" s="1">
        <v>37960.57</v>
      </c>
      <c r="P329" s="1">
        <v>4</v>
      </c>
      <c r="Q329" s="1" t="s">
        <v>58</v>
      </c>
    </row>
    <row r="330" spans="1:17">
      <c r="A330" s="1" t="s">
        <v>793</v>
      </c>
      <c r="B330" s="1" t="s">
        <v>437</v>
      </c>
      <c r="C330" s="1">
        <v>13</v>
      </c>
      <c r="D330" s="1" t="s">
        <v>43</v>
      </c>
      <c r="E330" s="1" t="s">
        <v>247</v>
      </c>
      <c r="F330" s="1" t="s">
        <v>33</v>
      </c>
      <c r="G330" s="1" t="s">
        <v>104</v>
      </c>
      <c r="H330" s="1" t="s">
        <v>61</v>
      </c>
      <c r="I330" s="1" t="s">
        <v>36</v>
      </c>
      <c r="J330" s="7" t="s">
        <v>516</v>
      </c>
      <c r="K330" s="1" t="s">
        <v>794</v>
      </c>
      <c r="L330" s="1">
        <v>6</v>
      </c>
      <c r="M330" s="1" t="s">
        <v>38</v>
      </c>
      <c r="N330" s="1" t="s">
        <v>39</v>
      </c>
      <c r="O330" s="1">
        <v>81163.72</v>
      </c>
      <c r="P330" s="1">
        <v>3</v>
      </c>
      <c r="Q330" s="1" t="s">
        <v>40</v>
      </c>
    </row>
    <row r="331" spans="1:17">
      <c r="A331" s="1" t="s">
        <v>795</v>
      </c>
      <c r="B331" s="1" t="s">
        <v>453</v>
      </c>
      <c r="C331" s="1">
        <v>59</v>
      </c>
      <c r="D331" s="1" t="s">
        <v>43</v>
      </c>
      <c r="E331" s="1" t="s">
        <v>51</v>
      </c>
      <c r="F331" s="1" t="s">
        <v>75</v>
      </c>
      <c r="G331" s="1" t="s">
        <v>104</v>
      </c>
      <c r="H331" s="1" t="s">
        <v>35</v>
      </c>
      <c r="I331" s="1" t="s">
        <v>62</v>
      </c>
      <c r="J331" s="7" t="s">
        <v>352</v>
      </c>
      <c r="K331" s="2">
        <v>45384</v>
      </c>
      <c r="L331" s="1">
        <v>4</v>
      </c>
      <c r="M331" s="1" t="s">
        <v>48</v>
      </c>
      <c r="N331" s="1" t="s">
        <v>82</v>
      </c>
      <c r="O331" s="1">
        <v>32604.79</v>
      </c>
      <c r="P331" s="1">
        <v>4</v>
      </c>
      <c r="Q331" s="1" t="s">
        <v>72</v>
      </c>
    </row>
    <row r="332" spans="1:17">
      <c r="A332" s="1" t="s">
        <v>796</v>
      </c>
      <c r="B332" s="1" t="s">
        <v>557</v>
      </c>
      <c r="C332" s="1">
        <v>39</v>
      </c>
      <c r="D332" s="1" t="s">
        <v>27</v>
      </c>
      <c r="E332" s="1" t="s">
        <v>20</v>
      </c>
      <c r="F332" s="1" t="s">
        <v>52</v>
      </c>
      <c r="G332" s="1" t="s">
        <v>132</v>
      </c>
      <c r="H332" s="1" t="s">
        <v>23</v>
      </c>
      <c r="I332" s="1" t="s">
        <v>24</v>
      </c>
      <c r="J332" s="7" t="s">
        <v>406</v>
      </c>
      <c r="K332" s="1" t="s">
        <v>366</v>
      </c>
      <c r="L332" s="1">
        <v>5</v>
      </c>
      <c r="M332" s="1" t="s">
        <v>97</v>
      </c>
      <c r="N332" s="1" t="s">
        <v>39</v>
      </c>
      <c r="O332" s="1">
        <v>23608.48</v>
      </c>
      <c r="P332" s="1">
        <v>4</v>
      </c>
      <c r="Q332" s="1" t="s">
        <v>58</v>
      </c>
    </row>
    <row r="333" spans="1:17">
      <c r="A333" s="1" t="s">
        <v>797</v>
      </c>
      <c r="B333" s="1" t="s">
        <v>302</v>
      </c>
      <c r="C333" s="1">
        <v>73</v>
      </c>
      <c r="D333" s="1" t="s">
        <v>43</v>
      </c>
      <c r="E333" s="1" t="s">
        <v>247</v>
      </c>
      <c r="F333" s="1" t="s">
        <v>67</v>
      </c>
      <c r="G333" s="1" t="s">
        <v>22</v>
      </c>
      <c r="H333" s="1" t="s">
        <v>69</v>
      </c>
      <c r="I333" s="1" t="s">
        <v>36</v>
      </c>
      <c r="J333" s="7">
        <v>45968</v>
      </c>
      <c r="K333" s="1" t="s">
        <v>163</v>
      </c>
      <c r="L333" s="1">
        <v>2</v>
      </c>
      <c r="M333" s="1" t="s">
        <v>97</v>
      </c>
      <c r="N333" s="1" t="s">
        <v>85</v>
      </c>
      <c r="O333" s="1">
        <v>73082.62</v>
      </c>
      <c r="P333" s="1">
        <v>2</v>
      </c>
      <c r="Q333" s="1" t="s">
        <v>40</v>
      </c>
    </row>
    <row r="334" spans="1:17">
      <c r="A334" s="1" t="s">
        <v>798</v>
      </c>
      <c r="B334" s="1" t="s">
        <v>60</v>
      </c>
      <c r="C334" s="1">
        <v>52</v>
      </c>
      <c r="D334" s="1" t="s">
        <v>19</v>
      </c>
      <c r="E334" s="1" t="s">
        <v>66</v>
      </c>
      <c r="F334" s="1" t="s">
        <v>67</v>
      </c>
      <c r="G334" s="1" t="s">
        <v>36</v>
      </c>
      <c r="H334" s="1" t="s">
        <v>88</v>
      </c>
      <c r="I334" s="1" t="s">
        <v>24</v>
      </c>
      <c r="J334" s="7">
        <v>45756</v>
      </c>
      <c r="K334" s="2">
        <v>45939</v>
      </c>
      <c r="L334" s="1">
        <v>6</v>
      </c>
      <c r="M334" s="1" t="s">
        <v>48</v>
      </c>
      <c r="N334" s="1" t="s">
        <v>39</v>
      </c>
      <c r="O334" s="1">
        <v>48083.55</v>
      </c>
      <c r="P334" s="1">
        <v>4</v>
      </c>
      <c r="Q334" s="1" t="s">
        <v>29</v>
      </c>
    </row>
    <row r="335" spans="1:17">
      <c r="A335" s="1" t="s">
        <v>799</v>
      </c>
      <c r="B335" s="1" t="s">
        <v>339</v>
      </c>
      <c r="C335" s="1">
        <v>85</v>
      </c>
      <c r="D335" s="1" t="s">
        <v>19</v>
      </c>
      <c r="E335" s="1" t="s">
        <v>137</v>
      </c>
      <c r="F335" s="1" t="s">
        <v>52</v>
      </c>
      <c r="G335" s="1" t="s">
        <v>104</v>
      </c>
      <c r="H335" s="1" t="s">
        <v>61</v>
      </c>
      <c r="I335" s="1" t="s">
        <v>62</v>
      </c>
      <c r="J335" s="7">
        <v>45873</v>
      </c>
      <c r="K335" s="2">
        <v>45934</v>
      </c>
      <c r="L335" s="1">
        <v>2</v>
      </c>
      <c r="M335" s="1" t="s">
        <v>48</v>
      </c>
      <c r="N335" s="1" t="s">
        <v>90</v>
      </c>
      <c r="O335" s="1">
        <v>27013.3</v>
      </c>
      <c r="P335" s="1">
        <v>5</v>
      </c>
      <c r="Q335" s="1" t="s">
        <v>72</v>
      </c>
    </row>
    <row r="336" spans="1:17">
      <c r="A336" s="1" t="s">
        <v>800</v>
      </c>
      <c r="B336" s="1" t="s">
        <v>524</v>
      </c>
      <c r="C336" s="1">
        <v>79</v>
      </c>
      <c r="D336" s="1" t="s">
        <v>27</v>
      </c>
      <c r="E336" s="1" t="s">
        <v>137</v>
      </c>
      <c r="F336" s="1" t="s">
        <v>52</v>
      </c>
      <c r="G336" s="1" t="s">
        <v>34</v>
      </c>
      <c r="H336" s="1" t="s">
        <v>23</v>
      </c>
      <c r="I336" s="1" t="s">
        <v>24</v>
      </c>
      <c r="J336" s="7" t="s">
        <v>801</v>
      </c>
      <c r="K336" s="2">
        <v>45719</v>
      </c>
      <c r="L336" s="1">
        <v>14</v>
      </c>
      <c r="M336" s="1" t="s">
        <v>97</v>
      </c>
      <c r="N336" s="1" t="s">
        <v>63</v>
      </c>
      <c r="O336" s="1">
        <v>136936.94</v>
      </c>
      <c r="P336" s="1">
        <v>5</v>
      </c>
      <c r="Q336" s="1" t="s">
        <v>40</v>
      </c>
    </row>
    <row r="337" spans="1:17">
      <c r="A337" s="1" t="s">
        <v>802</v>
      </c>
      <c r="B337" s="1" t="s">
        <v>344</v>
      </c>
      <c r="C337" s="1">
        <v>49</v>
      </c>
      <c r="D337" s="1" t="s">
        <v>43</v>
      </c>
      <c r="E337" s="1" t="s">
        <v>66</v>
      </c>
      <c r="F337" s="1" t="s">
        <v>120</v>
      </c>
      <c r="G337" s="1" t="s">
        <v>104</v>
      </c>
      <c r="H337" s="1" t="s">
        <v>35</v>
      </c>
      <c r="I337" s="1" t="s">
        <v>24</v>
      </c>
      <c r="J337" s="7" t="s">
        <v>803</v>
      </c>
      <c r="K337" s="1" t="s">
        <v>804</v>
      </c>
      <c r="L337" s="1">
        <v>4</v>
      </c>
      <c r="M337" s="1" t="s">
        <v>56</v>
      </c>
      <c r="N337" s="1" t="s">
        <v>85</v>
      </c>
      <c r="O337" s="1">
        <v>25740.560000000001</v>
      </c>
      <c r="P337" s="1">
        <v>4</v>
      </c>
      <c r="Q337" s="1" t="s">
        <v>72</v>
      </c>
    </row>
    <row r="338" spans="1:17">
      <c r="A338" s="1" t="s">
        <v>805</v>
      </c>
      <c r="B338" s="1" t="s">
        <v>806</v>
      </c>
      <c r="C338" s="1">
        <v>10</v>
      </c>
      <c r="D338" s="1" t="s">
        <v>27</v>
      </c>
      <c r="E338" s="1" t="s">
        <v>44</v>
      </c>
      <c r="F338" s="1" t="s">
        <v>33</v>
      </c>
      <c r="G338" s="1" t="s">
        <v>36</v>
      </c>
      <c r="H338" s="1" t="s">
        <v>35</v>
      </c>
      <c r="I338" s="1" t="s">
        <v>24</v>
      </c>
      <c r="J338" s="7" t="s">
        <v>444</v>
      </c>
      <c r="K338" s="1" t="s">
        <v>807</v>
      </c>
      <c r="L338" s="1">
        <v>7</v>
      </c>
      <c r="M338" s="1" t="s">
        <v>56</v>
      </c>
      <c r="N338" s="1" t="s">
        <v>57</v>
      </c>
      <c r="O338" s="1">
        <v>18180.43</v>
      </c>
      <c r="P338" s="1">
        <v>4</v>
      </c>
      <c r="Q338" s="1" t="s">
        <v>58</v>
      </c>
    </row>
    <row r="339" spans="1:17">
      <c r="A339" s="1" t="s">
        <v>808</v>
      </c>
      <c r="B339" s="1" t="s">
        <v>114</v>
      </c>
      <c r="C339" s="1">
        <v>71</v>
      </c>
      <c r="D339" s="1" t="s">
        <v>43</v>
      </c>
      <c r="E339" s="1" t="s">
        <v>51</v>
      </c>
      <c r="F339" s="1" t="s">
        <v>67</v>
      </c>
      <c r="G339" s="1" t="s">
        <v>34</v>
      </c>
      <c r="H339" s="1" t="s">
        <v>69</v>
      </c>
      <c r="I339" s="1" t="s">
        <v>62</v>
      </c>
      <c r="J339" s="7" t="s">
        <v>601</v>
      </c>
      <c r="K339" s="1" t="s">
        <v>809</v>
      </c>
      <c r="L339" s="1">
        <v>2</v>
      </c>
      <c r="M339" s="1" t="s">
        <v>48</v>
      </c>
      <c r="N339" s="1" t="s">
        <v>28</v>
      </c>
      <c r="O339" s="1">
        <v>89854.41</v>
      </c>
      <c r="P339" s="1">
        <v>5</v>
      </c>
      <c r="Q339" s="1" t="s">
        <v>58</v>
      </c>
    </row>
    <row r="340" spans="1:17">
      <c r="A340" s="1" t="s">
        <v>810</v>
      </c>
      <c r="B340" s="1" t="s">
        <v>109</v>
      </c>
      <c r="C340" s="1">
        <v>48</v>
      </c>
      <c r="D340" s="1" t="s">
        <v>19</v>
      </c>
      <c r="E340" s="1" t="s">
        <v>20</v>
      </c>
      <c r="F340" s="1" t="s">
        <v>33</v>
      </c>
      <c r="G340" s="1" t="s">
        <v>68</v>
      </c>
      <c r="H340" s="1" t="s">
        <v>93</v>
      </c>
      <c r="I340" s="1" t="s">
        <v>24</v>
      </c>
      <c r="J340" s="7" t="s">
        <v>289</v>
      </c>
      <c r="K340" s="1" t="s">
        <v>811</v>
      </c>
      <c r="L340" s="1">
        <v>7</v>
      </c>
      <c r="M340" s="1" t="s">
        <v>48</v>
      </c>
      <c r="N340" s="1" t="s">
        <v>63</v>
      </c>
      <c r="O340" s="1">
        <v>49737.32</v>
      </c>
      <c r="P340" s="1">
        <v>4</v>
      </c>
      <c r="Q340" s="1" t="s">
        <v>40</v>
      </c>
    </row>
    <row r="341" spans="1:17">
      <c r="A341" s="1" t="s">
        <v>812</v>
      </c>
      <c r="B341" s="1" t="s">
        <v>339</v>
      </c>
      <c r="C341" s="1">
        <v>79</v>
      </c>
      <c r="D341" s="1" t="s">
        <v>19</v>
      </c>
      <c r="E341" s="1" t="s">
        <v>66</v>
      </c>
      <c r="F341" s="1" t="s">
        <v>75</v>
      </c>
      <c r="G341" s="1" t="s">
        <v>104</v>
      </c>
      <c r="H341" s="1" t="s">
        <v>69</v>
      </c>
      <c r="I341" s="1" t="s">
        <v>24</v>
      </c>
      <c r="J341" s="7" t="s">
        <v>813</v>
      </c>
      <c r="K341" s="1" t="s">
        <v>218</v>
      </c>
      <c r="L341" s="1">
        <v>8</v>
      </c>
      <c r="M341" s="1" t="s">
        <v>27</v>
      </c>
      <c r="N341" s="1" t="s">
        <v>63</v>
      </c>
      <c r="O341" s="1">
        <v>81960.58</v>
      </c>
      <c r="P341" s="1">
        <v>4</v>
      </c>
      <c r="Q341" s="1" t="s">
        <v>40</v>
      </c>
    </row>
    <row r="342" spans="1:17">
      <c r="A342" s="1" t="s">
        <v>814</v>
      </c>
      <c r="B342" s="1" t="s">
        <v>50</v>
      </c>
      <c r="C342" s="1">
        <v>73</v>
      </c>
      <c r="D342" s="1" t="s">
        <v>43</v>
      </c>
      <c r="E342" s="1" t="s">
        <v>51</v>
      </c>
      <c r="F342" s="1" t="s">
        <v>75</v>
      </c>
      <c r="G342" s="1" t="s">
        <v>34</v>
      </c>
      <c r="H342" s="1" t="s">
        <v>105</v>
      </c>
      <c r="I342" s="1" t="s">
        <v>62</v>
      </c>
      <c r="J342" s="7">
        <v>45354</v>
      </c>
      <c r="K342" s="2">
        <v>45476</v>
      </c>
      <c r="L342" s="1">
        <v>4</v>
      </c>
      <c r="M342" s="1" t="s">
        <v>38</v>
      </c>
      <c r="N342" s="1" t="s">
        <v>85</v>
      </c>
      <c r="O342" s="1">
        <v>125180.88</v>
      </c>
      <c r="P342" s="1">
        <v>3</v>
      </c>
      <c r="Q342" s="1" t="s">
        <v>40</v>
      </c>
    </row>
    <row r="343" spans="1:17">
      <c r="A343" s="1" t="s">
        <v>815</v>
      </c>
      <c r="B343" s="1" t="s">
        <v>816</v>
      </c>
      <c r="C343" s="1">
        <v>36</v>
      </c>
      <c r="D343" s="1" t="s">
        <v>43</v>
      </c>
      <c r="E343" s="1" t="s">
        <v>66</v>
      </c>
      <c r="F343" s="1" t="s">
        <v>67</v>
      </c>
      <c r="G343" s="1" t="s">
        <v>110</v>
      </c>
      <c r="H343" s="1" t="s">
        <v>93</v>
      </c>
      <c r="I343" s="1" t="s">
        <v>36</v>
      </c>
      <c r="J343" s="7" t="s">
        <v>817</v>
      </c>
      <c r="K343" s="1" t="s">
        <v>818</v>
      </c>
      <c r="L343" s="1">
        <v>1</v>
      </c>
      <c r="M343" s="1" t="s">
        <v>38</v>
      </c>
      <c r="N343" s="1" t="s">
        <v>28</v>
      </c>
      <c r="O343" s="1">
        <v>52946.98</v>
      </c>
      <c r="P343" s="1">
        <v>5</v>
      </c>
      <c r="Q343" s="1" t="s">
        <v>29</v>
      </c>
    </row>
    <row r="344" spans="1:17">
      <c r="A344" s="1" t="s">
        <v>819</v>
      </c>
      <c r="B344" s="1" t="s">
        <v>770</v>
      </c>
      <c r="C344" s="1">
        <v>77</v>
      </c>
      <c r="D344" s="1" t="s">
        <v>19</v>
      </c>
      <c r="E344" s="1" t="s">
        <v>117</v>
      </c>
      <c r="F344" s="1" t="s">
        <v>75</v>
      </c>
      <c r="G344" s="1" t="s">
        <v>104</v>
      </c>
      <c r="H344" s="1" t="s">
        <v>35</v>
      </c>
      <c r="I344" s="1" t="s">
        <v>36</v>
      </c>
      <c r="J344" s="7" t="s">
        <v>487</v>
      </c>
      <c r="K344" s="1" t="s">
        <v>820</v>
      </c>
      <c r="L344" s="1">
        <v>8</v>
      </c>
      <c r="M344" s="1" t="s">
        <v>56</v>
      </c>
      <c r="N344" s="1" t="s">
        <v>57</v>
      </c>
      <c r="O344" s="1">
        <v>34240.68</v>
      </c>
      <c r="P344" s="1">
        <v>5</v>
      </c>
      <c r="Q344" s="1" t="s">
        <v>58</v>
      </c>
    </row>
    <row r="345" spans="1:17">
      <c r="A345" s="1" t="s">
        <v>821</v>
      </c>
      <c r="B345" s="1" t="s">
        <v>428</v>
      </c>
      <c r="C345" s="1">
        <v>61</v>
      </c>
      <c r="D345" s="1" t="s">
        <v>43</v>
      </c>
      <c r="E345" s="1" t="s">
        <v>117</v>
      </c>
      <c r="F345" s="1" t="s">
        <v>33</v>
      </c>
      <c r="G345" s="1" t="s">
        <v>36</v>
      </c>
      <c r="H345" s="1" t="s">
        <v>93</v>
      </c>
      <c r="I345" s="1" t="s">
        <v>62</v>
      </c>
      <c r="J345" s="7">
        <v>45693</v>
      </c>
      <c r="K345" s="2">
        <v>45752</v>
      </c>
      <c r="L345" s="1">
        <v>2</v>
      </c>
      <c r="M345" s="1" t="s">
        <v>38</v>
      </c>
      <c r="N345" s="1" t="s">
        <v>90</v>
      </c>
      <c r="O345" s="1">
        <v>31171.64</v>
      </c>
      <c r="P345" s="1">
        <v>4</v>
      </c>
      <c r="Q345" s="1" t="s">
        <v>72</v>
      </c>
    </row>
    <row r="346" spans="1:17">
      <c r="A346" s="1" t="s">
        <v>822</v>
      </c>
      <c r="B346" s="1" t="s">
        <v>538</v>
      </c>
      <c r="C346" s="1">
        <v>13</v>
      </c>
      <c r="D346" s="1" t="s">
        <v>27</v>
      </c>
      <c r="E346" s="1" t="s">
        <v>20</v>
      </c>
      <c r="F346" s="1" t="s">
        <v>52</v>
      </c>
      <c r="G346" s="1" t="s">
        <v>53</v>
      </c>
      <c r="H346" s="1" t="s">
        <v>105</v>
      </c>
      <c r="I346" s="1" t="s">
        <v>24</v>
      </c>
      <c r="J346" s="7" t="s">
        <v>823</v>
      </c>
      <c r="K346" s="1" t="s">
        <v>824</v>
      </c>
      <c r="L346" s="1">
        <v>16</v>
      </c>
      <c r="M346" s="1" t="s">
        <v>27</v>
      </c>
      <c r="N346" s="1" t="s">
        <v>39</v>
      </c>
      <c r="O346" s="1">
        <v>50728.51</v>
      </c>
      <c r="P346" s="1">
        <v>4</v>
      </c>
      <c r="Q346" s="1" t="s">
        <v>29</v>
      </c>
    </row>
    <row r="347" spans="1:17">
      <c r="A347" s="1" t="s">
        <v>825</v>
      </c>
      <c r="B347" s="1" t="s">
        <v>826</v>
      </c>
      <c r="C347" s="1">
        <v>67</v>
      </c>
      <c r="D347" s="1" t="s">
        <v>43</v>
      </c>
      <c r="E347" s="1" t="s">
        <v>202</v>
      </c>
      <c r="F347" s="1" t="s">
        <v>75</v>
      </c>
      <c r="G347" s="1" t="s">
        <v>22</v>
      </c>
      <c r="H347" s="1" t="s">
        <v>93</v>
      </c>
      <c r="I347" s="1" t="s">
        <v>24</v>
      </c>
      <c r="J347" s="7" t="s">
        <v>251</v>
      </c>
      <c r="K347" s="1" t="s">
        <v>827</v>
      </c>
      <c r="L347" s="1">
        <v>1</v>
      </c>
      <c r="M347" s="1" t="s">
        <v>48</v>
      </c>
      <c r="N347" s="1" t="s">
        <v>28</v>
      </c>
      <c r="O347" s="1">
        <v>37660.699999999997</v>
      </c>
      <c r="P347" s="1">
        <v>5</v>
      </c>
      <c r="Q347" s="1" t="s">
        <v>29</v>
      </c>
    </row>
    <row r="348" spans="1:17">
      <c r="A348" s="1" t="s">
        <v>828</v>
      </c>
      <c r="B348" s="1" t="s">
        <v>405</v>
      </c>
      <c r="C348" s="1">
        <v>77</v>
      </c>
      <c r="D348" s="1" t="s">
        <v>27</v>
      </c>
      <c r="E348" s="1" t="s">
        <v>117</v>
      </c>
      <c r="F348" s="1" t="s">
        <v>33</v>
      </c>
      <c r="G348" s="1" t="s">
        <v>110</v>
      </c>
      <c r="H348" s="1" t="s">
        <v>45</v>
      </c>
      <c r="I348" s="1" t="s">
        <v>24</v>
      </c>
      <c r="J348" s="7">
        <v>45387</v>
      </c>
      <c r="K348" s="2">
        <v>45540</v>
      </c>
      <c r="L348" s="1">
        <v>5</v>
      </c>
      <c r="M348" s="1" t="s">
        <v>38</v>
      </c>
      <c r="N348" s="1" t="s">
        <v>82</v>
      </c>
      <c r="O348" s="1">
        <v>89653.85</v>
      </c>
      <c r="P348" s="1">
        <v>4</v>
      </c>
      <c r="Q348" s="1" t="s">
        <v>29</v>
      </c>
    </row>
    <row r="349" spans="1:17">
      <c r="A349" s="1" t="s">
        <v>829</v>
      </c>
      <c r="B349" s="1" t="s">
        <v>830</v>
      </c>
      <c r="C349" s="1">
        <v>10</v>
      </c>
      <c r="D349" s="1" t="s">
        <v>43</v>
      </c>
      <c r="E349" s="1" t="s">
        <v>66</v>
      </c>
      <c r="F349" s="1" t="s">
        <v>52</v>
      </c>
      <c r="G349" s="1" t="s">
        <v>68</v>
      </c>
      <c r="H349" s="1" t="s">
        <v>105</v>
      </c>
      <c r="I349" s="1" t="s">
        <v>62</v>
      </c>
      <c r="J349" s="7">
        <v>45385</v>
      </c>
      <c r="K349" s="2">
        <v>45476</v>
      </c>
      <c r="L349" s="1">
        <v>3</v>
      </c>
      <c r="M349" s="1" t="s">
        <v>48</v>
      </c>
      <c r="N349" s="1" t="s">
        <v>85</v>
      </c>
      <c r="O349" s="1">
        <v>24988.85</v>
      </c>
      <c r="P349" s="1">
        <v>2</v>
      </c>
      <c r="Q349" s="1" t="s">
        <v>58</v>
      </c>
    </row>
    <row r="350" spans="1:17">
      <c r="A350" s="1" t="s">
        <v>831</v>
      </c>
      <c r="B350" s="1" t="s">
        <v>593</v>
      </c>
      <c r="C350" s="1">
        <v>28</v>
      </c>
      <c r="D350" s="1" t="s">
        <v>27</v>
      </c>
      <c r="E350" s="1" t="s">
        <v>137</v>
      </c>
      <c r="F350" s="1" t="s">
        <v>120</v>
      </c>
      <c r="G350" s="1" t="s">
        <v>68</v>
      </c>
      <c r="H350" s="1" t="s">
        <v>93</v>
      </c>
      <c r="I350" s="1" t="s">
        <v>36</v>
      </c>
      <c r="J350" s="7" t="s">
        <v>832</v>
      </c>
      <c r="K350" s="1" t="s">
        <v>833</v>
      </c>
      <c r="L350" s="1">
        <v>1</v>
      </c>
      <c r="M350" s="1" t="s">
        <v>38</v>
      </c>
      <c r="N350" s="1" t="s">
        <v>57</v>
      </c>
      <c r="O350" s="1">
        <v>13369.83</v>
      </c>
      <c r="P350" s="1">
        <v>4</v>
      </c>
      <c r="Q350" s="1" t="s">
        <v>72</v>
      </c>
    </row>
    <row r="351" spans="1:17">
      <c r="A351" s="1" t="s">
        <v>834</v>
      </c>
      <c r="B351" s="1" t="s">
        <v>194</v>
      </c>
      <c r="C351" s="1">
        <v>66</v>
      </c>
      <c r="D351" s="1" t="s">
        <v>27</v>
      </c>
      <c r="E351" s="1" t="s">
        <v>44</v>
      </c>
      <c r="F351" s="1" t="s">
        <v>67</v>
      </c>
      <c r="G351" s="1" t="s">
        <v>22</v>
      </c>
      <c r="H351" s="1" t="s">
        <v>23</v>
      </c>
      <c r="I351" s="1" t="s">
        <v>62</v>
      </c>
      <c r="J351" s="7" t="s">
        <v>482</v>
      </c>
      <c r="K351" s="1" t="s">
        <v>835</v>
      </c>
      <c r="L351" s="1">
        <v>3</v>
      </c>
      <c r="M351" s="1" t="s">
        <v>38</v>
      </c>
      <c r="N351" s="1" t="s">
        <v>63</v>
      </c>
      <c r="O351" s="1">
        <v>28486.82</v>
      </c>
      <c r="P351" s="1">
        <v>4</v>
      </c>
      <c r="Q351" s="1" t="s">
        <v>40</v>
      </c>
    </row>
    <row r="352" spans="1:17">
      <c r="A352" s="1" t="s">
        <v>836</v>
      </c>
      <c r="B352" s="1" t="s">
        <v>837</v>
      </c>
      <c r="C352" s="1">
        <v>52</v>
      </c>
      <c r="D352" s="1" t="s">
        <v>19</v>
      </c>
      <c r="E352" s="1" t="s">
        <v>51</v>
      </c>
      <c r="F352" s="1" t="s">
        <v>75</v>
      </c>
      <c r="G352" s="1" t="s">
        <v>53</v>
      </c>
      <c r="H352" s="1" t="s">
        <v>45</v>
      </c>
      <c r="I352" s="1" t="s">
        <v>62</v>
      </c>
      <c r="J352" s="7">
        <v>45910</v>
      </c>
      <c r="K352" s="2">
        <v>45940</v>
      </c>
      <c r="L352" s="1">
        <v>1</v>
      </c>
      <c r="M352" s="1" t="s">
        <v>56</v>
      </c>
      <c r="N352" s="1" t="s">
        <v>82</v>
      </c>
      <c r="O352" s="1">
        <v>138327.32</v>
      </c>
      <c r="P352" s="1">
        <v>3</v>
      </c>
      <c r="Q352" s="1" t="s">
        <v>58</v>
      </c>
    </row>
    <row r="353" spans="1:17">
      <c r="A353" s="1" t="s">
        <v>838</v>
      </c>
      <c r="B353" s="1" t="s">
        <v>204</v>
      </c>
      <c r="C353" s="1">
        <v>14</v>
      </c>
      <c r="D353" s="1" t="s">
        <v>27</v>
      </c>
      <c r="E353" s="1" t="s">
        <v>159</v>
      </c>
      <c r="F353" s="1" t="s">
        <v>33</v>
      </c>
      <c r="G353" s="1" t="s">
        <v>104</v>
      </c>
      <c r="H353" s="1" t="s">
        <v>61</v>
      </c>
      <c r="I353" s="1" t="s">
        <v>36</v>
      </c>
      <c r="J353" s="7">
        <v>45820</v>
      </c>
      <c r="K353" s="2">
        <v>45942</v>
      </c>
      <c r="L353" s="1">
        <v>4</v>
      </c>
      <c r="M353" s="1" t="s">
        <v>27</v>
      </c>
      <c r="N353" s="1" t="s">
        <v>63</v>
      </c>
      <c r="O353" s="1">
        <v>22215.84</v>
      </c>
      <c r="P353" s="1">
        <v>3</v>
      </c>
      <c r="Q353" s="1" t="s">
        <v>40</v>
      </c>
    </row>
    <row r="354" spans="1:17">
      <c r="A354" s="1" t="s">
        <v>839</v>
      </c>
      <c r="B354" s="1" t="s">
        <v>409</v>
      </c>
      <c r="C354" s="1">
        <v>64</v>
      </c>
      <c r="D354" s="1" t="s">
        <v>27</v>
      </c>
      <c r="E354" s="1" t="s">
        <v>66</v>
      </c>
      <c r="F354" s="1" t="s">
        <v>33</v>
      </c>
      <c r="G354" s="1" t="s">
        <v>104</v>
      </c>
      <c r="H354" s="1" t="s">
        <v>23</v>
      </c>
      <c r="I354" s="1" t="s">
        <v>24</v>
      </c>
      <c r="J354" s="7">
        <v>45781</v>
      </c>
      <c r="K354" s="2">
        <v>45812</v>
      </c>
      <c r="L354" s="1">
        <v>1</v>
      </c>
      <c r="M354" s="1" t="s">
        <v>48</v>
      </c>
      <c r="N354" s="1" t="s">
        <v>57</v>
      </c>
      <c r="O354" s="1">
        <v>22873.61</v>
      </c>
      <c r="P354" s="1">
        <v>4</v>
      </c>
      <c r="Q354" s="1" t="s">
        <v>72</v>
      </c>
    </row>
    <row r="355" spans="1:17">
      <c r="A355" s="1" t="s">
        <v>840</v>
      </c>
      <c r="B355" s="1" t="s">
        <v>521</v>
      </c>
      <c r="C355" s="1">
        <v>32</v>
      </c>
      <c r="D355" s="1" t="s">
        <v>27</v>
      </c>
      <c r="E355" s="1" t="s">
        <v>32</v>
      </c>
      <c r="F355" s="1" t="s">
        <v>75</v>
      </c>
      <c r="G355" s="1" t="s">
        <v>68</v>
      </c>
      <c r="H355" s="1" t="s">
        <v>45</v>
      </c>
      <c r="I355" s="1" t="s">
        <v>62</v>
      </c>
      <c r="J355" s="7" t="s">
        <v>841</v>
      </c>
      <c r="K355" s="1" t="s">
        <v>170</v>
      </c>
      <c r="L355" s="1">
        <v>1</v>
      </c>
      <c r="M355" s="1" t="s">
        <v>27</v>
      </c>
      <c r="N355" s="1" t="s">
        <v>39</v>
      </c>
      <c r="O355" s="1">
        <v>45301.48</v>
      </c>
      <c r="P355" s="1">
        <v>3</v>
      </c>
      <c r="Q355" s="1" t="s">
        <v>29</v>
      </c>
    </row>
    <row r="356" spans="1:17">
      <c r="A356" s="1" t="s">
        <v>842</v>
      </c>
      <c r="B356" s="1" t="s">
        <v>84</v>
      </c>
      <c r="C356" s="1">
        <v>9</v>
      </c>
      <c r="D356" s="1" t="s">
        <v>19</v>
      </c>
      <c r="E356" s="1" t="s">
        <v>247</v>
      </c>
      <c r="F356" s="1" t="s">
        <v>21</v>
      </c>
      <c r="G356" s="1" t="s">
        <v>36</v>
      </c>
      <c r="H356" s="1" t="s">
        <v>88</v>
      </c>
      <c r="I356" s="1" t="s">
        <v>36</v>
      </c>
      <c r="J356" s="7">
        <v>45994</v>
      </c>
      <c r="K356" s="1" t="s">
        <v>843</v>
      </c>
      <c r="L356" s="1">
        <v>9</v>
      </c>
      <c r="M356" s="1" t="s">
        <v>27</v>
      </c>
      <c r="N356" s="1" t="s">
        <v>85</v>
      </c>
      <c r="O356" s="1">
        <v>26023.22</v>
      </c>
      <c r="P356" s="1">
        <v>4</v>
      </c>
      <c r="Q356" s="1" t="s">
        <v>40</v>
      </c>
    </row>
    <row r="357" spans="1:17">
      <c r="A357" s="1" t="s">
        <v>844</v>
      </c>
      <c r="B357" s="1" t="s">
        <v>229</v>
      </c>
      <c r="C357" s="1">
        <v>9</v>
      </c>
      <c r="D357" s="1" t="s">
        <v>19</v>
      </c>
      <c r="E357" s="1" t="s">
        <v>66</v>
      </c>
      <c r="F357" s="1" t="s">
        <v>75</v>
      </c>
      <c r="G357" s="1" t="s">
        <v>132</v>
      </c>
      <c r="H357" s="1" t="s">
        <v>69</v>
      </c>
      <c r="I357" s="1" t="s">
        <v>62</v>
      </c>
      <c r="J357" s="7">
        <v>45483</v>
      </c>
      <c r="K357" s="2">
        <v>45575</v>
      </c>
      <c r="L357" s="1">
        <v>3</v>
      </c>
      <c r="M357" s="1" t="s">
        <v>48</v>
      </c>
      <c r="N357" s="1" t="s">
        <v>28</v>
      </c>
      <c r="O357" s="1">
        <v>14971.02</v>
      </c>
      <c r="P357" s="1">
        <v>2</v>
      </c>
      <c r="Q357" s="1" t="s">
        <v>72</v>
      </c>
    </row>
    <row r="358" spans="1:17">
      <c r="A358" s="1" t="s">
        <v>845</v>
      </c>
      <c r="B358" s="1" t="s">
        <v>212</v>
      </c>
      <c r="C358" s="1">
        <v>23</v>
      </c>
      <c r="D358" s="1" t="s">
        <v>19</v>
      </c>
      <c r="E358" s="1" t="s">
        <v>137</v>
      </c>
      <c r="F358" s="1" t="s">
        <v>21</v>
      </c>
      <c r="G358" s="1" t="s">
        <v>104</v>
      </c>
      <c r="H358" s="1" t="s">
        <v>35</v>
      </c>
      <c r="I358" s="1" t="s">
        <v>36</v>
      </c>
      <c r="J358" s="7" t="s">
        <v>846</v>
      </c>
      <c r="K358" s="1" t="s">
        <v>847</v>
      </c>
      <c r="L358" s="1">
        <v>5</v>
      </c>
      <c r="M358" s="1" t="s">
        <v>27</v>
      </c>
      <c r="N358" s="1" t="s">
        <v>63</v>
      </c>
      <c r="O358" s="1">
        <v>27049.7</v>
      </c>
      <c r="P358" s="1">
        <v>4</v>
      </c>
      <c r="Q358" s="1" t="s">
        <v>72</v>
      </c>
    </row>
    <row r="359" spans="1:17">
      <c r="A359" s="1" t="s">
        <v>848</v>
      </c>
      <c r="B359" s="1" t="s">
        <v>749</v>
      </c>
      <c r="C359" s="1">
        <v>77</v>
      </c>
      <c r="D359" s="1" t="s">
        <v>19</v>
      </c>
      <c r="E359" s="1" t="s">
        <v>51</v>
      </c>
      <c r="F359" s="1" t="s">
        <v>67</v>
      </c>
      <c r="G359" s="1" t="s">
        <v>34</v>
      </c>
      <c r="H359" s="1" t="s">
        <v>23</v>
      </c>
      <c r="I359" s="1" t="s">
        <v>36</v>
      </c>
      <c r="J359" s="7" t="s">
        <v>488</v>
      </c>
      <c r="K359" s="2">
        <v>45722</v>
      </c>
      <c r="L359" s="1">
        <v>8</v>
      </c>
      <c r="M359" s="1" t="s">
        <v>97</v>
      </c>
      <c r="N359" s="1" t="s">
        <v>39</v>
      </c>
      <c r="O359" s="1">
        <v>47662.82</v>
      </c>
      <c r="P359" s="1">
        <v>4</v>
      </c>
      <c r="Q359" s="1" t="s">
        <v>29</v>
      </c>
    </row>
    <row r="360" spans="1:17">
      <c r="A360" s="1" t="s">
        <v>849</v>
      </c>
      <c r="B360" s="1" t="s">
        <v>253</v>
      </c>
      <c r="C360" s="1">
        <v>36</v>
      </c>
      <c r="D360" s="1" t="s">
        <v>19</v>
      </c>
      <c r="E360" s="1" t="s">
        <v>247</v>
      </c>
      <c r="F360" s="1" t="s">
        <v>120</v>
      </c>
      <c r="G360" s="1" t="s">
        <v>104</v>
      </c>
      <c r="H360" s="1" t="s">
        <v>93</v>
      </c>
      <c r="I360" s="1" t="s">
        <v>36</v>
      </c>
      <c r="J360" s="7" t="s">
        <v>337</v>
      </c>
      <c r="K360" s="1" t="s">
        <v>134</v>
      </c>
      <c r="L360" s="1">
        <v>9</v>
      </c>
      <c r="M360" s="1" t="s">
        <v>97</v>
      </c>
      <c r="N360" s="1" t="s">
        <v>82</v>
      </c>
      <c r="O360" s="1">
        <v>31089.55</v>
      </c>
      <c r="P360" s="1">
        <v>4</v>
      </c>
      <c r="Q360" s="1" t="s">
        <v>40</v>
      </c>
    </row>
    <row r="361" spans="1:17">
      <c r="A361" s="1" t="s">
        <v>850</v>
      </c>
      <c r="B361" s="1" t="s">
        <v>816</v>
      </c>
      <c r="C361" s="1">
        <v>79</v>
      </c>
      <c r="D361" s="1" t="s">
        <v>43</v>
      </c>
      <c r="E361" s="1" t="s">
        <v>44</v>
      </c>
      <c r="F361" s="1" t="s">
        <v>67</v>
      </c>
      <c r="G361" s="1" t="s">
        <v>110</v>
      </c>
      <c r="H361" s="1" t="s">
        <v>35</v>
      </c>
      <c r="I361" s="1" t="s">
        <v>62</v>
      </c>
      <c r="J361" s="7" t="s">
        <v>46</v>
      </c>
      <c r="K361" s="1" t="s">
        <v>111</v>
      </c>
      <c r="L361" s="1">
        <v>7</v>
      </c>
      <c r="M361" s="1" t="s">
        <v>97</v>
      </c>
      <c r="N361" s="1" t="s">
        <v>85</v>
      </c>
      <c r="O361" s="1">
        <v>113480.24</v>
      </c>
      <c r="P361" s="1">
        <v>2</v>
      </c>
      <c r="Q361" s="1" t="s">
        <v>40</v>
      </c>
    </row>
    <row r="362" spans="1:17">
      <c r="A362" s="1" t="s">
        <v>851</v>
      </c>
      <c r="B362" s="1" t="s">
        <v>92</v>
      </c>
      <c r="C362" s="1">
        <v>30</v>
      </c>
      <c r="D362" s="1" t="s">
        <v>19</v>
      </c>
      <c r="E362" s="1" t="s">
        <v>202</v>
      </c>
      <c r="F362" s="1" t="s">
        <v>33</v>
      </c>
      <c r="G362" s="1" t="s">
        <v>132</v>
      </c>
      <c r="H362" s="1" t="s">
        <v>76</v>
      </c>
      <c r="I362" s="1" t="s">
        <v>36</v>
      </c>
      <c r="J362" s="7" t="s">
        <v>454</v>
      </c>
      <c r="K362" s="1" t="s">
        <v>248</v>
      </c>
      <c r="L362" s="1">
        <v>1</v>
      </c>
      <c r="M362" s="1" t="s">
        <v>56</v>
      </c>
      <c r="N362" s="1" t="s">
        <v>90</v>
      </c>
      <c r="O362" s="1">
        <v>77069.66</v>
      </c>
      <c r="P362" s="1">
        <v>2</v>
      </c>
      <c r="Q362" s="1" t="s">
        <v>58</v>
      </c>
    </row>
    <row r="363" spans="1:17">
      <c r="A363" s="1" t="s">
        <v>852</v>
      </c>
      <c r="B363" s="1" t="s">
        <v>242</v>
      </c>
      <c r="C363" s="1">
        <v>23</v>
      </c>
      <c r="D363" s="1" t="s">
        <v>43</v>
      </c>
      <c r="E363" s="1" t="s">
        <v>66</v>
      </c>
      <c r="F363" s="1" t="s">
        <v>75</v>
      </c>
      <c r="G363" s="1" t="s">
        <v>53</v>
      </c>
      <c r="H363" s="1" t="s">
        <v>105</v>
      </c>
      <c r="I363" s="1" t="s">
        <v>62</v>
      </c>
      <c r="J363" s="7" t="s">
        <v>853</v>
      </c>
      <c r="K363" s="1" t="s">
        <v>854</v>
      </c>
      <c r="L363" s="1">
        <v>4</v>
      </c>
      <c r="M363" s="1" t="s">
        <v>97</v>
      </c>
      <c r="N363" s="1" t="s">
        <v>57</v>
      </c>
      <c r="O363" s="1">
        <v>35177.599999999999</v>
      </c>
      <c r="P363" s="1">
        <v>4</v>
      </c>
      <c r="Q363" s="1" t="s">
        <v>29</v>
      </c>
    </row>
    <row r="364" spans="1:17">
      <c r="A364" s="1" t="s">
        <v>855</v>
      </c>
      <c r="B364" s="1" t="s">
        <v>212</v>
      </c>
      <c r="C364" s="1">
        <v>44</v>
      </c>
      <c r="D364" s="1" t="s">
        <v>19</v>
      </c>
      <c r="E364" s="1" t="s">
        <v>20</v>
      </c>
      <c r="F364" s="1" t="s">
        <v>67</v>
      </c>
      <c r="G364" s="1" t="s">
        <v>110</v>
      </c>
      <c r="H364" s="1" t="s">
        <v>69</v>
      </c>
      <c r="I364" s="1" t="s">
        <v>62</v>
      </c>
      <c r="J364" s="7" t="s">
        <v>313</v>
      </c>
      <c r="K364" s="1" t="s">
        <v>563</v>
      </c>
      <c r="L364" s="1">
        <v>1</v>
      </c>
      <c r="M364" s="1" t="s">
        <v>97</v>
      </c>
      <c r="N364" s="1" t="s">
        <v>82</v>
      </c>
      <c r="O364" s="1">
        <v>163114.13</v>
      </c>
      <c r="P364" s="1">
        <v>2</v>
      </c>
      <c r="Q364" s="1" t="s">
        <v>72</v>
      </c>
    </row>
    <row r="365" spans="1:17">
      <c r="A365" s="1" t="s">
        <v>856</v>
      </c>
      <c r="B365" s="1" t="s">
        <v>857</v>
      </c>
      <c r="C365" s="1">
        <v>55</v>
      </c>
      <c r="D365" s="1" t="s">
        <v>27</v>
      </c>
      <c r="E365" s="1" t="s">
        <v>137</v>
      </c>
      <c r="F365" s="1" t="s">
        <v>67</v>
      </c>
      <c r="G365" s="1" t="s">
        <v>110</v>
      </c>
      <c r="H365" s="1" t="s">
        <v>69</v>
      </c>
      <c r="I365" s="1" t="s">
        <v>62</v>
      </c>
      <c r="J365" s="7">
        <v>45544</v>
      </c>
      <c r="K365" s="2">
        <v>45605</v>
      </c>
      <c r="L365" s="1">
        <v>2</v>
      </c>
      <c r="M365" s="1" t="s">
        <v>97</v>
      </c>
      <c r="N365" s="1" t="s">
        <v>39</v>
      </c>
      <c r="O365" s="1">
        <v>122253.66</v>
      </c>
      <c r="P365" s="1">
        <v>2</v>
      </c>
      <c r="Q365" s="1" t="s">
        <v>72</v>
      </c>
    </row>
    <row r="366" spans="1:17">
      <c r="A366" s="1" t="s">
        <v>858</v>
      </c>
      <c r="B366" s="1" t="s">
        <v>409</v>
      </c>
      <c r="C366" s="1">
        <v>58</v>
      </c>
      <c r="D366" s="1" t="s">
        <v>43</v>
      </c>
      <c r="E366" s="1" t="s">
        <v>159</v>
      </c>
      <c r="F366" s="1" t="s">
        <v>52</v>
      </c>
      <c r="G366" s="1" t="s">
        <v>36</v>
      </c>
      <c r="H366" s="1" t="s">
        <v>61</v>
      </c>
      <c r="I366" s="1" t="s">
        <v>62</v>
      </c>
      <c r="J366" s="7">
        <v>45360</v>
      </c>
      <c r="K366" s="2">
        <v>45482</v>
      </c>
      <c r="L366" s="1">
        <v>4</v>
      </c>
      <c r="M366" s="1" t="s">
        <v>56</v>
      </c>
      <c r="N366" s="1" t="s">
        <v>63</v>
      </c>
      <c r="O366" s="1">
        <v>21687.98</v>
      </c>
      <c r="P366" s="1">
        <v>3</v>
      </c>
      <c r="Q366" s="1" t="s">
        <v>58</v>
      </c>
    </row>
    <row r="367" spans="1:17">
      <c r="A367" s="1" t="s">
        <v>859</v>
      </c>
      <c r="B367" s="1" t="s">
        <v>766</v>
      </c>
      <c r="C367" s="1">
        <v>74</v>
      </c>
      <c r="D367" s="1" t="s">
        <v>27</v>
      </c>
      <c r="E367" s="1" t="s">
        <v>247</v>
      </c>
      <c r="F367" s="1" t="s">
        <v>67</v>
      </c>
      <c r="G367" s="1" t="s">
        <v>110</v>
      </c>
      <c r="H367" s="1" t="s">
        <v>88</v>
      </c>
      <c r="I367" s="1" t="s">
        <v>36</v>
      </c>
      <c r="J367" s="7" t="s">
        <v>860</v>
      </c>
      <c r="K367" s="1" t="s">
        <v>738</v>
      </c>
      <c r="L367" s="1">
        <v>1</v>
      </c>
      <c r="M367" s="1" t="s">
        <v>38</v>
      </c>
      <c r="N367" s="1" t="s">
        <v>57</v>
      </c>
      <c r="O367" s="1">
        <v>105898.51</v>
      </c>
      <c r="P367" s="1">
        <v>1</v>
      </c>
      <c r="Q367" s="1" t="s">
        <v>40</v>
      </c>
    </row>
    <row r="368" spans="1:17">
      <c r="A368" s="1" t="s">
        <v>861</v>
      </c>
      <c r="B368" s="1" t="s">
        <v>126</v>
      </c>
      <c r="C368" s="1">
        <v>90</v>
      </c>
      <c r="D368" s="1" t="s">
        <v>27</v>
      </c>
      <c r="E368" s="1" t="s">
        <v>202</v>
      </c>
      <c r="F368" s="1" t="s">
        <v>75</v>
      </c>
      <c r="G368" s="1" t="s">
        <v>22</v>
      </c>
      <c r="H368" s="1" t="s">
        <v>69</v>
      </c>
      <c r="I368" s="1" t="s">
        <v>62</v>
      </c>
      <c r="J368" s="7">
        <v>45907</v>
      </c>
      <c r="K368" s="1" t="s">
        <v>641</v>
      </c>
      <c r="L368" s="1">
        <v>9</v>
      </c>
      <c r="M368" s="1" t="s">
        <v>38</v>
      </c>
      <c r="N368" s="1" t="s">
        <v>57</v>
      </c>
      <c r="O368" s="1">
        <v>95377.31</v>
      </c>
      <c r="P368" s="1">
        <v>5</v>
      </c>
      <c r="Q368" s="1" t="s">
        <v>72</v>
      </c>
    </row>
    <row r="369" spans="1:17">
      <c r="A369" s="1" t="s">
        <v>862</v>
      </c>
      <c r="B369" s="1" t="s">
        <v>221</v>
      </c>
      <c r="C369" s="1">
        <v>47</v>
      </c>
      <c r="D369" s="1" t="s">
        <v>43</v>
      </c>
      <c r="E369" s="1" t="s">
        <v>44</v>
      </c>
      <c r="F369" s="1" t="s">
        <v>52</v>
      </c>
      <c r="G369" s="1" t="s">
        <v>132</v>
      </c>
      <c r="H369" s="1" t="s">
        <v>35</v>
      </c>
      <c r="I369" s="1" t="s">
        <v>36</v>
      </c>
      <c r="J369" s="7" t="s">
        <v>420</v>
      </c>
      <c r="K369" s="2">
        <v>45358</v>
      </c>
      <c r="L369" s="1">
        <v>5</v>
      </c>
      <c r="M369" s="1" t="s">
        <v>56</v>
      </c>
      <c r="N369" s="1" t="s">
        <v>82</v>
      </c>
      <c r="O369" s="1">
        <v>83631.37</v>
      </c>
      <c r="P369" s="1">
        <v>3</v>
      </c>
      <c r="Q369" s="1" t="s">
        <v>40</v>
      </c>
    </row>
    <row r="370" spans="1:17">
      <c r="A370" s="1" t="s">
        <v>863</v>
      </c>
      <c r="B370" s="1" t="s">
        <v>565</v>
      </c>
      <c r="C370" s="1">
        <v>35</v>
      </c>
      <c r="D370" s="1" t="s">
        <v>27</v>
      </c>
      <c r="E370" s="1" t="s">
        <v>159</v>
      </c>
      <c r="F370" s="1" t="s">
        <v>67</v>
      </c>
      <c r="G370" s="1" t="s">
        <v>53</v>
      </c>
      <c r="H370" s="1" t="s">
        <v>93</v>
      </c>
      <c r="I370" s="1" t="s">
        <v>62</v>
      </c>
      <c r="J370" s="7" t="s">
        <v>355</v>
      </c>
      <c r="K370" s="1" t="s">
        <v>582</v>
      </c>
      <c r="L370" s="1">
        <v>2</v>
      </c>
      <c r="M370" s="1" t="s">
        <v>48</v>
      </c>
      <c r="N370" s="1" t="s">
        <v>85</v>
      </c>
      <c r="O370" s="1">
        <v>79506.58</v>
      </c>
      <c r="P370" s="1">
        <v>3</v>
      </c>
      <c r="Q370" s="1" t="s">
        <v>58</v>
      </c>
    </row>
    <row r="371" spans="1:17">
      <c r="A371" s="1" t="s">
        <v>864</v>
      </c>
      <c r="B371" s="1" t="s">
        <v>613</v>
      </c>
      <c r="C371" s="1">
        <v>12</v>
      </c>
      <c r="D371" s="1" t="s">
        <v>19</v>
      </c>
      <c r="E371" s="1" t="s">
        <v>20</v>
      </c>
      <c r="F371" s="1" t="s">
        <v>67</v>
      </c>
      <c r="G371" s="1" t="s">
        <v>22</v>
      </c>
      <c r="H371" s="1" t="s">
        <v>35</v>
      </c>
      <c r="I371" s="1" t="s">
        <v>24</v>
      </c>
      <c r="J371" s="7">
        <v>45749</v>
      </c>
      <c r="K371" s="2">
        <v>45810</v>
      </c>
      <c r="L371" s="1">
        <v>2</v>
      </c>
      <c r="M371" s="1" t="s">
        <v>48</v>
      </c>
      <c r="N371" s="1" t="s">
        <v>82</v>
      </c>
      <c r="O371" s="1">
        <v>32143.82</v>
      </c>
      <c r="P371" s="1">
        <v>4</v>
      </c>
      <c r="Q371" s="1" t="s">
        <v>58</v>
      </c>
    </row>
    <row r="372" spans="1:17">
      <c r="A372" s="1" t="s">
        <v>865</v>
      </c>
      <c r="B372" s="1" t="s">
        <v>644</v>
      </c>
      <c r="C372" s="1">
        <v>88</v>
      </c>
      <c r="D372" s="1" t="s">
        <v>27</v>
      </c>
      <c r="E372" s="1" t="s">
        <v>137</v>
      </c>
      <c r="F372" s="1" t="s">
        <v>67</v>
      </c>
      <c r="G372" s="1" t="s">
        <v>34</v>
      </c>
      <c r="H372" s="1" t="s">
        <v>105</v>
      </c>
      <c r="I372" s="1" t="s">
        <v>62</v>
      </c>
      <c r="J372" s="7" t="s">
        <v>535</v>
      </c>
      <c r="K372" s="1" t="s">
        <v>866</v>
      </c>
      <c r="L372" s="1">
        <v>3</v>
      </c>
      <c r="M372" s="1" t="s">
        <v>38</v>
      </c>
      <c r="N372" s="1" t="s">
        <v>57</v>
      </c>
      <c r="O372" s="1">
        <v>31473.43</v>
      </c>
      <c r="P372" s="1">
        <v>5</v>
      </c>
      <c r="Q372" s="1" t="s">
        <v>58</v>
      </c>
    </row>
    <row r="373" spans="1:17">
      <c r="A373" s="1" t="s">
        <v>867</v>
      </c>
      <c r="B373" s="1" t="s">
        <v>699</v>
      </c>
      <c r="C373" s="1">
        <v>59</v>
      </c>
      <c r="D373" s="1" t="s">
        <v>43</v>
      </c>
      <c r="E373" s="1" t="s">
        <v>66</v>
      </c>
      <c r="F373" s="1" t="s">
        <v>21</v>
      </c>
      <c r="G373" s="1" t="s">
        <v>34</v>
      </c>
      <c r="H373" s="1" t="s">
        <v>35</v>
      </c>
      <c r="I373" s="1" t="s">
        <v>24</v>
      </c>
      <c r="J373" s="7">
        <v>45724</v>
      </c>
      <c r="K373" s="2">
        <v>45816</v>
      </c>
      <c r="L373" s="1">
        <v>3</v>
      </c>
      <c r="M373" s="1" t="s">
        <v>56</v>
      </c>
      <c r="N373" s="1" t="s">
        <v>85</v>
      </c>
      <c r="O373" s="1">
        <v>60834.91</v>
      </c>
      <c r="P373" s="1">
        <v>3</v>
      </c>
      <c r="Q373" s="1" t="s">
        <v>29</v>
      </c>
    </row>
    <row r="374" spans="1:17">
      <c r="A374" s="1" t="s">
        <v>868</v>
      </c>
      <c r="B374" s="1" t="s">
        <v>499</v>
      </c>
      <c r="C374" s="1">
        <v>15</v>
      </c>
      <c r="D374" s="1" t="s">
        <v>19</v>
      </c>
      <c r="E374" s="1" t="s">
        <v>247</v>
      </c>
      <c r="F374" s="1" t="s">
        <v>33</v>
      </c>
      <c r="G374" s="1" t="s">
        <v>110</v>
      </c>
      <c r="H374" s="1" t="s">
        <v>61</v>
      </c>
      <c r="I374" s="1" t="s">
        <v>24</v>
      </c>
      <c r="J374" s="7" t="s">
        <v>869</v>
      </c>
      <c r="K374" s="1" t="s">
        <v>870</v>
      </c>
      <c r="L374" s="1">
        <v>1</v>
      </c>
      <c r="M374" s="1" t="s">
        <v>56</v>
      </c>
      <c r="N374" s="1" t="s">
        <v>90</v>
      </c>
      <c r="O374" s="1">
        <v>65330.47</v>
      </c>
      <c r="P374" s="1">
        <v>3</v>
      </c>
      <c r="Q374" s="1" t="s">
        <v>40</v>
      </c>
    </row>
    <row r="375" spans="1:17">
      <c r="A375" s="1" t="s">
        <v>871</v>
      </c>
      <c r="B375" s="1" t="s">
        <v>131</v>
      </c>
      <c r="C375" s="1">
        <v>16</v>
      </c>
      <c r="D375" s="1" t="s">
        <v>19</v>
      </c>
      <c r="E375" s="1" t="s">
        <v>159</v>
      </c>
      <c r="F375" s="1" t="s">
        <v>120</v>
      </c>
      <c r="G375" s="1" t="s">
        <v>53</v>
      </c>
      <c r="H375" s="1" t="s">
        <v>35</v>
      </c>
      <c r="I375" s="1" t="s">
        <v>24</v>
      </c>
      <c r="J375" s="7" t="s">
        <v>872</v>
      </c>
      <c r="K375" s="1" t="s">
        <v>463</v>
      </c>
      <c r="L375" s="1">
        <v>8</v>
      </c>
      <c r="M375" s="1" t="s">
        <v>56</v>
      </c>
      <c r="N375" s="1" t="s">
        <v>39</v>
      </c>
      <c r="O375" s="1">
        <v>28700.35</v>
      </c>
      <c r="P375" s="1">
        <v>5</v>
      </c>
      <c r="Q375" s="1" t="s">
        <v>58</v>
      </c>
    </row>
    <row r="376" spans="1:17">
      <c r="A376" s="1" t="s">
        <v>873</v>
      </c>
      <c r="B376" s="1" t="s">
        <v>816</v>
      </c>
      <c r="C376" s="1">
        <v>44</v>
      </c>
      <c r="D376" s="1" t="s">
        <v>27</v>
      </c>
      <c r="E376" s="1" t="s">
        <v>247</v>
      </c>
      <c r="F376" s="1" t="s">
        <v>75</v>
      </c>
      <c r="G376" s="1" t="s">
        <v>22</v>
      </c>
      <c r="H376" s="1" t="s">
        <v>105</v>
      </c>
      <c r="I376" s="1" t="s">
        <v>62</v>
      </c>
      <c r="J376" s="7" t="s">
        <v>874</v>
      </c>
      <c r="K376" s="1" t="s">
        <v>875</v>
      </c>
      <c r="L376" s="1">
        <v>4</v>
      </c>
      <c r="M376" s="1" t="s">
        <v>48</v>
      </c>
      <c r="N376" s="1" t="s">
        <v>90</v>
      </c>
      <c r="O376" s="1">
        <v>13810.08</v>
      </c>
      <c r="P376" s="1">
        <v>4</v>
      </c>
      <c r="Q376" s="1" t="s">
        <v>29</v>
      </c>
    </row>
    <row r="377" spans="1:17">
      <c r="A377" s="1" t="s">
        <v>876</v>
      </c>
      <c r="B377" s="1" t="s">
        <v>519</v>
      </c>
      <c r="C377" s="1">
        <v>75</v>
      </c>
      <c r="D377" s="1" t="s">
        <v>27</v>
      </c>
      <c r="E377" s="1" t="s">
        <v>44</v>
      </c>
      <c r="F377" s="1" t="s">
        <v>67</v>
      </c>
      <c r="G377" s="1" t="s">
        <v>104</v>
      </c>
      <c r="H377" s="1" t="s">
        <v>45</v>
      </c>
      <c r="I377" s="1" t="s">
        <v>24</v>
      </c>
      <c r="J377" s="7" t="s">
        <v>268</v>
      </c>
      <c r="K377" s="1" t="s">
        <v>877</v>
      </c>
      <c r="L377" s="1">
        <v>2</v>
      </c>
      <c r="M377" s="1" t="s">
        <v>48</v>
      </c>
      <c r="N377" s="1" t="s">
        <v>63</v>
      </c>
      <c r="O377" s="1">
        <v>83236.28</v>
      </c>
      <c r="P377" s="1">
        <v>4</v>
      </c>
      <c r="Q377" s="1" t="s">
        <v>40</v>
      </c>
    </row>
    <row r="378" spans="1:17">
      <c r="A378" s="1" t="s">
        <v>878</v>
      </c>
      <c r="B378" s="1" t="s">
        <v>548</v>
      </c>
      <c r="C378" s="1">
        <v>51</v>
      </c>
      <c r="D378" s="1" t="s">
        <v>19</v>
      </c>
      <c r="E378" s="1" t="s">
        <v>137</v>
      </c>
      <c r="F378" s="1" t="s">
        <v>33</v>
      </c>
      <c r="G378" s="1" t="s">
        <v>53</v>
      </c>
      <c r="H378" s="1" t="s">
        <v>88</v>
      </c>
      <c r="I378" s="1" t="s">
        <v>62</v>
      </c>
      <c r="J378" s="7" t="s">
        <v>340</v>
      </c>
      <c r="K378" s="1" t="s">
        <v>167</v>
      </c>
      <c r="L378" s="1">
        <v>3</v>
      </c>
      <c r="M378" s="1" t="s">
        <v>56</v>
      </c>
      <c r="N378" s="1" t="s">
        <v>39</v>
      </c>
      <c r="O378" s="1">
        <v>55219.49</v>
      </c>
      <c r="P378" s="1">
        <v>4</v>
      </c>
      <c r="Q378" s="1" t="s">
        <v>58</v>
      </c>
    </row>
    <row r="379" spans="1:17">
      <c r="A379" s="1" t="s">
        <v>879</v>
      </c>
      <c r="B379" s="1" t="s">
        <v>443</v>
      </c>
      <c r="C379" s="1">
        <v>54</v>
      </c>
      <c r="D379" s="1" t="s">
        <v>19</v>
      </c>
      <c r="E379" s="1" t="s">
        <v>32</v>
      </c>
      <c r="F379" s="1" t="s">
        <v>75</v>
      </c>
      <c r="G379" s="1" t="s">
        <v>104</v>
      </c>
      <c r="H379" s="1" t="s">
        <v>23</v>
      </c>
      <c r="I379" s="1" t="s">
        <v>62</v>
      </c>
      <c r="J379" s="7" t="s">
        <v>811</v>
      </c>
      <c r="K379" s="1" t="s">
        <v>880</v>
      </c>
      <c r="L379" s="1">
        <v>1</v>
      </c>
      <c r="M379" s="1" t="s">
        <v>38</v>
      </c>
      <c r="N379" s="1" t="s">
        <v>57</v>
      </c>
      <c r="O379" s="1">
        <v>84024.6</v>
      </c>
      <c r="P379" s="1">
        <v>2</v>
      </c>
      <c r="Q379" s="1" t="s">
        <v>29</v>
      </c>
    </row>
    <row r="380" spans="1:17">
      <c r="A380" s="1" t="s">
        <v>881</v>
      </c>
      <c r="B380" s="1" t="s">
        <v>659</v>
      </c>
      <c r="C380" s="1">
        <v>72</v>
      </c>
      <c r="D380" s="1" t="s">
        <v>43</v>
      </c>
      <c r="E380" s="1" t="s">
        <v>159</v>
      </c>
      <c r="F380" s="1" t="s">
        <v>67</v>
      </c>
      <c r="G380" s="1" t="s">
        <v>104</v>
      </c>
      <c r="H380" s="1" t="s">
        <v>99</v>
      </c>
      <c r="I380" s="1" t="s">
        <v>24</v>
      </c>
      <c r="J380" s="7" t="s">
        <v>634</v>
      </c>
      <c r="K380" s="1" t="s">
        <v>847</v>
      </c>
      <c r="L380" s="1">
        <v>1</v>
      </c>
      <c r="M380" s="1" t="s">
        <v>97</v>
      </c>
      <c r="N380" s="1" t="s">
        <v>85</v>
      </c>
      <c r="O380" s="1">
        <v>72064.34</v>
      </c>
      <c r="P380" s="1">
        <v>3</v>
      </c>
      <c r="Q380" s="1" t="s">
        <v>72</v>
      </c>
    </row>
    <row r="381" spans="1:17">
      <c r="A381" s="1" t="s">
        <v>882</v>
      </c>
      <c r="B381" s="1" t="s">
        <v>574</v>
      </c>
      <c r="C381" s="1">
        <v>1</v>
      </c>
      <c r="D381" s="1" t="s">
        <v>19</v>
      </c>
      <c r="E381" s="1" t="s">
        <v>32</v>
      </c>
      <c r="F381" s="1" t="s">
        <v>120</v>
      </c>
      <c r="G381" s="1" t="s">
        <v>68</v>
      </c>
      <c r="H381" s="1" t="s">
        <v>76</v>
      </c>
      <c r="I381" s="1" t="s">
        <v>62</v>
      </c>
      <c r="J381" s="7" t="s">
        <v>287</v>
      </c>
      <c r="K381" s="1" t="s">
        <v>139</v>
      </c>
      <c r="L381" s="1">
        <v>4</v>
      </c>
      <c r="M381" s="1" t="s">
        <v>48</v>
      </c>
      <c r="N381" s="1" t="s">
        <v>90</v>
      </c>
      <c r="O381" s="1">
        <v>25094.18</v>
      </c>
      <c r="P381" s="1">
        <v>5</v>
      </c>
      <c r="Q381" s="1" t="s">
        <v>40</v>
      </c>
    </row>
    <row r="382" spans="1:17">
      <c r="A382" s="1" t="s">
        <v>883</v>
      </c>
      <c r="B382" s="1" t="s">
        <v>324</v>
      </c>
      <c r="C382" s="1">
        <v>75</v>
      </c>
      <c r="D382" s="1" t="s">
        <v>43</v>
      </c>
      <c r="E382" s="1" t="s">
        <v>66</v>
      </c>
      <c r="F382" s="1" t="s">
        <v>67</v>
      </c>
      <c r="G382" s="1" t="s">
        <v>104</v>
      </c>
      <c r="H382" s="1" t="s">
        <v>45</v>
      </c>
      <c r="I382" s="1" t="s">
        <v>36</v>
      </c>
      <c r="J382" s="7">
        <v>45696</v>
      </c>
      <c r="K382" s="1" t="s">
        <v>277</v>
      </c>
      <c r="L382" s="1">
        <v>12</v>
      </c>
      <c r="M382" s="1" t="s">
        <v>56</v>
      </c>
      <c r="N382" s="1" t="s">
        <v>82</v>
      </c>
      <c r="O382" s="1">
        <v>49054.7</v>
      </c>
      <c r="P382" s="1">
        <v>5</v>
      </c>
      <c r="Q382" s="1" t="s">
        <v>58</v>
      </c>
    </row>
    <row r="383" spans="1:17">
      <c r="A383" s="1" t="s">
        <v>884</v>
      </c>
      <c r="B383" s="1" t="s">
        <v>603</v>
      </c>
      <c r="C383" s="1">
        <v>89</v>
      </c>
      <c r="D383" s="1" t="s">
        <v>19</v>
      </c>
      <c r="E383" s="1" t="s">
        <v>66</v>
      </c>
      <c r="F383" s="1" t="s">
        <v>75</v>
      </c>
      <c r="G383" s="1" t="s">
        <v>53</v>
      </c>
      <c r="H383" s="1" t="s">
        <v>99</v>
      </c>
      <c r="I383" s="1" t="s">
        <v>24</v>
      </c>
      <c r="J383" s="7" t="s">
        <v>96</v>
      </c>
      <c r="K383" s="2">
        <v>45658</v>
      </c>
      <c r="L383" s="1">
        <v>1</v>
      </c>
      <c r="M383" s="1" t="s">
        <v>56</v>
      </c>
      <c r="N383" s="1" t="s">
        <v>90</v>
      </c>
      <c r="O383" s="1">
        <v>55596.92</v>
      </c>
      <c r="P383" s="1">
        <v>5</v>
      </c>
      <c r="Q383" s="1" t="s">
        <v>40</v>
      </c>
    </row>
    <row r="384" spans="1:17">
      <c r="A384" s="1" t="s">
        <v>885</v>
      </c>
      <c r="B384" s="1" t="s">
        <v>190</v>
      </c>
      <c r="C384" s="1">
        <v>41</v>
      </c>
      <c r="D384" s="1" t="s">
        <v>27</v>
      </c>
      <c r="E384" s="1" t="s">
        <v>51</v>
      </c>
      <c r="F384" s="1" t="s">
        <v>120</v>
      </c>
      <c r="G384" s="1" t="s">
        <v>22</v>
      </c>
      <c r="H384" s="1" t="s">
        <v>23</v>
      </c>
      <c r="I384" s="1" t="s">
        <v>62</v>
      </c>
      <c r="J384" s="7">
        <v>45393</v>
      </c>
      <c r="K384" s="2">
        <v>45576</v>
      </c>
      <c r="L384" s="1">
        <v>6</v>
      </c>
      <c r="M384" s="1" t="s">
        <v>97</v>
      </c>
      <c r="N384" s="1" t="s">
        <v>57</v>
      </c>
      <c r="O384" s="1">
        <v>54343.4</v>
      </c>
      <c r="P384" s="1">
        <v>5</v>
      </c>
      <c r="Q384" s="1" t="s">
        <v>40</v>
      </c>
    </row>
    <row r="385" spans="1:17">
      <c r="A385" s="1" t="s">
        <v>886</v>
      </c>
      <c r="B385" s="1" t="s">
        <v>636</v>
      </c>
      <c r="C385" s="1">
        <v>21</v>
      </c>
      <c r="D385" s="1" t="s">
        <v>19</v>
      </c>
      <c r="E385" s="1" t="s">
        <v>159</v>
      </c>
      <c r="F385" s="1" t="s">
        <v>120</v>
      </c>
      <c r="G385" s="1" t="s">
        <v>22</v>
      </c>
      <c r="H385" s="1" t="s">
        <v>76</v>
      </c>
      <c r="I385" s="1" t="s">
        <v>62</v>
      </c>
      <c r="J385" s="7">
        <v>45604</v>
      </c>
      <c r="K385" s="1" t="s">
        <v>268</v>
      </c>
      <c r="L385" s="1">
        <v>4</v>
      </c>
      <c r="M385" s="1" t="s">
        <v>38</v>
      </c>
      <c r="N385" s="1" t="s">
        <v>85</v>
      </c>
      <c r="O385" s="1">
        <v>45615.87</v>
      </c>
      <c r="P385" s="1">
        <v>2</v>
      </c>
      <c r="Q385" s="1" t="s">
        <v>58</v>
      </c>
    </row>
    <row r="386" spans="1:17">
      <c r="A386" s="1" t="s">
        <v>887</v>
      </c>
      <c r="B386" s="1" t="s">
        <v>361</v>
      </c>
      <c r="C386" s="1">
        <v>77</v>
      </c>
      <c r="D386" s="1" t="s">
        <v>27</v>
      </c>
      <c r="E386" s="1" t="s">
        <v>137</v>
      </c>
      <c r="F386" s="1" t="s">
        <v>75</v>
      </c>
      <c r="G386" s="1" t="s">
        <v>110</v>
      </c>
      <c r="H386" s="1" t="s">
        <v>45</v>
      </c>
      <c r="I386" s="1" t="s">
        <v>36</v>
      </c>
      <c r="J386" s="7" t="s">
        <v>888</v>
      </c>
      <c r="K386" s="1" t="s">
        <v>187</v>
      </c>
      <c r="L386" s="1">
        <v>2</v>
      </c>
      <c r="M386" s="1" t="s">
        <v>48</v>
      </c>
      <c r="N386" s="1" t="s">
        <v>28</v>
      </c>
      <c r="O386" s="1">
        <v>81149.34</v>
      </c>
      <c r="P386" s="1">
        <v>2</v>
      </c>
      <c r="Q386" s="1" t="s">
        <v>72</v>
      </c>
    </row>
    <row r="387" spans="1:17">
      <c r="A387" s="1" t="s">
        <v>889</v>
      </c>
      <c r="B387" s="1" t="s">
        <v>837</v>
      </c>
      <c r="C387" s="1">
        <v>61</v>
      </c>
      <c r="D387" s="1" t="s">
        <v>19</v>
      </c>
      <c r="E387" s="1" t="s">
        <v>247</v>
      </c>
      <c r="F387" s="1" t="s">
        <v>75</v>
      </c>
      <c r="G387" s="1" t="s">
        <v>22</v>
      </c>
      <c r="H387" s="1" t="s">
        <v>45</v>
      </c>
      <c r="I387" s="1" t="s">
        <v>36</v>
      </c>
      <c r="J387" s="7" t="s">
        <v>508</v>
      </c>
      <c r="K387" s="1" t="s">
        <v>890</v>
      </c>
      <c r="L387" s="1">
        <v>1</v>
      </c>
      <c r="M387" s="1" t="s">
        <v>56</v>
      </c>
      <c r="N387" s="1" t="s">
        <v>39</v>
      </c>
      <c r="O387" s="1">
        <v>79167.16</v>
      </c>
      <c r="P387" s="1">
        <v>3</v>
      </c>
      <c r="Q387" s="1" t="s">
        <v>40</v>
      </c>
    </row>
    <row r="388" spans="1:17">
      <c r="A388" s="1" t="s">
        <v>891</v>
      </c>
      <c r="B388" s="1" t="s">
        <v>892</v>
      </c>
      <c r="C388" s="1">
        <v>75</v>
      </c>
      <c r="D388" s="1" t="s">
        <v>43</v>
      </c>
      <c r="E388" s="1" t="s">
        <v>51</v>
      </c>
      <c r="F388" s="1" t="s">
        <v>21</v>
      </c>
      <c r="G388" s="1" t="s">
        <v>132</v>
      </c>
      <c r="H388" s="1" t="s">
        <v>23</v>
      </c>
      <c r="I388" s="1" t="s">
        <v>24</v>
      </c>
      <c r="J388" s="7" t="s">
        <v>893</v>
      </c>
      <c r="K388" s="2">
        <v>45809</v>
      </c>
      <c r="L388" s="1">
        <v>11</v>
      </c>
      <c r="M388" s="1" t="s">
        <v>56</v>
      </c>
      <c r="N388" s="1" t="s">
        <v>82</v>
      </c>
      <c r="O388" s="1">
        <v>67033.98</v>
      </c>
      <c r="P388" s="1">
        <v>2</v>
      </c>
      <c r="Q388" s="1" t="s">
        <v>29</v>
      </c>
    </row>
    <row r="389" spans="1:17">
      <c r="A389" s="1" t="s">
        <v>894</v>
      </c>
      <c r="B389" s="1" t="s">
        <v>412</v>
      </c>
      <c r="C389" s="1">
        <v>69</v>
      </c>
      <c r="D389" s="1" t="s">
        <v>19</v>
      </c>
      <c r="E389" s="1" t="s">
        <v>20</v>
      </c>
      <c r="F389" s="1" t="s">
        <v>67</v>
      </c>
      <c r="G389" s="1" t="s">
        <v>110</v>
      </c>
      <c r="H389" s="1" t="s">
        <v>93</v>
      </c>
      <c r="I389" s="1" t="s">
        <v>36</v>
      </c>
      <c r="J389" s="7">
        <v>45600</v>
      </c>
      <c r="K389" s="1" t="s">
        <v>195</v>
      </c>
      <c r="L389" s="1">
        <v>4</v>
      </c>
      <c r="M389" s="1" t="s">
        <v>97</v>
      </c>
      <c r="N389" s="1" t="s">
        <v>28</v>
      </c>
      <c r="O389" s="1">
        <v>79309.13</v>
      </c>
      <c r="P389" s="1">
        <v>5</v>
      </c>
      <c r="Q389" s="1" t="s">
        <v>40</v>
      </c>
    </row>
    <row r="390" spans="1:17">
      <c r="A390" s="1" t="s">
        <v>895</v>
      </c>
      <c r="B390" s="1" t="s">
        <v>194</v>
      </c>
      <c r="C390" s="1">
        <v>16</v>
      </c>
      <c r="D390" s="1" t="s">
        <v>43</v>
      </c>
      <c r="E390" s="1" t="s">
        <v>137</v>
      </c>
      <c r="F390" s="1" t="s">
        <v>120</v>
      </c>
      <c r="G390" s="1" t="s">
        <v>68</v>
      </c>
      <c r="H390" s="1" t="s">
        <v>23</v>
      </c>
      <c r="I390" s="1" t="s">
        <v>62</v>
      </c>
      <c r="J390" s="7" t="s">
        <v>896</v>
      </c>
      <c r="K390" s="1" t="s">
        <v>897</v>
      </c>
      <c r="L390" s="1">
        <v>1</v>
      </c>
      <c r="M390" s="1" t="s">
        <v>27</v>
      </c>
      <c r="N390" s="1" t="s">
        <v>63</v>
      </c>
      <c r="O390" s="1">
        <v>64715.97</v>
      </c>
      <c r="P390" s="1">
        <v>2</v>
      </c>
      <c r="Q390" s="1" t="s">
        <v>40</v>
      </c>
    </row>
    <row r="391" spans="1:17">
      <c r="A391" s="1" t="s">
        <v>898</v>
      </c>
      <c r="B391" s="1" t="s">
        <v>519</v>
      </c>
      <c r="C391" s="1">
        <v>88</v>
      </c>
      <c r="D391" s="1" t="s">
        <v>43</v>
      </c>
      <c r="E391" s="1" t="s">
        <v>66</v>
      </c>
      <c r="F391" s="1" t="s">
        <v>75</v>
      </c>
      <c r="G391" s="1" t="s">
        <v>36</v>
      </c>
      <c r="H391" s="1" t="s">
        <v>61</v>
      </c>
      <c r="I391" s="1" t="s">
        <v>24</v>
      </c>
      <c r="J391" s="7" t="s">
        <v>899</v>
      </c>
      <c r="K391" s="1" t="s">
        <v>617</v>
      </c>
      <c r="L391" s="1">
        <v>3</v>
      </c>
      <c r="M391" s="1" t="s">
        <v>97</v>
      </c>
      <c r="N391" s="1" t="s">
        <v>63</v>
      </c>
      <c r="O391" s="1">
        <v>74544.479999999996</v>
      </c>
      <c r="P391" s="1">
        <v>5</v>
      </c>
      <c r="Q391" s="1" t="s">
        <v>72</v>
      </c>
    </row>
    <row r="392" spans="1:17">
      <c r="A392" s="1" t="s">
        <v>900</v>
      </c>
      <c r="B392" s="1" t="s">
        <v>234</v>
      </c>
      <c r="C392" s="1">
        <v>51</v>
      </c>
      <c r="D392" s="1" t="s">
        <v>43</v>
      </c>
      <c r="E392" s="1" t="s">
        <v>247</v>
      </c>
      <c r="F392" s="1" t="s">
        <v>21</v>
      </c>
      <c r="G392" s="1" t="s">
        <v>36</v>
      </c>
      <c r="H392" s="1" t="s">
        <v>76</v>
      </c>
      <c r="I392" s="1" t="s">
        <v>62</v>
      </c>
      <c r="J392" s="7" t="s">
        <v>710</v>
      </c>
      <c r="K392" s="1" t="s">
        <v>121</v>
      </c>
      <c r="L392" s="1">
        <v>6</v>
      </c>
      <c r="M392" s="1" t="s">
        <v>56</v>
      </c>
      <c r="N392" s="1" t="s">
        <v>90</v>
      </c>
      <c r="O392" s="1">
        <v>62737.71</v>
      </c>
      <c r="P392" s="1">
        <v>5</v>
      </c>
      <c r="Q392" s="1" t="s">
        <v>58</v>
      </c>
    </row>
    <row r="393" spans="1:17">
      <c r="A393" s="1" t="s">
        <v>901</v>
      </c>
      <c r="B393" s="1" t="s">
        <v>538</v>
      </c>
      <c r="C393" s="1">
        <v>16</v>
      </c>
      <c r="D393" s="1" t="s">
        <v>19</v>
      </c>
      <c r="E393" s="1" t="s">
        <v>51</v>
      </c>
      <c r="F393" s="1" t="s">
        <v>120</v>
      </c>
      <c r="G393" s="1" t="s">
        <v>68</v>
      </c>
      <c r="H393" s="1" t="s">
        <v>76</v>
      </c>
      <c r="I393" s="1" t="s">
        <v>36</v>
      </c>
      <c r="J393" s="7">
        <v>45933</v>
      </c>
      <c r="K393" s="1" t="s">
        <v>166</v>
      </c>
      <c r="L393" s="1">
        <v>4</v>
      </c>
      <c r="M393" s="1" t="s">
        <v>97</v>
      </c>
      <c r="N393" s="1" t="s">
        <v>28</v>
      </c>
      <c r="O393" s="1">
        <v>37995.1</v>
      </c>
      <c r="P393" s="1">
        <v>4</v>
      </c>
      <c r="Q393" s="1" t="s">
        <v>72</v>
      </c>
    </row>
    <row r="394" spans="1:17">
      <c r="A394" s="1" t="s">
        <v>902</v>
      </c>
      <c r="B394" s="1" t="s">
        <v>190</v>
      </c>
      <c r="C394" s="1">
        <v>33</v>
      </c>
      <c r="D394" s="1" t="s">
        <v>43</v>
      </c>
      <c r="E394" s="1" t="s">
        <v>137</v>
      </c>
      <c r="F394" s="1" t="s">
        <v>67</v>
      </c>
      <c r="G394" s="1" t="s">
        <v>22</v>
      </c>
      <c r="H394" s="1" t="s">
        <v>99</v>
      </c>
      <c r="I394" s="1" t="s">
        <v>24</v>
      </c>
      <c r="J394" s="7" t="s">
        <v>429</v>
      </c>
      <c r="K394" s="1" t="s">
        <v>371</v>
      </c>
      <c r="L394" s="1">
        <v>5</v>
      </c>
      <c r="M394" s="1" t="s">
        <v>38</v>
      </c>
      <c r="N394" s="1" t="s">
        <v>85</v>
      </c>
      <c r="O394" s="1">
        <v>72612.81</v>
      </c>
      <c r="P394" s="1">
        <v>4</v>
      </c>
      <c r="Q394" s="1" t="s">
        <v>40</v>
      </c>
    </row>
    <row r="395" spans="1:17">
      <c r="A395" s="1" t="s">
        <v>903</v>
      </c>
      <c r="B395" s="1" t="s">
        <v>246</v>
      </c>
      <c r="C395" s="1">
        <v>80</v>
      </c>
      <c r="D395" s="1" t="s">
        <v>27</v>
      </c>
      <c r="E395" s="1" t="s">
        <v>51</v>
      </c>
      <c r="F395" s="1" t="s">
        <v>120</v>
      </c>
      <c r="G395" s="1" t="s">
        <v>104</v>
      </c>
      <c r="H395" s="1" t="s">
        <v>93</v>
      </c>
      <c r="I395" s="1" t="s">
        <v>24</v>
      </c>
      <c r="J395" s="7">
        <v>45508</v>
      </c>
      <c r="K395" s="1" t="s">
        <v>904</v>
      </c>
      <c r="L395" s="1">
        <v>6</v>
      </c>
      <c r="M395" s="1" t="s">
        <v>27</v>
      </c>
      <c r="N395" s="1" t="s">
        <v>28</v>
      </c>
      <c r="O395" s="1">
        <v>26741.02</v>
      </c>
      <c r="P395" s="1">
        <v>4</v>
      </c>
      <c r="Q395" s="1" t="s">
        <v>72</v>
      </c>
    </row>
    <row r="396" spans="1:17">
      <c r="A396" s="1" t="s">
        <v>905</v>
      </c>
      <c r="B396" s="1" t="s">
        <v>310</v>
      </c>
      <c r="C396" s="1">
        <v>56</v>
      </c>
      <c r="D396" s="1" t="s">
        <v>19</v>
      </c>
      <c r="E396" s="1" t="s">
        <v>159</v>
      </c>
      <c r="F396" s="1" t="s">
        <v>33</v>
      </c>
      <c r="G396" s="1" t="s">
        <v>104</v>
      </c>
      <c r="H396" s="1" t="s">
        <v>99</v>
      </c>
      <c r="I396" s="1" t="s">
        <v>36</v>
      </c>
      <c r="J396" s="7" t="s">
        <v>458</v>
      </c>
      <c r="K396" s="1" t="s">
        <v>804</v>
      </c>
      <c r="L396" s="1">
        <v>2</v>
      </c>
      <c r="M396" s="1" t="s">
        <v>38</v>
      </c>
      <c r="N396" s="1" t="s">
        <v>63</v>
      </c>
      <c r="O396" s="1">
        <v>14398.77</v>
      </c>
      <c r="P396" s="1">
        <v>4</v>
      </c>
      <c r="Q396" s="1" t="s">
        <v>58</v>
      </c>
    </row>
    <row r="397" spans="1:17">
      <c r="A397" s="1" t="s">
        <v>906</v>
      </c>
      <c r="B397" s="1" t="s">
        <v>585</v>
      </c>
      <c r="C397" s="1">
        <v>63</v>
      </c>
      <c r="D397" s="1" t="s">
        <v>19</v>
      </c>
      <c r="E397" s="1" t="s">
        <v>117</v>
      </c>
      <c r="F397" s="1" t="s">
        <v>33</v>
      </c>
      <c r="G397" s="1" t="s">
        <v>104</v>
      </c>
      <c r="H397" s="1" t="s">
        <v>93</v>
      </c>
      <c r="I397" s="1" t="s">
        <v>24</v>
      </c>
      <c r="J397" s="7">
        <v>45785</v>
      </c>
      <c r="K397" s="2">
        <v>45908</v>
      </c>
      <c r="L397" s="1">
        <v>4</v>
      </c>
      <c r="M397" s="1" t="s">
        <v>97</v>
      </c>
      <c r="N397" s="1" t="s">
        <v>90</v>
      </c>
      <c r="O397" s="1">
        <v>53044.65</v>
      </c>
      <c r="P397" s="1">
        <v>3</v>
      </c>
      <c r="Q397" s="1" t="s">
        <v>40</v>
      </c>
    </row>
    <row r="398" spans="1:17">
      <c r="A398" s="1" t="s">
        <v>907</v>
      </c>
      <c r="B398" s="1" t="s">
        <v>419</v>
      </c>
      <c r="C398" s="1">
        <v>37</v>
      </c>
      <c r="D398" s="1" t="s">
        <v>43</v>
      </c>
      <c r="E398" s="1" t="s">
        <v>32</v>
      </c>
      <c r="F398" s="1" t="s">
        <v>33</v>
      </c>
      <c r="G398" s="1" t="s">
        <v>53</v>
      </c>
      <c r="H398" s="1" t="s">
        <v>88</v>
      </c>
      <c r="I398" s="1" t="s">
        <v>62</v>
      </c>
      <c r="J398" s="7">
        <v>45354</v>
      </c>
      <c r="K398" s="2">
        <v>45507</v>
      </c>
      <c r="L398" s="1">
        <v>5</v>
      </c>
      <c r="M398" s="1" t="s">
        <v>38</v>
      </c>
      <c r="N398" s="1" t="s">
        <v>57</v>
      </c>
      <c r="O398" s="1">
        <v>122683.56</v>
      </c>
      <c r="P398" s="1">
        <v>5</v>
      </c>
      <c r="Q398" s="1" t="s">
        <v>40</v>
      </c>
    </row>
    <row r="399" spans="1:17">
      <c r="A399" s="1" t="s">
        <v>908</v>
      </c>
      <c r="B399" s="1" t="s">
        <v>909</v>
      </c>
      <c r="C399" s="1">
        <v>8</v>
      </c>
      <c r="D399" s="1" t="s">
        <v>27</v>
      </c>
      <c r="E399" s="1" t="s">
        <v>51</v>
      </c>
      <c r="F399" s="1" t="s">
        <v>120</v>
      </c>
      <c r="G399" s="1" t="s">
        <v>22</v>
      </c>
      <c r="H399" s="1" t="s">
        <v>45</v>
      </c>
      <c r="I399" s="1" t="s">
        <v>36</v>
      </c>
      <c r="J399" s="7">
        <v>45482</v>
      </c>
      <c r="K399" s="2">
        <v>45544</v>
      </c>
      <c r="L399" s="1">
        <v>2</v>
      </c>
      <c r="M399" s="1" t="s">
        <v>97</v>
      </c>
      <c r="N399" s="1" t="s">
        <v>63</v>
      </c>
      <c r="O399" s="1">
        <v>75432.62</v>
      </c>
      <c r="P399" s="1">
        <v>2</v>
      </c>
      <c r="Q399" s="1" t="s">
        <v>58</v>
      </c>
    </row>
    <row r="400" spans="1:17">
      <c r="A400" s="1" t="s">
        <v>910</v>
      </c>
      <c r="B400" s="1" t="s">
        <v>194</v>
      </c>
      <c r="C400" s="1">
        <v>73</v>
      </c>
      <c r="D400" s="1" t="s">
        <v>27</v>
      </c>
      <c r="E400" s="1" t="s">
        <v>20</v>
      </c>
      <c r="F400" s="1" t="s">
        <v>120</v>
      </c>
      <c r="G400" s="1" t="s">
        <v>34</v>
      </c>
      <c r="H400" s="1" t="s">
        <v>88</v>
      </c>
      <c r="I400" s="1" t="s">
        <v>62</v>
      </c>
      <c r="J400" s="7">
        <v>45841</v>
      </c>
      <c r="K400" s="2">
        <v>45872</v>
      </c>
      <c r="L400" s="1">
        <v>1</v>
      </c>
      <c r="M400" s="1" t="s">
        <v>27</v>
      </c>
      <c r="N400" s="1" t="s">
        <v>39</v>
      </c>
      <c r="O400" s="1">
        <v>61391.3</v>
      </c>
      <c r="P400" s="1">
        <v>4</v>
      </c>
      <c r="Q400" s="1" t="s">
        <v>40</v>
      </c>
    </row>
    <row r="401" spans="1:17">
      <c r="A401" s="1" t="s">
        <v>911</v>
      </c>
      <c r="B401" s="1" t="s">
        <v>308</v>
      </c>
      <c r="C401" s="1">
        <v>22</v>
      </c>
      <c r="D401" s="1" t="s">
        <v>27</v>
      </c>
      <c r="E401" s="1" t="s">
        <v>20</v>
      </c>
      <c r="F401" s="1" t="s">
        <v>67</v>
      </c>
      <c r="G401" s="1" t="s">
        <v>22</v>
      </c>
      <c r="H401" s="1" t="s">
        <v>23</v>
      </c>
      <c r="I401" s="1" t="s">
        <v>24</v>
      </c>
      <c r="J401" s="7">
        <v>45333</v>
      </c>
      <c r="K401" s="2">
        <v>45484</v>
      </c>
      <c r="L401" s="1">
        <v>5</v>
      </c>
      <c r="M401" s="1" t="s">
        <v>48</v>
      </c>
      <c r="N401" s="1" t="s">
        <v>63</v>
      </c>
      <c r="O401" s="1">
        <v>27627.85</v>
      </c>
      <c r="P401" s="1">
        <v>3</v>
      </c>
      <c r="Q401" s="1" t="s">
        <v>72</v>
      </c>
    </row>
    <row r="402" spans="1:17">
      <c r="A402" s="1" t="s">
        <v>912</v>
      </c>
      <c r="B402" s="1" t="s">
        <v>339</v>
      </c>
      <c r="C402" s="1">
        <v>76</v>
      </c>
      <c r="D402" s="1" t="s">
        <v>43</v>
      </c>
      <c r="E402" s="1" t="s">
        <v>137</v>
      </c>
      <c r="F402" s="1" t="s">
        <v>52</v>
      </c>
      <c r="G402" s="1" t="s">
        <v>36</v>
      </c>
      <c r="H402" s="1" t="s">
        <v>61</v>
      </c>
      <c r="I402" s="1" t="s">
        <v>24</v>
      </c>
      <c r="J402" s="7">
        <v>45453</v>
      </c>
      <c r="K402" s="2">
        <v>45606</v>
      </c>
      <c r="L402" s="1">
        <v>5</v>
      </c>
      <c r="M402" s="1" t="s">
        <v>38</v>
      </c>
      <c r="N402" s="1" t="s">
        <v>85</v>
      </c>
      <c r="O402" s="1">
        <v>37354.1</v>
      </c>
      <c r="P402" s="1">
        <v>2</v>
      </c>
      <c r="Q402" s="1" t="s">
        <v>58</v>
      </c>
    </row>
    <row r="403" spans="1:17">
      <c r="A403" s="1" t="s">
        <v>913</v>
      </c>
      <c r="B403" s="1" t="s">
        <v>315</v>
      </c>
      <c r="C403" s="1">
        <v>52</v>
      </c>
      <c r="D403" s="1" t="s">
        <v>43</v>
      </c>
      <c r="E403" s="1" t="s">
        <v>159</v>
      </c>
      <c r="F403" s="1" t="s">
        <v>120</v>
      </c>
      <c r="G403" s="1" t="s">
        <v>110</v>
      </c>
      <c r="H403" s="1" t="s">
        <v>99</v>
      </c>
      <c r="I403" s="1" t="s">
        <v>24</v>
      </c>
      <c r="J403" s="7">
        <v>45667</v>
      </c>
      <c r="K403" s="2">
        <v>45757</v>
      </c>
      <c r="L403" s="1">
        <v>3</v>
      </c>
      <c r="M403" s="1" t="s">
        <v>27</v>
      </c>
      <c r="N403" s="1" t="s">
        <v>39</v>
      </c>
      <c r="O403" s="1">
        <v>96268.26</v>
      </c>
      <c r="P403" s="1">
        <v>3</v>
      </c>
      <c r="Q403" s="1" t="s">
        <v>58</v>
      </c>
    </row>
    <row r="404" spans="1:17">
      <c r="A404" s="1" t="s">
        <v>914</v>
      </c>
      <c r="B404" s="1" t="s">
        <v>494</v>
      </c>
      <c r="C404" s="1">
        <v>73</v>
      </c>
      <c r="D404" s="1" t="s">
        <v>27</v>
      </c>
      <c r="E404" s="1" t="s">
        <v>247</v>
      </c>
      <c r="F404" s="1" t="s">
        <v>75</v>
      </c>
      <c r="G404" s="1" t="s">
        <v>110</v>
      </c>
      <c r="H404" s="1" t="s">
        <v>61</v>
      </c>
      <c r="I404" s="1" t="s">
        <v>24</v>
      </c>
      <c r="J404" s="7">
        <v>45726</v>
      </c>
      <c r="K404" s="2">
        <v>45848</v>
      </c>
      <c r="L404" s="1">
        <v>4</v>
      </c>
      <c r="M404" s="1" t="s">
        <v>56</v>
      </c>
      <c r="N404" s="1" t="s">
        <v>39</v>
      </c>
      <c r="O404" s="1">
        <v>41757.69</v>
      </c>
      <c r="P404" s="1">
        <v>3</v>
      </c>
      <c r="Q404" s="1" t="s">
        <v>58</v>
      </c>
    </row>
    <row r="405" spans="1:17">
      <c r="A405" s="1" t="s">
        <v>915</v>
      </c>
      <c r="B405" s="1" t="s">
        <v>712</v>
      </c>
      <c r="C405" s="1">
        <v>35</v>
      </c>
      <c r="D405" s="1" t="s">
        <v>43</v>
      </c>
      <c r="E405" s="1" t="s">
        <v>159</v>
      </c>
      <c r="F405" s="1" t="s">
        <v>33</v>
      </c>
      <c r="G405" s="1" t="s">
        <v>36</v>
      </c>
      <c r="H405" s="1" t="s">
        <v>61</v>
      </c>
      <c r="I405" s="1" t="s">
        <v>24</v>
      </c>
      <c r="J405" s="7" t="s">
        <v>305</v>
      </c>
      <c r="K405" s="1" t="s">
        <v>471</v>
      </c>
      <c r="L405" s="1">
        <v>2</v>
      </c>
      <c r="M405" s="1" t="s">
        <v>97</v>
      </c>
      <c r="N405" s="1" t="s">
        <v>57</v>
      </c>
      <c r="O405" s="1">
        <v>20289.78</v>
      </c>
      <c r="P405" s="1">
        <v>3</v>
      </c>
      <c r="Q405" s="1" t="s">
        <v>72</v>
      </c>
    </row>
    <row r="406" spans="1:17">
      <c r="A406" s="1" t="s">
        <v>916</v>
      </c>
      <c r="B406" s="1" t="s">
        <v>857</v>
      </c>
      <c r="C406" s="1">
        <v>26</v>
      </c>
      <c r="D406" s="1" t="s">
        <v>19</v>
      </c>
      <c r="E406" s="1" t="s">
        <v>202</v>
      </c>
      <c r="F406" s="1" t="s">
        <v>75</v>
      </c>
      <c r="G406" s="1" t="s">
        <v>68</v>
      </c>
      <c r="H406" s="1" t="s">
        <v>23</v>
      </c>
      <c r="I406" s="1" t="s">
        <v>62</v>
      </c>
      <c r="J406" s="7">
        <v>45453</v>
      </c>
      <c r="K406" s="2">
        <v>45483</v>
      </c>
      <c r="L406" s="1">
        <v>1</v>
      </c>
      <c r="M406" s="1" t="s">
        <v>27</v>
      </c>
      <c r="N406" s="1" t="s">
        <v>82</v>
      </c>
      <c r="O406" s="1">
        <v>24846.92</v>
      </c>
      <c r="P406" s="1">
        <v>5</v>
      </c>
      <c r="Q406" s="1" t="s">
        <v>72</v>
      </c>
    </row>
    <row r="407" spans="1:17">
      <c r="A407" s="1" t="s">
        <v>917</v>
      </c>
      <c r="B407" s="1" t="s">
        <v>79</v>
      </c>
      <c r="C407" s="1">
        <v>53</v>
      </c>
      <c r="D407" s="1" t="s">
        <v>43</v>
      </c>
      <c r="E407" s="1" t="s">
        <v>159</v>
      </c>
      <c r="F407" s="1" t="s">
        <v>75</v>
      </c>
      <c r="G407" s="1" t="s">
        <v>132</v>
      </c>
      <c r="H407" s="1" t="s">
        <v>45</v>
      </c>
      <c r="I407" s="1" t="s">
        <v>36</v>
      </c>
      <c r="J407" s="7" t="s">
        <v>181</v>
      </c>
      <c r="K407" s="1" t="s">
        <v>918</v>
      </c>
      <c r="L407" s="1">
        <v>10</v>
      </c>
      <c r="M407" s="1" t="s">
        <v>27</v>
      </c>
      <c r="N407" s="1" t="s">
        <v>28</v>
      </c>
      <c r="O407" s="1">
        <v>67101.320000000007</v>
      </c>
      <c r="P407" s="1">
        <v>4</v>
      </c>
      <c r="Q407" s="1" t="s">
        <v>40</v>
      </c>
    </row>
    <row r="408" spans="1:17">
      <c r="A408" s="1" t="s">
        <v>919</v>
      </c>
      <c r="B408" s="1" t="s">
        <v>920</v>
      </c>
      <c r="C408" s="1">
        <v>43</v>
      </c>
      <c r="D408" s="1" t="s">
        <v>27</v>
      </c>
      <c r="E408" s="1" t="s">
        <v>137</v>
      </c>
      <c r="F408" s="1" t="s">
        <v>120</v>
      </c>
      <c r="G408" s="1" t="s">
        <v>132</v>
      </c>
      <c r="H408" s="1" t="s">
        <v>35</v>
      </c>
      <c r="I408" s="1" t="s">
        <v>24</v>
      </c>
      <c r="J408" s="7">
        <v>45718</v>
      </c>
      <c r="K408" s="2">
        <v>45932</v>
      </c>
      <c r="L408" s="1">
        <v>7</v>
      </c>
      <c r="M408" s="1" t="s">
        <v>48</v>
      </c>
      <c r="N408" s="1" t="s">
        <v>57</v>
      </c>
      <c r="O408" s="1">
        <v>19797.419999999998</v>
      </c>
      <c r="P408" s="1">
        <v>3</v>
      </c>
      <c r="Q408" s="1" t="s">
        <v>40</v>
      </c>
    </row>
    <row r="409" spans="1:17">
      <c r="A409" s="1" t="s">
        <v>921</v>
      </c>
      <c r="B409" s="1" t="s">
        <v>396</v>
      </c>
      <c r="C409" s="1">
        <v>90</v>
      </c>
      <c r="D409" s="1" t="s">
        <v>19</v>
      </c>
      <c r="E409" s="1" t="s">
        <v>44</v>
      </c>
      <c r="F409" s="1" t="s">
        <v>75</v>
      </c>
      <c r="G409" s="1" t="s">
        <v>68</v>
      </c>
      <c r="H409" s="1" t="s">
        <v>35</v>
      </c>
      <c r="I409" s="1" t="s">
        <v>24</v>
      </c>
      <c r="J409" s="7" t="s">
        <v>869</v>
      </c>
      <c r="K409" s="1" t="s">
        <v>349</v>
      </c>
      <c r="L409" s="1">
        <v>3</v>
      </c>
      <c r="M409" s="1" t="s">
        <v>48</v>
      </c>
      <c r="N409" s="1" t="s">
        <v>63</v>
      </c>
      <c r="O409" s="1">
        <v>38498.85</v>
      </c>
      <c r="P409" s="1">
        <v>5</v>
      </c>
      <c r="Q409" s="1" t="s">
        <v>29</v>
      </c>
    </row>
    <row r="410" spans="1:17">
      <c r="A410" s="1" t="s">
        <v>922</v>
      </c>
      <c r="B410" s="1" t="s">
        <v>216</v>
      </c>
      <c r="C410" s="1">
        <v>33</v>
      </c>
      <c r="D410" s="1" t="s">
        <v>27</v>
      </c>
      <c r="E410" s="1" t="s">
        <v>137</v>
      </c>
      <c r="F410" s="1" t="s">
        <v>120</v>
      </c>
      <c r="G410" s="1" t="s">
        <v>22</v>
      </c>
      <c r="H410" s="1" t="s">
        <v>23</v>
      </c>
      <c r="I410" s="1" t="s">
        <v>62</v>
      </c>
      <c r="J410" s="7" t="s">
        <v>601</v>
      </c>
      <c r="K410" s="2">
        <v>45690</v>
      </c>
      <c r="L410" s="1">
        <v>5</v>
      </c>
      <c r="M410" s="1" t="s">
        <v>48</v>
      </c>
      <c r="N410" s="1" t="s">
        <v>39</v>
      </c>
      <c r="O410" s="1">
        <v>75287.56</v>
      </c>
      <c r="P410" s="1">
        <v>5</v>
      </c>
      <c r="Q410" s="1" t="s">
        <v>29</v>
      </c>
    </row>
    <row r="411" spans="1:17">
      <c r="A411" s="1" t="s">
        <v>923</v>
      </c>
      <c r="B411" s="1" t="s">
        <v>670</v>
      </c>
      <c r="C411" s="1">
        <v>39</v>
      </c>
      <c r="D411" s="1" t="s">
        <v>19</v>
      </c>
      <c r="E411" s="1" t="s">
        <v>137</v>
      </c>
      <c r="F411" s="1" t="s">
        <v>120</v>
      </c>
      <c r="G411" s="1" t="s">
        <v>36</v>
      </c>
      <c r="H411" s="1" t="s">
        <v>99</v>
      </c>
      <c r="I411" s="1" t="s">
        <v>24</v>
      </c>
      <c r="J411" s="7" t="s">
        <v>630</v>
      </c>
      <c r="K411" s="1" t="s">
        <v>107</v>
      </c>
      <c r="L411" s="1">
        <v>5</v>
      </c>
      <c r="M411" s="1" t="s">
        <v>97</v>
      </c>
      <c r="N411" s="1" t="s">
        <v>39</v>
      </c>
      <c r="O411" s="1">
        <v>32004.67</v>
      </c>
      <c r="P411" s="1">
        <v>2</v>
      </c>
      <c r="Q411" s="1" t="s">
        <v>72</v>
      </c>
    </row>
    <row r="412" spans="1:17">
      <c r="A412" s="1" t="s">
        <v>924</v>
      </c>
      <c r="B412" s="1" t="s">
        <v>162</v>
      </c>
      <c r="C412" s="1">
        <v>21</v>
      </c>
      <c r="D412" s="1" t="s">
        <v>27</v>
      </c>
      <c r="E412" s="1" t="s">
        <v>66</v>
      </c>
      <c r="F412" s="1" t="s">
        <v>75</v>
      </c>
      <c r="G412" s="1" t="s">
        <v>53</v>
      </c>
      <c r="H412" s="1" t="s">
        <v>93</v>
      </c>
      <c r="I412" s="1" t="s">
        <v>62</v>
      </c>
      <c r="J412" s="7" t="s">
        <v>138</v>
      </c>
      <c r="K412" s="1" t="s">
        <v>287</v>
      </c>
      <c r="L412" s="1">
        <v>1</v>
      </c>
      <c r="M412" s="1" t="s">
        <v>56</v>
      </c>
      <c r="N412" s="1" t="s">
        <v>63</v>
      </c>
      <c r="O412" s="1">
        <v>118333.2</v>
      </c>
      <c r="P412" s="1">
        <v>4</v>
      </c>
      <c r="Q412" s="1" t="s">
        <v>40</v>
      </c>
    </row>
    <row r="413" spans="1:17">
      <c r="A413" s="1" t="s">
        <v>925</v>
      </c>
      <c r="B413" s="1" t="s">
        <v>613</v>
      </c>
      <c r="C413" s="1">
        <v>41</v>
      </c>
      <c r="D413" s="1" t="s">
        <v>27</v>
      </c>
      <c r="E413" s="1" t="s">
        <v>117</v>
      </c>
      <c r="F413" s="1" t="s">
        <v>21</v>
      </c>
      <c r="G413" s="1" t="s">
        <v>110</v>
      </c>
      <c r="H413" s="1" t="s">
        <v>69</v>
      </c>
      <c r="I413" s="1" t="s">
        <v>24</v>
      </c>
      <c r="J413" s="7" t="s">
        <v>926</v>
      </c>
      <c r="K413" s="1" t="s">
        <v>927</v>
      </c>
      <c r="L413" s="1">
        <v>1</v>
      </c>
      <c r="M413" s="1" t="s">
        <v>27</v>
      </c>
      <c r="N413" s="1" t="s">
        <v>39</v>
      </c>
      <c r="O413" s="1">
        <v>118744.24</v>
      </c>
      <c r="P413" s="1">
        <v>3</v>
      </c>
      <c r="Q413" s="1" t="s">
        <v>40</v>
      </c>
    </row>
    <row r="414" spans="1:17">
      <c r="A414" s="1" t="s">
        <v>928</v>
      </c>
      <c r="B414" s="1" t="s">
        <v>423</v>
      </c>
      <c r="C414" s="1">
        <v>37</v>
      </c>
      <c r="D414" s="1" t="s">
        <v>19</v>
      </c>
      <c r="E414" s="1" t="s">
        <v>32</v>
      </c>
      <c r="F414" s="1" t="s">
        <v>33</v>
      </c>
      <c r="G414" s="1" t="s">
        <v>36</v>
      </c>
      <c r="H414" s="1" t="s">
        <v>69</v>
      </c>
      <c r="I414" s="1" t="s">
        <v>36</v>
      </c>
      <c r="J414" s="7" t="s">
        <v>929</v>
      </c>
      <c r="K414" s="1" t="s">
        <v>930</v>
      </c>
      <c r="L414" s="1">
        <v>3</v>
      </c>
      <c r="M414" s="1" t="s">
        <v>38</v>
      </c>
      <c r="N414" s="1" t="s">
        <v>63</v>
      </c>
      <c r="O414" s="1">
        <v>28387.56</v>
      </c>
      <c r="P414" s="1">
        <v>5</v>
      </c>
      <c r="Q414" s="1" t="s">
        <v>29</v>
      </c>
    </row>
    <row r="415" spans="1:17">
      <c r="A415" s="1" t="s">
        <v>931</v>
      </c>
      <c r="B415" s="1" t="s">
        <v>806</v>
      </c>
      <c r="C415" s="1">
        <v>7</v>
      </c>
      <c r="D415" s="1" t="s">
        <v>43</v>
      </c>
      <c r="E415" s="1" t="s">
        <v>159</v>
      </c>
      <c r="F415" s="1" t="s">
        <v>75</v>
      </c>
      <c r="G415" s="1" t="s">
        <v>53</v>
      </c>
      <c r="H415" s="1" t="s">
        <v>35</v>
      </c>
      <c r="I415" s="1" t="s">
        <v>36</v>
      </c>
      <c r="J415" s="7" t="s">
        <v>604</v>
      </c>
      <c r="K415" s="1" t="s">
        <v>932</v>
      </c>
      <c r="L415" s="1">
        <v>5</v>
      </c>
      <c r="M415" s="1" t="s">
        <v>56</v>
      </c>
      <c r="N415" s="1" t="s">
        <v>85</v>
      </c>
      <c r="O415" s="1">
        <v>105949.1</v>
      </c>
      <c r="P415" s="1">
        <v>5</v>
      </c>
      <c r="Q415" s="1" t="s">
        <v>40</v>
      </c>
    </row>
    <row r="416" spans="1:17">
      <c r="A416" s="1" t="s">
        <v>933</v>
      </c>
      <c r="B416" s="1" t="s">
        <v>553</v>
      </c>
      <c r="C416" s="1">
        <v>37</v>
      </c>
      <c r="D416" s="1" t="s">
        <v>27</v>
      </c>
      <c r="E416" s="1" t="s">
        <v>66</v>
      </c>
      <c r="F416" s="1" t="s">
        <v>75</v>
      </c>
      <c r="G416" s="1" t="s">
        <v>132</v>
      </c>
      <c r="H416" s="1" t="s">
        <v>105</v>
      </c>
      <c r="I416" s="1" t="s">
        <v>62</v>
      </c>
      <c r="J416" s="7" t="s">
        <v>934</v>
      </c>
      <c r="K416" s="1" t="s">
        <v>487</v>
      </c>
      <c r="L416" s="1">
        <v>1</v>
      </c>
      <c r="M416" s="1" t="s">
        <v>38</v>
      </c>
      <c r="N416" s="1" t="s">
        <v>85</v>
      </c>
      <c r="O416" s="1">
        <v>65049.69</v>
      </c>
      <c r="P416" s="1">
        <v>3</v>
      </c>
      <c r="Q416" s="1" t="s">
        <v>58</v>
      </c>
    </row>
    <row r="417" spans="1:17">
      <c r="A417" s="1" t="s">
        <v>935</v>
      </c>
      <c r="B417" s="1" t="s">
        <v>172</v>
      </c>
      <c r="C417" s="1">
        <v>32</v>
      </c>
      <c r="D417" s="1" t="s">
        <v>43</v>
      </c>
      <c r="E417" s="1" t="s">
        <v>137</v>
      </c>
      <c r="F417" s="1" t="s">
        <v>52</v>
      </c>
      <c r="G417" s="1" t="s">
        <v>104</v>
      </c>
      <c r="H417" s="1" t="s">
        <v>35</v>
      </c>
      <c r="I417" s="1" t="s">
        <v>62</v>
      </c>
      <c r="J417" s="7" t="s">
        <v>431</v>
      </c>
      <c r="K417" s="1" t="s">
        <v>880</v>
      </c>
      <c r="L417" s="1">
        <v>6</v>
      </c>
      <c r="M417" s="1" t="s">
        <v>27</v>
      </c>
      <c r="N417" s="1" t="s">
        <v>82</v>
      </c>
      <c r="O417" s="1">
        <v>75615.37</v>
      </c>
      <c r="P417" s="1">
        <v>5</v>
      </c>
      <c r="Q417" s="1" t="s">
        <v>72</v>
      </c>
    </row>
    <row r="418" spans="1:17">
      <c r="A418" s="1" t="s">
        <v>936</v>
      </c>
      <c r="B418" s="1" t="s">
        <v>253</v>
      </c>
      <c r="C418" s="1">
        <v>13</v>
      </c>
      <c r="D418" s="1" t="s">
        <v>27</v>
      </c>
      <c r="E418" s="1" t="s">
        <v>117</v>
      </c>
      <c r="F418" s="1" t="s">
        <v>67</v>
      </c>
      <c r="G418" s="1" t="s">
        <v>53</v>
      </c>
      <c r="H418" s="1" t="s">
        <v>69</v>
      </c>
      <c r="I418" s="1" t="s">
        <v>24</v>
      </c>
      <c r="J418" s="7">
        <v>45294</v>
      </c>
      <c r="K418" s="2">
        <v>45385</v>
      </c>
      <c r="L418" s="1">
        <v>3</v>
      </c>
      <c r="M418" s="1" t="s">
        <v>97</v>
      </c>
      <c r="N418" s="1" t="s">
        <v>82</v>
      </c>
      <c r="O418" s="1">
        <v>166820.32999999999</v>
      </c>
      <c r="P418" s="1">
        <v>4</v>
      </c>
      <c r="Q418" s="1" t="s">
        <v>58</v>
      </c>
    </row>
    <row r="419" spans="1:17">
      <c r="A419" s="1" t="s">
        <v>937</v>
      </c>
      <c r="B419" s="1" t="s">
        <v>557</v>
      </c>
      <c r="C419" s="1">
        <v>86</v>
      </c>
      <c r="D419" s="1" t="s">
        <v>43</v>
      </c>
      <c r="E419" s="1" t="s">
        <v>51</v>
      </c>
      <c r="F419" s="1" t="s">
        <v>33</v>
      </c>
      <c r="G419" s="1" t="s">
        <v>110</v>
      </c>
      <c r="H419" s="1" t="s">
        <v>23</v>
      </c>
      <c r="I419" s="1" t="s">
        <v>36</v>
      </c>
      <c r="J419" s="7" t="s">
        <v>535</v>
      </c>
      <c r="K419" s="1" t="s">
        <v>938</v>
      </c>
      <c r="L419" s="1">
        <v>1</v>
      </c>
      <c r="M419" s="1" t="s">
        <v>38</v>
      </c>
      <c r="N419" s="1" t="s">
        <v>28</v>
      </c>
      <c r="O419" s="1">
        <v>72218.28</v>
      </c>
      <c r="P419" s="1">
        <v>4</v>
      </c>
      <c r="Q419" s="1" t="s">
        <v>40</v>
      </c>
    </row>
    <row r="420" spans="1:17">
      <c r="A420" s="1" t="s">
        <v>939</v>
      </c>
      <c r="B420" s="1" t="s">
        <v>176</v>
      </c>
      <c r="C420" s="1">
        <v>6</v>
      </c>
      <c r="D420" s="1" t="s">
        <v>19</v>
      </c>
      <c r="E420" s="1" t="s">
        <v>137</v>
      </c>
      <c r="F420" s="1" t="s">
        <v>21</v>
      </c>
      <c r="G420" s="1" t="s">
        <v>68</v>
      </c>
      <c r="H420" s="1" t="s">
        <v>105</v>
      </c>
      <c r="I420" s="1" t="s">
        <v>62</v>
      </c>
      <c r="J420" s="7" t="s">
        <v>488</v>
      </c>
      <c r="K420" s="2">
        <v>45694</v>
      </c>
      <c r="L420" s="1">
        <v>7</v>
      </c>
      <c r="M420" s="1" t="s">
        <v>97</v>
      </c>
      <c r="N420" s="1" t="s">
        <v>39</v>
      </c>
      <c r="O420" s="1">
        <v>56744</v>
      </c>
      <c r="P420" s="1">
        <v>5</v>
      </c>
      <c r="Q420" s="1" t="s">
        <v>29</v>
      </c>
    </row>
    <row r="421" spans="1:17">
      <c r="A421" s="1" t="s">
        <v>940</v>
      </c>
      <c r="B421" s="1" t="s">
        <v>335</v>
      </c>
      <c r="C421" s="1">
        <v>72</v>
      </c>
      <c r="D421" s="1" t="s">
        <v>27</v>
      </c>
      <c r="E421" s="1" t="s">
        <v>32</v>
      </c>
      <c r="F421" s="1" t="s">
        <v>33</v>
      </c>
      <c r="G421" s="1" t="s">
        <v>132</v>
      </c>
      <c r="H421" s="1" t="s">
        <v>35</v>
      </c>
      <c r="I421" s="1" t="s">
        <v>36</v>
      </c>
      <c r="J421" s="7" t="s">
        <v>77</v>
      </c>
      <c r="K421" s="1" t="s">
        <v>823</v>
      </c>
      <c r="L421" s="1">
        <v>1</v>
      </c>
      <c r="M421" s="1" t="s">
        <v>97</v>
      </c>
      <c r="N421" s="1" t="s">
        <v>82</v>
      </c>
      <c r="O421" s="1">
        <v>14617.94</v>
      </c>
      <c r="P421" s="1">
        <v>3</v>
      </c>
      <c r="Q421" s="1" t="s">
        <v>58</v>
      </c>
    </row>
    <row r="422" spans="1:17">
      <c r="A422" s="1" t="s">
        <v>941</v>
      </c>
      <c r="B422" s="1" t="s">
        <v>204</v>
      </c>
      <c r="C422" s="1">
        <v>59</v>
      </c>
      <c r="D422" s="1" t="s">
        <v>43</v>
      </c>
      <c r="E422" s="1" t="s">
        <v>44</v>
      </c>
      <c r="F422" s="1" t="s">
        <v>75</v>
      </c>
      <c r="G422" s="1" t="s">
        <v>110</v>
      </c>
      <c r="H422" s="1" t="s">
        <v>35</v>
      </c>
      <c r="I422" s="1" t="s">
        <v>24</v>
      </c>
      <c r="J422" s="7" t="s">
        <v>874</v>
      </c>
      <c r="K422" s="1" t="s">
        <v>942</v>
      </c>
      <c r="L422" s="1">
        <v>1</v>
      </c>
      <c r="M422" s="1" t="s">
        <v>27</v>
      </c>
      <c r="N422" s="1" t="s">
        <v>85</v>
      </c>
      <c r="O422" s="1">
        <v>129507.03</v>
      </c>
      <c r="P422" s="1">
        <v>4</v>
      </c>
      <c r="Q422" s="1" t="s">
        <v>58</v>
      </c>
    </row>
    <row r="423" spans="1:17">
      <c r="A423" s="1" t="s">
        <v>943</v>
      </c>
      <c r="B423" s="1" t="s">
        <v>749</v>
      </c>
      <c r="C423" s="1">
        <v>10</v>
      </c>
      <c r="D423" s="1" t="s">
        <v>19</v>
      </c>
      <c r="E423" s="1" t="s">
        <v>66</v>
      </c>
      <c r="F423" s="1" t="s">
        <v>75</v>
      </c>
      <c r="G423" s="1" t="s">
        <v>68</v>
      </c>
      <c r="H423" s="1" t="s">
        <v>45</v>
      </c>
      <c r="I423" s="1" t="s">
        <v>36</v>
      </c>
      <c r="J423" s="7" t="s">
        <v>370</v>
      </c>
      <c r="K423" s="1" t="s">
        <v>488</v>
      </c>
      <c r="L423" s="1">
        <v>1</v>
      </c>
      <c r="M423" s="1" t="s">
        <v>97</v>
      </c>
      <c r="N423" s="1" t="s">
        <v>39</v>
      </c>
      <c r="O423" s="1">
        <v>40774.400000000001</v>
      </c>
      <c r="P423" s="1">
        <v>4</v>
      </c>
      <c r="Q423" s="1" t="s">
        <v>58</v>
      </c>
    </row>
    <row r="424" spans="1:17">
      <c r="A424" s="1" t="s">
        <v>944</v>
      </c>
      <c r="B424" s="1" t="s">
        <v>453</v>
      </c>
      <c r="C424" s="1">
        <v>59</v>
      </c>
      <c r="D424" s="1" t="s">
        <v>27</v>
      </c>
      <c r="E424" s="1" t="s">
        <v>20</v>
      </c>
      <c r="F424" s="1" t="s">
        <v>75</v>
      </c>
      <c r="G424" s="1" t="s">
        <v>34</v>
      </c>
      <c r="H424" s="1" t="s">
        <v>69</v>
      </c>
      <c r="I424" s="1" t="s">
        <v>24</v>
      </c>
      <c r="J424" s="7">
        <v>45332</v>
      </c>
      <c r="K424" s="2">
        <v>45514</v>
      </c>
      <c r="L424" s="1">
        <v>6</v>
      </c>
      <c r="M424" s="1" t="s">
        <v>38</v>
      </c>
      <c r="N424" s="1" t="s">
        <v>82</v>
      </c>
      <c r="O424" s="1">
        <v>121506.3</v>
      </c>
      <c r="P424" s="1">
        <v>5</v>
      </c>
      <c r="Q424" s="1" t="s">
        <v>72</v>
      </c>
    </row>
    <row r="425" spans="1:17">
      <c r="A425" s="1" t="s">
        <v>945</v>
      </c>
      <c r="B425" s="1" t="s">
        <v>553</v>
      </c>
      <c r="C425" s="1">
        <v>10</v>
      </c>
      <c r="D425" s="1" t="s">
        <v>27</v>
      </c>
      <c r="E425" s="1" t="s">
        <v>137</v>
      </c>
      <c r="F425" s="1" t="s">
        <v>120</v>
      </c>
      <c r="G425" s="1" t="s">
        <v>132</v>
      </c>
      <c r="H425" s="1" t="s">
        <v>76</v>
      </c>
      <c r="I425" s="1" t="s">
        <v>24</v>
      </c>
      <c r="J425" s="7">
        <v>45878</v>
      </c>
      <c r="K425" s="2">
        <v>45909</v>
      </c>
      <c r="L425" s="1">
        <v>1</v>
      </c>
      <c r="M425" s="1" t="s">
        <v>56</v>
      </c>
      <c r="N425" s="1" t="s">
        <v>28</v>
      </c>
      <c r="O425" s="1">
        <v>18510.75</v>
      </c>
      <c r="P425" s="1">
        <v>5</v>
      </c>
      <c r="Q425" s="1" t="s">
        <v>40</v>
      </c>
    </row>
    <row r="426" spans="1:17">
      <c r="A426" s="1" t="s">
        <v>946</v>
      </c>
      <c r="B426" s="1" t="s">
        <v>538</v>
      </c>
      <c r="C426" s="1">
        <v>63</v>
      </c>
      <c r="D426" s="1" t="s">
        <v>43</v>
      </c>
      <c r="E426" s="1" t="s">
        <v>117</v>
      </c>
      <c r="F426" s="1" t="s">
        <v>67</v>
      </c>
      <c r="G426" s="1" t="s">
        <v>22</v>
      </c>
      <c r="H426" s="1" t="s">
        <v>88</v>
      </c>
      <c r="I426" s="1" t="s">
        <v>24</v>
      </c>
      <c r="J426" s="7" t="s">
        <v>516</v>
      </c>
      <c r="K426" s="1" t="s">
        <v>479</v>
      </c>
      <c r="L426" s="1">
        <v>5</v>
      </c>
      <c r="M426" s="1" t="s">
        <v>97</v>
      </c>
      <c r="N426" s="1" t="s">
        <v>28</v>
      </c>
      <c r="O426" s="1">
        <v>49423.69</v>
      </c>
      <c r="P426" s="1">
        <v>4</v>
      </c>
      <c r="Q426" s="1" t="s">
        <v>58</v>
      </c>
    </row>
    <row r="427" spans="1:17">
      <c r="A427" s="1" t="s">
        <v>947</v>
      </c>
      <c r="B427" s="1" t="s">
        <v>194</v>
      </c>
      <c r="C427" s="1">
        <v>48</v>
      </c>
      <c r="D427" s="1" t="s">
        <v>27</v>
      </c>
      <c r="E427" s="1" t="s">
        <v>117</v>
      </c>
      <c r="F427" s="1" t="s">
        <v>33</v>
      </c>
      <c r="G427" s="1" t="s">
        <v>53</v>
      </c>
      <c r="H427" s="1" t="s">
        <v>93</v>
      </c>
      <c r="I427" s="1" t="s">
        <v>62</v>
      </c>
      <c r="J427" s="7">
        <v>45542</v>
      </c>
      <c r="K427" s="1" t="s">
        <v>336</v>
      </c>
      <c r="L427" s="1">
        <v>5</v>
      </c>
      <c r="M427" s="1" t="s">
        <v>48</v>
      </c>
      <c r="N427" s="1" t="s">
        <v>39</v>
      </c>
      <c r="O427" s="1">
        <v>109431.52</v>
      </c>
      <c r="P427" s="1">
        <v>5</v>
      </c>
      <c r="Q427" s="1" t="s">
        <v>58</v>
      </c>
    </row>
    <row r="428" spans="1:17">
      <c r="A428" s="1" t="s">
        <v>948</v>
      </c>
      <c r="B428" s="1" t="s">
        <v>542</v>
      </c>
      <c r="C428" s="1">
        <v>39</v>
      </c>
      <c r="D428" s="1" t="s">
        <v>19</v>
      </c>
      <c r="E428" s="1" t="s">
        <v>51</v>
      </c>
      <c r="F428" s="1" t="s">
        <v>33</v>
      </c>
      <c r="G428" s="1" t="s">
        <v>36</v>
      </c>
      <c r="H428" s="1" t="s">
        <v>105</v>
      </c>
      <c r="I428" s="1" t="s">
        <v>62</v>
      </c>
      <c r="J428" s="7">
        <v>45570</v>
      </c>
      <c r="K428" s="1" t="s">
        <v>747</v>
      </c>
      <c r="L428" s="1">
        <v>14</v>
      </c>
      <c r="M428" s="1" t="s">
        <v>48</v>
      </c>
      <c r="N428" s="1" t="s">
        <v>57</v>
      </c>
      <c r="O428" s="1">
        <v>66878.880000000005</v>
      </c>
      <c r="P428" s="1">
        <v>4</v>
      </c>
      <c r="Q428" s="1" t="s">
        <v>40</v>
      </c>
    </row>
    <row r="429" spans="1:17">
      <c r="A429" s="1" t="s">
        <v>949</v>
      </c>
      <c r="B429" s="1" t="s">
        <v>656</v>
      </c>
      <c r="C429" s="1">
        <v>46</v>
      </c>
      <c r="D429" s="1" t="s">
        <v>43</v>
      </c>
      <c r="E429" s="1" t="s">
        <v>159</v>
      </c>
      <c r="F429" s="1" t="s">
        <v>67</v>
      </c>
      <c r="G429" s="1" t="s">
        <v>110</v>
      </c>
      <c r="H429" s="1" t="s">
        <v>76</v>
      </c>
      <c r="I429" s="1" t="s">
        <v>62</v>
      </c>
      <c r="J429" s="7" t="s">
        <v>950</v>
      </c>
      <c r="K429" s="1" t="s">
        <v>549</v>
      </c>
      <c r="L429" s="1">
        <v>7</v>
      </c>
      <c r="M429" s="1" t="s">
        <v>38</v>
      </c>
      <c r="N429" s="1" t="s">
        <v>39</v>
      </c>
      <c r="O429" s="1">
        <v>24097.9</v>
      </c>
      <c r="P429" s="1">
        <v>5</v>
      </c>
      <c r="Q429" s="1" t="s">
        <v>29</v>
      </c>
    </row>
    <row r="430" spans="1:17">
      <c r="A430" s="1" t="s">
        <v>951</v>
      </c>
      <c r="B430" s="1" t="s">
        <v>335</v>
      </c>
      <c r="C430" s="1">
        <v>28</v>
      </c>
      <c r="D430" s="1" t="s">
        <v>19</v>
      </c>
      <c r="E430" s="1" t="s">
        <v>44</v>
      </c>
      <c r="F430" s="1" t="s">
        <v>52</v>
      </c>
      <c r="G430" s="1" t="s">
        <v>34</v>
      </c>
      <c r="H430" s="1" t="s">
        <v>99</v>
      </c>
      <c r="I430" s="1" t="s">
        <v>62</v>
      </c>
      <c r="J430" s="7" t="s">
        <v>952</v>
      </c>
      <c r="K430" s="1" t="s">
        <v>929</v>
      </c>
      <c r="L430" s="1">
        <v>6</v>
      </c>
      <c r="M430" s="1" t="s">
        <v>38</v>
      </c>
      <c r="N430" s="1" t="s">
        <v>90</v>
      </c>
      <c r="O430" s="1">
        <v>49485.11</v>
      </c>
      <c r="P430" s="1">
        <v>4</v>
      </c>
      <c r="Q430" s="1" t="s">
        <v>40</v>
      </c>
    </row>
    <row r="431" spans="1:17">
      <c r="A431" s="1" t="s">
        <v>953</v>
      </c>
      <c r="B431" s="1" t="s">
        <v>954</v>
      </c>
      <c r="C431" s="1">
        <v>89</v>
      </c>
      <c r="D431" s="1" t="s">
        <v>27</v>
      </c>
      <c r="E431" s="1" t="s">
        <v>20</v>
      </c>
      <c r="F431" s="1" t="s">
        <v>33</v>
      </c>
      <c r="G431" s="1" t="s">
        <v>110</v>
      </c>
      <c r="H431" s="1" t="s">
        <v>35</v>
      </c>
      <c r="I431" s="1" t="s">
        <v>24</v>
      </c>
      <c r="J431" s="7">
        <v>45850</v>
      </c>
      <c r="K431" s="2">
        <v>45942</v>
      </c>
      <c r="L431" s="1">
        <v>3</v>
      </c>
      <c r="M431" s="1" t="s">
        <v>56</v>
      </c>
      <c r="N431" s="1" t="s">
        <v>63</v>
      </c>
      <c r="O431" s="1">
        <v>16926.21</v>
      </c>
      <c r="P431" s="1">
        <v>1</v>
      </c>
      <c r="Q431" s="1" t="s">
        <v>29</v>
      </c>
    </row>
    <row r="432" spans="1:17">
      <c r="A432" s="1" t="s">
        <v>955</v>
      </c>
      <c r="B432" s="1" t="s">
        <v>295</v>
      </c>
      <c r="C432" s="1">
        <v>56</v>
      </c>
      <c r="D432" s="1" t="s">
        <v>27</v>
      </c>
      <c r="E432" s="1" t="s">
        <v>159</v>
      </c>
      <c r="F432" s="1" t="s">
        <v>75</v>
      </c>
      <c r="G432" s="1" t="s">
        <v>110</v>
      </c>
      <c r="H432" s="1" t="s">
        <v>93</v>
      </c>
      <c r="I432" s="1" t="s">
        <v>62</v>
      </c>
      <c r="J432" s="7">
        <v>45784</v>
      </c>
      <c r="K432" s="2">
        <v>45815</v>
      </c>
      <c r="L432" s="1">
        <v>1</v>
      </c>
      <c r="M432" s="1" t="s">
        <v>27</v>
      </c>
      <c r="N432" s="1" t="s">
        <v>85</v>
      </c>
      <c r="O432" s="1">
        <v>55842.32</v>
      </c>
      <c r="P432" s="1">
        <v>5</v>
      </c>
      <c r="Q432" s="1" t="s">
        <v>29</v>
      </c>
    </row>
    <row r="433" spans="1:17">
      <c r="A433" s="1" t="s">
        <v>956</v>
      </c>
      <c r="B433" s="1" t="s">
        <v>437</v>
      </c>
      <c r="C433" s="1">
        <v>38</v>
      </c>
      <c r="D433" s="1" t="s">
        <v>27</v>
      </c>
      <c r="E433" s="1" t="s">
        <v>202</v>
      </c>
      <c r="F433" s="1" t="s">
        <v>33</v>
      </c>
      <c r="G433" s="1" t="s">
        <v>36</v>
      </c>
      <c r="H433" s="1" t="s">
        <v>76</v>
      </c>
      <c r="I433" s="1" t="s">
        <v>62</v>
      </c>
      <c r="J433" s="7">
        <v>45779</v>
      </c>
      <c r="K433" s="2">
        <v>45871</v>
      </c>
      <c r="L433" s="1">
        <v>3</v>
      </c>
      <c r="M433" s="1" t="s">
        <v>97</v>
      </c>
      <c r="N433" s="1" t="s">
        <v>90</v>
      </c>
      <c r="O433" s="1">
        <v>73948.990000000005</v>
      </c>
      <c r="P433" s="1">
        <v>5</v>
      </c>
      <c r="Q433" s="1" t="s">
        <v>58</v>
      </c>
    </row>
    <row r="434" spans="1:17">
      <c r="A434" s="1" t="s">
        <v>957</v>
      </c>
      <c r="B434" s="1" t="s">
        <v>194</v>
      </c>
      <c r="C434" s="1">
        <v>30</v>
      </c>
      <c r="D434" s="1" t="s">
        <v>27</v>
      </c>
      <c r="E434" s="1" t="s">
        <v>159</v>
      </c>
      <c r="F434" s="1" t="s">
        <v>67</v>
      </c>
      <c r="G434" s="1" t="s">
        <v>22</v>
      </c>
      <c r="H434" s="1" t="s">
        <v>105</v>
      </c>
      <c r="I434" s="1" t="s">
        <v>24</v>
      </c>
      <c r="J434" s="7">
        <v>45354</v>
      </c>
      <c r="K434" s="2">
        <v>45385</v>
      </c>
      <c r="L434" s="1">
        <v>1</v>
      </c>
      <c r="M434" s="1" t="s">
        <v>38</v>
      </c>
      <c r="N434" s="1" t="s">
        <v>57</v>
      </c>
      <c r="O434" s="1">
        <v>77180.039999999994</v>
      </c>
      <c r="P434" s="1">
        <v>4</v>
      </c>
      <c r="Q434" s="1" t="s">
        <v>58</v>
      </c>
    </row>
    <row r="435" spans="1:17">
      <c r="A435" s="1" t="s">
        <v>958</v>
      </c>
      <c r="B435" s="1" t="s">
        <v>656</v>
      </c>
      <c r="C435" s="1">
        <v>3</v>
      </c>
      <c r="D435" s="1" t="s">
        <v>19</v>
      </c>
      <c r="E435" s="1" t="s">
        <v>66</v>
      </c>
      <c r="F435" s="1" t="s">
        <v>120</v>
      </c>
      <c r="G435" s="1" t="s">
        <v>132</v>
      </c>
      <c r="H435" s="1" t="s">
        <v>23</v>
      </c>
      <c r="I435" s="1" t="s">
        <v>24</v>
      </c>
      <c r="J435" s="7" t="s">
        <v>959</v>
      </c>
      <c r="K435" s="1" t="s">
        <v>960</v>
      </c>
      <c r="L435" s="1">
        <v>2</v>
      </c>
      <c r="M435" s="1" t="s">
        <v>97</v>
      </c>
      <c r="N435" s="1" t="s">
        <v>57</v>
      </c>
      <c r="O435" s="1">
        <v>28038.27</v>
      </c>
      <c r="P435" s="1">
        <v>5</v>
      </c>
      <c r="Q435" s="1" t="s">
        <v>40</v>
      </c>
    </row>
    <row r="436" spans="1:17">
      <c r="A436" s="1" t="s">
        <v>961</v>
      </c>
      <c r="B436" s="1" t="s">
        <v>194</v>
      </c>
      <c r="C436" s="1">
        <v>61</v>
      </c>
      <c r="D436" s="1" t="s">
        <v>19</v>
      </c>
      <c r="E436" s="1" t="s">
        <v>137</v>
      </c>
      <c r="F436" s="1" t="s">
        <v>33</v>
      </c>
      <c r="G436" s="1" t="s">
        <v>104</v>
      </c>
      <c r="H436" s="1" t="s">
        <v>35</v>
      </c>
      <c r="I436" s="1" t="s">
        <v>62</v>
      </c>
      <c r="J436" s="7" t="s">
        <v>962</v>
      </c>
      <c r="K436" s="1" t="s">
        <v>963</v>
      </c>
      <c r="L436" s="1">
        <v>2</v>
      </c>
      <c r="M436" s="1" t="s">
        <v>56</v>
      </c>
      <c r="N436" s="1" t="s">
        <v>85</v>
      </c>
      <c r="O436" s="1">
        <v>24650.25</v>
      </c>
      <c r="P436" s="1">
        <v>3</v>
      </c>
      <c r="Q436" s="1" t="s">
        <v>72</v>
      </c>
    </row>
    <row r="437" spans="1:17">
      <c r="A437" s="1" t="s">
        <v>964</v>
      </c>
      <c r="B437" s="1" t="s">
        <v>423</v>
      </c>
      <c r="C437" s="1">
        <v>3</v>
      </c>
      <c r="D437" s="1" t="s">
        <v>43</v>
      </c>
      <c r="E437" s="1" t="s">
        <v>159</v>
      </c>
      <c r="F437" s="1" t="s">
        <v>120</v>
      </c>
      <c r="G437" s="1" t="s">
        <v>34</v>
      </c>
      <c r="H437" s="1" t="s">
        <v>45</v>
      </c>
      <c r="I437" s="1" t="s">
        <v>62</v>
      </c>
      <c r="J437" s="7" t="s">
        <v>138</v>
      </c>
      <c r="K437" s="1" t="s">
        <v>716</v>
      </c>
      <c r="L437" s="1">
        <v>6</v>
      </c>
      <c r="M437" s="1" t="s">
        <v>38</v>
      </c>
      <c r="N437" s="1" t="s">
        <v>39</v>
      </c>
      <c r="O437" s="1">
        <v>47745.32</v>
      </c>
      <c r="P437" s="1">
        <v>3</v>
      </c>
      <c r="Q437" s="1" t="s">
        <v>72</v>
      </c>
    </row>
    <row r="438" spans="1:17">
      <c r="A438" s="1" t="s">
        <v>965</v>
      </c>
      <c r="B438" s="1" t="s">
        <v>87</v>
      </c>
      <c r="C438" s="1">
        <v>72</v>
      </c>
      <c r="D438" s="1" t="s">
        <v>43</v>
      </c>
      <c r="E438" s="1" t="s">
        <v>247</v>
      </c>
      <c r="F438" s="1" t="s">
        <v>21</v>
      </c>
      <c r="G438" s="1" t="s">
        <v>22</v>
      </c>
      <c r="H438" s="1" t="s">
        <v>23</v>
      </c>
      <c r="I438" s="1" t="s">
        <v>24</v>
      </c>
      <c r="J438" s="7">
        <v>45357</v>
      </c>
      <c r="K438" s="2">
        <v>45510</v>
      </c>
      <c r="L438" s="1">
        <v>5</v>
      </c>
      <c r="M438" s="1" t="s">
        <v>38</v>
      </c>
      <c r="N438" s="1" t="s">
        <v>63</v>
      </c>
      <c r="O438" s="1">
        <v>15063.77</v>
      </c>
      <c r="P438" s="1">
        <v>2</v>
      </c>
      <c r="Q438" s="1" t="s">
        <v>58</v>
      </c>
    </row>
    <row r="439" spans="1:17">
      <c r="A439" s="1" t="s">
        <v>966</v>
      </c>
      <c r="B439" s="1" t="s">
        <v>524</v>
      </c>
      <c r="C439" s="1">
        <v>65</v>
      </c>
      <c r="D439" s="1" t="s">
        <v>43</v>
      </c>
      <c r="E439" s="1" t="s">
        <v>159</v>
      </c>
      <c r="F439" s="1" t="s">
        <v>120</v>
      </c>
      <c r="G439" s="1" t="s">
        <v>110</v>
      </c>
      <c r="H439" s="1" t="s">
        <v>45</v>
      </c>
      <c r="I439" s="1" t="s">
        <v>62</v>
      </c>
      <c r="J439" s="7">
        <v>45600</v>
      </c>
      <c r="K439" s="1" t="s">
        <v>559</v>
      </c>
      <c r="L439" s="1">
        <v>6</v>
      </c>
      <c r="M439" s="1" t="s">
        <v>27</v>
      </c>
      <c r="N439" s="1" t="s">
        <v>85</v>
      </c>
      <c r="O439" s="1">
        <v>117960.78</v>
      </c>
      <c r="P439" s="1">
        <v>4</v>
      </c>
      <c r="Q439" s="1" t="s">
        <v>72</v>
      </c>
    </row>
    <row r="440" spans="1:17">
      <c r="A440" s="1" t="s">
        <v>967</v>
      </c>
      <c r="B440" s="1" t="s">
        <v>806</v>
      </c>
      <c r="C440" s="1">
        <v>35</v>
      </c>
      <c r="D440" s="1" t="s">
        <v>43</v>
      </c>
      <c r="E440" s="1" t="s">
        <v>51</v>
      </c>
      <c r="F440" s="1" t="s">
        <v>52</v>
      </c>
      <c r="G440" s="1" t="s">
        <v>36</v>
      </c>
      <c r="H440" s="1" t="s">
        <v>61</v>
      </c>
      <c r="I440" s="1" t="s">
        <v>62</v>
      </c>
      <c r="J440" s="7" t="s">
        <v>160</v>
      </c>
      <c r="K440" s="2">
        <v>45780</v>
      </c>
      <c r="L440" s="1">
        <v>5</v>
      </c>
      <c r="M440" s="1" t="s">
        <v>48</v>
      </c>
      <c r="N440" s="1" t="s">
        <v>57</v>
      </c>
      <c r="O440" s="1">
        <v>22073.59</v>
      </c>
      <c r="P440" s="1">
        <v>4</v>
      </c>
      <c r="Q440" s="1" t="s">
        <v>29</v>
      </c>
    </row>
    <row r="441" spans="1:17">
      <c r="A441" s="1" t="s">
        <v>968</v>
      </c>
      <c r="B441" s="1" t="s">
        <v>636</v>
      </c>
      <c r="C441" s="1">
        <v>2</v>
      </c>
      <c r="D441" s="1" t="s">
        <v>27</v>
      </c>
      <c r="E441" s="1" t="s">
        <v>51</v>
      </c>
      <c r="F441" s="1" t="s">
        <v>120</v>
      </c>
      <c r="G441" s="1" t="s">
        <v>110</v>
      </c>
      <c r="H441" s="1" t="s">
        <v>76</v>
      </c>
      <c r="I441" s="1" t="s">
        <v>62</v>
      </c>
      <c r="J441" s="7" t="s">
        <v>787</v>
      </c>
      <c r="K441" s="1" t="s">
        <v>346</v>
      </c>
      <c r="L441" s="1">
        <v>1</v>
      </c>
      <c r="M441" s="1" t="s">
        <v>97</v>
      </c>
      <c r="N441" s="1" t="s">
        <v>63</v>
      </c>
      <c r="O441" s="1">
        <v>31049.88</v>
      </c>
      <c r="P441" s="1">
        <v>4</v>
      </c>
      <c r="Q441" s="1" t="s">
        <v>40</v>
      </c>
    </row>
    <row r="442" spans="1:17">
      <c r="A442" s="1" t="s">
        <v>969</v>
      </c>
      <c r="B442" s="1" t="s">
        <v>236</v>
      </c>
      <c r="C442" s="1">
        <v>41</v>
      </c>
      <c r="D442" s="1" t="s">
        <v>43</v>
      </c>
      <c r="E442" s="1" t="s">
        <v>137</v>
      </c>
      <c r="F442" s="1" t="s">
        <v>21</v>
      </c>
      <c r="G442" s="1" t="s">
        <v>132</v>
      </c>
      <c r="H442" s="1" t="s">
        <v>23</v>
      </c>
      <c r="I442" s="1" t="s">
        <v>62</v>
      </c>
      <c r="J442" s="7">
        <v>45536</v>
      </c>
      <c r="K442" s="2">
        <v>45566</v>
      </c>
      <c r="L442" s="1">
        <v>1</v>
      </c>
      <c r="M442" s="1" t="s">
        <v>48</v>
      </c>
      <c r="N442" s="1" t="s">
        <v>28</v>
      </c>
      <c r="O442" s="1">
        <v>57578.26</v>
      </c>
      <c r="P442" s="1">
        <v>4</v>
      </c>
      <c r="Q442" s="1" t="s">
        <v>40</v>
      </c>
    </row>
    <row r="443" spans="1:17">
      <c r="A443" s="1" t="s">
        <v>970</v>
      </c>
      <c r="B443" s="1" t="s">
        <v>826</v>
      </c>
      <c r="C443" s="1">
        <v>50</v>
      </c>
      <c r="D443" s="1" t="s">
        <v>27</v>
      </c>
      <c r="E443" s="1" t="s">
        <v>117</v>
      </c>
      <c r="F443" s="1" t="s">
        <v>52</v>
      </c>
      <c r="G443" s="1" t="s">
        <v>53</v>
      </c>
      <c r="H443" s="1" t="s">
        <v>35</v>
      </c>
      <c r="I443" s="1" t="s">
        <v>62</v>
      </c>
      <c r="J443" s="7">
        <v>45540</v>
      </c>
      <c r="K443" s="2">
        <v>45570</v>
      </c>
      <c r="L443" s="1">
        <v>1</v>
      </c>
      <c r="M443" s="1" t="s">
        <v>27</v>
      </c>
      <c r="N443" s="1" t="s">
        <v>28</v>
      </c>
      <c r="O443" s="1">
        <v>27437.22</v>
      </c>
      <c r="P443" s="1">
        <v>4</v>
      </c>
      <c r="Q443" s="1" t="s">
        <v>72</v>
      </c>
    </row>
    <row r="444" spans="1:17">
      <c r="A444" s="1" t="s">
        <v>971</v>
      </c>
      <c r="B444" s="1" t="s">
        <v>236</v>
      </c>
      <c r="C444" s="1">
        <v>48</v>
      </c>
      <c r="D444" s="1" t="s">
        <v>43</v>
      </c>
      <c r="E444" s="1" t="s">
        <v>20</v>
      </c>
      <c r="F444" s="1" t="s">
        <v>52</v>
      </c>
      <c r="G444" s="1" t="s">
        <v>22</v>
      </c>
      <c r="H444" s="1" t="s">
        <v>93</v>
      </c>
      <c r="I444" s="1" t="s">
        <v>24</v>
      </c>
      <c r="J444" s="7">
        <v>45757</v>
      </c>
      <c r="K444" s="2">
        <v>45848</v>
      </c>
      <c r="L444" s="1">
        <v>3</v>
      </c>
      <c r="M444" s="1" t="s">
        <v>27</v>
      </c>
      <c r="N444" s="1" t="s">
        <v>63</v>
      </c>
      <c r="O444" s="1">
        <v>33751.160000000003</v>
      </c>
      <c r="P444" s="1">
        <v>5</v>
      </c>
      <c r="Q444" s="1" t="s">
        <v>29</v>
      </c>
    </row>
    <row r="445" spans="1:17">
      <c r="A445" s="1" t="s">
        <v>972</v>
      </c>
      <c r="B445" s="1" t="s">
        <v>204</v>
      </c>
      <c r="C445" s="1">
        <v>45</v>
      </c>
      <c r="D445" s="1" t="s">
        <v>43</v>
      </c>
      <c r="E445" s="1" t="s">
        <v>247</v>
      </c>
      <c r="F445" s="1" t="s">
        <v>33</v>
      </c>
      <c r="G445" s="1" t="s">
        <v>110</v>
      </c>
      <c r="H445" s="1" t="s">
        <v>76</v>
      </c>
      <c r="I445" s="1" t="s">
        <v>36</v>
      </c>
      <c r="J445" s="7" t="s">
        <v>973</v>
      </c>
      <c r="K445" s="1" t="s">
        <v>974</v>
      </c>
      <c r="L445" s="1">
        <v>8</v>
      </c>
      <c r="M445" s="1" t="s">
        <v>56</v>
      </c>
      <c r="N445" s="1" t="s">
        <v>63</v>
      </c>
      <c r="O445" s="1">
        <v>88814.95</v>
      </c>
      <c r="P445" s="1">
        <v>4</v>
      </c>
      <c r="Q445" s="1" t="s">
        <v>58</v>
      </c>
    </row>
    <row r="446" spans="1:17">
      <c r="A446" s="1" t="s">
        <v>975</v>
      </c>
      <c r="B446" s="1" t="s">
        <v>412</v>
      </c>
      <c r="C446" s="1">
        <v>53</v>
      </c>
      <c r="D446" s="1" t="s">
        <v>19</v>
      </c>
      <c r="E446" s="1" t="s">
        <v>117</v>
      </c>
      <c r="F446" s="1" t="s">
        <v>67</v>
      </c>
      <c r="G446" s="1" t="s">
        <v>132</v>
      </c>
      <c r="H446" s="1" t="s">
        <v>93</v>
      </c>
      <c r="I446" s="1" t="s">
        <v>62</v>
      </c>
      <c r="J446" s="7">
        <v>45386</v>
      </c>
      <c r="K446" s="2">
        <v>45477</v>
      </c>
      <c r="L446" s="1">
        <v>3</v>
      </c>
      <c r="M446" s="1" t="s">
        <v>97</v>
      </c>
      <c r="N446" s="1" t="s">
        <v>57</v>
      </c>
      <c r="O446" s="1">
        <v>17699.310000000001</v>
      </c>
      <c r="P446" s="1">
        <v>4</v>
      </c>
      <c r="Q446" s="1" t="s">
        <v>58</v>
      </c>
    </row>
    <row r="447" spans="1:17">
      <c r="A447" s="1" t="s">
        <v>976</v>
      </c>
      <c r="B447" s="1" t="s">
        <v>857</v>
      </c>
      <c r="C447" s="1">
        <v>54</v>
      </c>
      <c r="D447" s="1" t="s">
        <v>19</v>
      </c>
      <c r="E447" s="1" t="s">
        <v>66</v>
      </c>
      <c r="F447" s="1" t="s">
        <v>67</v>
      </c>
      <c r="G447" s="1" t="s">
        <v>110</v>
      </c>
      <c r="H447" s="1" t="s">
        <v>23</v>
      </c>
      <c r="I447" s="1" t="s">
        <v>62</v>
      </c>
      <c r="J447" s="7" t="s">
        <v>434</v>
      </c>
      <c r="K447" s="1" t="s">
        <v>977</v>
      </c>
      <c r="L447" s="1">
        <v>1</v>
      </c>
      <c r="M447" s="1" t="s">
        <v>48</v>
      </c>
      <c r="N447" s="1" t="s">
        <v>90</v>
      </c>
      <c r="O447" s="1">
        <v>97993.52</v>
      </c>
      <c r="P447" s="1">
        <v>3</v>
      </c>
      <c r="Q447" s="1" t="s">
        <v>58</v>
      </c>
    </row>
    <row r="448" spans="1:17">
      <c r="A448" s="1" t="s">
        <v>978</v>
      </c>
      <c r="B448" s="1" t="s">
        <v>299</v>
      </c>
      <c r="C448" s="1">
        <v>15</v>
      </c>
      <c r="D448" s="1" t="s">
        <v>19</v>
      </c>
      <c r="E448" s="1" t="s">
        <v>202</v>
      </c>
      <c r="F448" s="1" t="s">
        <v>21</v>
      </c>
      <c r="G448" s="1" t="s">
        <v>22</v>
      </c>
      <c r="H448" s="1" t="s">
        <v>88</v>
      </c>
      <c r="I448" s="1" t="s">
        <v>36</v>
      </c>
      <c r="J448" s="7" t="s">
        <v>525</v>
      </c>
      <c r="K448" s="1" t="s">
        <v>316</v>
      </c>
      <c r="L448" s="1">
        <v>2</v>
      </c>
      <c r="M448" s="1" t="s">
        <v>27</v>
      </c>
      <c r="N448" s="1" t="s">
        <v>57</v>
      </c>
      <c r="O448" s="1">
        <v>34259.5</v>
      </c>
      <c r="P448" s="1">
        <v>4</v>
      </c>
      <c r="Q448" s="1" t="s">
        <v>72</v>
      </c>
    </row>
    <row r="449" spans="1:17">
      <c r="A449" s="1" t="s">
        <v>979</v>
      </c>
      <c r="B449" s="1" t="s">
        <v>806</v>
      </c>
      <c r="C449" s="1">
        <v>40</v>
      </c>
      <c r="D449" s="1" t="s">
        <v>43</v>
      </c>
      <c r="E449" s="1" t="s">
        <v>44</v>
      </c>
      <c r="F449" s="1" t="s">
        <v>120</v>
      </c>
      <c r="G449" s="1" t="s">
        <v>22</v>
      </c>
      <c r="H449" s="1" t="s">
        <v>23</v>
      </c>
      <c r="I449" s="1" t="s">
        <v>24</v>
      </c>
      <c r="J449" s="7">
        <v>45512</v>
      </c>
      <c r="K449" s="1" t="s">
        <v>877</v>
      </c>
      <c r="L449" s="1">
        <v>9</v>
      </c>
      <c r="M449" s="1" t="s">
        <v>97</v>
      </c>
      <c r="N449" s="1" t="s">
        <v>82</v>
      </c>
      <c r="O449" s="1">
        <v>46814.22</v>
      </c>
      <c r="P449" s="1">
        <v>5</v>
      </c>
      <c r="Q449" s="1" t="s">
        <v>58</v>
      </c>
    </row>
    <row r="450" spans="1:17">
      <c r="A450" s="1" t="s">
        <v>980</v>
      </c>
      <c r="B450" s="1" t="s">
        <v>31</v>
      </c>
      <c r="C450" s="1">
        <v>61</v>
      </c>
      <c r="D450" s="1" t="s">
        <v>27</v>
      </c>
      <c r="E450" s="1" t="s">
        <v>44</v>
      </c>
      <c r="F450" s="1" t="s">
        <v>52</v>
      </c>
      <c r="G450" s="1" t="s">
        <v>104</v>
      </c>
      <c r="H450" s="1" t="s">
        <v>93</v>
      </c>
      <c r="I450" s="1" t="s">
        <v>24</v>
      </c>
      <c r="J450" s="7">
        <v>46000</v>
      </c>
      <c r="K450" s="1" t="s">
        <v>151</v>
      </c>
      <c r="L450" s="1">
        <v>8</v>
      </c>
      <c r="M450" s="1" t="s">
        <v>97</v>
      </c>
      <c r="N450" s="1" t="s">
        <v>57</v>
      </c>
      <c r="O450" s="1">
        <v>75883.89</v>
      </c>
      <c r="P450" s="1">
        <v>3</v>
      </c>
      <c r="Q450" s="1" t="s">
        <v>29</v>
      </c>
    </row>
    <row r="451" spans="1:17">
      <c r="A451" s="1" t="s">
        <v>981</v>
      </c>
      <c r="B451" s="1" t="s">
        <v>154</v>
      </c>
      <c r="C451" s="1">
        <v>51</v>
      </c>
      <c r="D451" s="1" t="s">
        <v>43</v>
      </c>
      <c r="E451" s="1" t="s">
        <v>51</v>
      </c>
      <c r="F451" s="1" t="s">
        <v>75</v>
      </c>
      <c r="G451" s="1" t="s">
        <v>110</v>
      </c>
      <c r="H451" s="1" t="s">
        <v>99</v>
      </c>
      <c r="I451" s="1" t="s">
        <v>36</v>
      </c>
      <c r="J451" s="7">
        <v>45845</v>
      </c>
      <c r="K451" s="1" t="s">
        <v>37</v>
      </c>
      <c r="L451" s="1">
        <v>7</v>
      </c>
      <c r="M451" s="1" t="s">
        <v>27</v>
      </c>
      <c r="N451" s="1" t="s">
        <v>90</v>
      </c>
      <c r="O451" s="1">
        <v>103024.95</v>
      </c>
      <c r="P451" s="1">
        <v>5</v>
      </c>
      <c r="Q451" s="1" t="s">
        <v>72</v>
      </c>
    </row>
    <row r="452" spans="1:17">
      <c r="A452" s="1" t="s">
        <v>982</v>
      </c>
      <c r="B452" s="1" t="s">
        <v>92</v>
      </c>
      <c r="C452" s="1">
        <v>73</v>
      </c>
      <c r="D452" s="1" t="s">
        <v>27</v>
      </c>
      <c r="E452" s="1" t="s">
        <v>32</v>
      </c>
      <c r="F452" s="1" t="s">
        <v>67</v>
      </c>
      <c r="G452" s="1" t="s">
        <v>110</v>
      </c>
      <c r="H452" s="1" t="s">
        <v>99</v>
      </c>
      <c r="I452" s="1" t="s">
        <v>24</v>
      </c>
      <c r="J452" s="7">
        <v>45633</v>
      </c>
      <c r="K452" s="1" t="s">
        <v>424</v>
      </c>
      <c r="L452" s="1">
        <v>4</v>
      </c>
      <c r="M452" s="1" t="s">
        <v>38</v>
      </c>
      <c r="N452" s="1" t="s">
        <v>57</v>
      </c>
      <c r="O452" s="1">
        <v>44427.29</v>
      </c>
      <c r="P452" s="1">
        <v>5</v>
      </c>
      <c r="Q452" s="1" t="s">
        <v>72</v>
      </c>
    </row>
    <row r="453" spans="1:17">
      <c r="A453" s="1" t="s">
        <v>983</v>
      </c>
      <c r="B453" s="1" t="s">
        <v>310</v>
      </c>
      <c r="C453" s="1">
        <v>63</v>
      </c>
      <c r="D453" s="1" t="s">
        <v>19</v>
      </c>
      <c r="E453" s="1" t="s">
        <v>66</v>
      </c>
      <c r="F453" s="1" t="s">
        <v>120</v>
      </c>
      <c r="G453" s="1" t="s">
        <v>22</v>
      </c>
      <c r="H453" s="1" t="s">
        <v>45</v>
      </c>
      <c r="I453" s="1" t="s">
        <v>36</v>
      </c>
      <c r="J453" s="7" t="s">
        <v>984</v>
      </c>
      <c r="K453" s="1" t="s">
        <v>187</v>
      </c>
      <c r="L453" s="1">
        <v>4</v>
      </c>
      <c r="M453" s="1" t="s">
        <v>56</v>
      </c>
      <c r="N453" s="1" t="s">
        <v>82</v>
      </c>
      <c r="O453" s="1">
        <v>83524.39</v>
      </c>
      <c r="P453" s="1">
        <v>4</v>
      </c>
      <c r="Q453" s="1" t="s">
        <v>58</v>
      </c>
    </row>
    <row r="454" spans="1:17">
      <c r="A454" s="1" t="s">
        <v>985</v>
      </c>
      <c r="B454" s="1" t="s">
        <v>114</v>
      </c>
      <c r="C454" s="1">
        <v>87</v>
      </c>
      <c r="D454" s="1" t="s">
        <v>19</v>
      </c>
      <c r="E454" s="1" t="s">
        <v>32</v>
      </c>
      <c r="F454" s="1" t="s">
        <v>75</v>
      </c>
      <c r="G454" s="1" t="s">
        <v>22</v>
      </c>
      <c r="H454" s="1" t="s">
        <v>88</v>
      </c>
      <c r="I454" s="1" t="s">
        <v>36</v>
      </c>
      <c r="J454" s="7">
        <v>45294</v>
      </c>
      <c r="K454" s="2">
        <v>45507</v>
      </c>
      <c r="L454" s="1">
        <v>7</v>
      </c>
      <c r="M454" s="1" t="s">
        <v>56</v>
      </c>
      <c r="N454" s="1" t="s">
        <v>39</v>
      </c>
      <c r="O454" s="1">
        <v>22399.62</v>
      </c>
      <c r="P454" s="1">
        <v>5</v>
      </c>
      <c r="Q454" s="1" t="s">
        <v>29</v>
      </c>
    </row>
    <row r="455" spans="1:17">
      <c r="A455" s="1" t="s">
        <v>986</v>
      </c>
      <c r="B455" s="1" t="s">
        <v>324</v>
      </c>
      <c r="C455" s="1">
        <v>64</v>
      </c>
      <c r="D455" s="1" t="s">
        <v>27</v>
      </c>
      <c r="E455" s="1" t="s">
        <v>51</v>
      </c>
      <c r="F455" s="1" t="s">
        <v>67</v>
      </c>
      <c r="G455" s="1" t="s">
        <v>22</v>
      </c>
      <c r="H455" s="1" t="s">
        <v>93</v>
      </c>
      <c r="I455" s="1" t="s">
        <v>24</v>
      </c>
      <c r="J455" s="7" t="s">
        <v>987</v>
      </c>
      <c r="K455" s="2">
        <v>45694</v>
      </c>
      <c r="L455" s="1">
        <v>2</v>
      </c>
      <c r="M455" s="1" t="s">
        <v>48</v>
      </c>
      <c r="N455" s="1" t="s">
        <v>85</v>
      </c>
      <c r="O455" s="1">
        <v>14110.17</v>
      </c>
      <c r="P455" s="1">
        <v>4</v>
      </c>
      <c r="Q455" s="1" t="s">
        <v>29</v>
      </c>
    </row>
    <row r="456" spans="1:17">
      <c r="A456" s="1" t="s">
        <v>988</v>
      </c>
      <c r="B456" s="1" t="s">
        <v>183</v>
      </c>
      <c r="C456" s="1">
        <v>39</v>
      </c>
      <c r="D456" s="1" t="s">
        <v>27</v>
      </c>
      <c r="E456" s="1" t="s">
        <v>51</v>
      </c>
      <c r="F456" s="1" t="s">
        <v>33</v>
      </c>
      <c r="G456" s="1" t="s">
        <v>132</v>
      </c>
      <c r="H456" s="1" t="s">
        <v>35</v>
      </c>
      <c r="I456" s="1" t="s">
        <v>36</v>
      </c>
      <c r="J456" s="7" t="s">
        <v>989</v>
      </c>
      <c r="K456" s="1" t="s">
        <v>990</v>
      </c>
      <c r="L456" s="1">
        <v>1</v>
      </c>
      <c r="M456" s="1" t="s">
        <v>48</v>
      </c>
      <c r="N456" s="1" t="s">
        <v>39</v>
      </c>
      <c r="O456" s="1">
        <v>39251.279999999999</v>
      </c>
      <c r="P456" s="1">
        <v>5</v>
      </c>
      <c r="Q456" s="1" t="s">
        <v>58</v>
      </c>
    </row>
    <row r="457" spans="1:17">
      <c r="A457" s="1" t="s">
        <v>991</v>
      </c>
      <c r="B457" s="1" t="s">
        <v>992</v>
      </c>
      <c r="C457" s="1">
        <v>80</v>
      </c>
      <c r="D457" s="1" t="s">
        <v>43</v>
      </c>
      <c r="E457" s="1" t="s">
        <v>20</v>
      </c>
      <c r="F457" s="1" t="s">
        <v>67</v>
      </c>
      <c r="G457" s="1" t="s">
        <v>104</v>
      </c>
      <c r="H457" s="1" t="s">
        <v>105</v>
      </c>
      <c r="I457" s="1" t="s">
        <v>24</v>
      </c>
      <c r="J457" s="7" t="s">
        <v>824</v>
      </c>
      <c r="K457" s="1" t="s">
        <v>373</v>
      </c>
      <c r="L457" s="1">
        <v>1</v>
      </c>
      <c r="M457" s="1" t="s">
        <v>38</v>
      </c>
      <c r="N457" s="1" t="s">
        <v>28</v>
      </c>
      <c r="O457" s="1">
        <v>55644.35</v>
      </c>
      <c r="P457" s="1">
        <v>5</v>
      </c>
      <c r="Q457" s="1" t="s">
        <v>29</v>
      </c>
    </row>
    <row r="458" spans="1:17">
      <c r="A458" s="1" t="s">
        <v>993</v>
      </c>
      <c r="B458" s="1" t="s">
        <v>644</v>
      </c>
      <c r="C458" s="1">
        <v>69</v>
      </c>
      <c r="D458" s="1" t="s">
        <v>27</v>
      </c>
      <c r="E458" s="1" t="s">
        <v>247</v>
      </c>
      <c r="F458" s="1" t="s">
        <v>52</v>
      </c>
      <c r="G458" s="1" t="s">
        <v>110</v>
      </c>
      <c r="H458" s="1" t="s">
        <v>23</v>
      </c>
      <c r="I458" s="1" t="s">
        <v>62</v>
      </c>
      <c r="J458" s="7">
        <v>45629</v>
      </c>
      <c r="K458" s="1" t="s">
        <v>300</v>
      </c>
      <c r="L458" s="1">
        <v>1</v>
      </c>
      <c r="M458" s="1" t="s">
        <v>97</v>
      </c>
      <c r="N458" s="1" t="s">
        <v>82</v>
      </c>
      <c r="O458" s="1">
        <v>169017.09</v>
      </c>
      <c r="P458" s="1">
        <v>3</v>
      </c>
      <c r="Q458" s="1" t="s">
        <v>29</v>
      </c>
    </row>
    <row r="459" spans="1:17">
      <c r="A459" s="1" t="s">
        <v>994</v>
      </c>
      <c r="B459" s="1" t="s">
        <v>190</v>
      </c>
      <c r="C459" s="1">
        <v>85</v>
      </c>
      <c r="D459" s="1" t="s">
        <v>43</v>
      </c>
      <c r="E459" s="1" t="s">
        <v>137</v>
      </c>
      <c r="F459" s="1" t="s">
        <v>67</v>
      </c>
      <c r="G459" s="1" t="s">
        <v>34</v>
      </c>
      <c r="H459" s="1" t="s">
        <v>35</v>
      </c>
      <c r="I459" s="1" t="s">
        <v>24</v>
      </c>
      <c r="J459" s="7" t="s">
        <v>995</v>
      </c>
      <c r="K459" s="1" t="s">
        <v>441</v>
      </c>
      <c r="L459" s="1">
        <v>4</v>
      </c>
      <c r="M459" s="1" t="s">
        <v>97</v>
      </c>
      <c r="N459" s="1" t="s">
        <v>39</v>
      </c>
      <c r="O459" s="1">
        <v>71137.509999999995</v>
      </c>
      <c r="P459" s="1">
        <v>4</v>
      </c>
      <c r="Q459" s="1" t="s">
        <v>58</v>
      </c>
    </row>
    <row r="460" spans="1:17">
      <c r="A460" s="1" t="s">
        <v>996</v>
      </c>
      <c r="B460" s="1" t="s">
        <v>42</v>
      </c>
      <c r="C460" s="1">
        <v>69</v>
      </c>
      <c r="D460" s="1" t="s">
        <v>19</v>
      </c>
      <c r="E460" s="1" t="s">
        <v>137</v>
      </c>
      <c r="F460" s="1" t="s">
        <v>21</v>
      </c>
      <c r="G460" s="1" t="s">
        <v>22</v>
      </c>
      <c r="H460" s="1" t="s">
        <v>88</v>
      </c>
      <c r="I460" s="1" t="s">
        <v>24</v>
      </c>
      <c r="J460" s="7" t="s">
        <v>841</v>
      </c>
      <c r="K460" s="2">
        <v>45788</v>
      </c>
      <c r="L460" s="1">
        <v>10</v>
      </c>
      <c r="M460" s="1" t="s">
        <v>48</v>
      </c>
      <c r="N460" s="1" t="s">
        <v>28</v>
      </c>
      <c r="O460" s="1">
        <v>103698.56</v>
      </c>
      <c r="P460" s="1">
        <v>4</v>
      </c>
      <c r="Q460" s="1" t="s">
        <v>58</v>
      </c>
    </row>
    <row r="461" spans="1:17">
      <c r="A461" s="1" t="s">
        <v>997</v>
      </c>
      <c r="B461" s="1" t="s">
        <v>391</v>
      </c>
      <c r="C461" s="1">
        <v>48</v>
      </c>
      <c r="D461" s="1" t="s">
        <v>19</v>
      </c>
      <c r="E461" s="1" t="s">
        <v>159</v>
      </c>
      <c r="F461" s="1" t="s">
        <v>120</v>
      </c>
      <c r="G461" s="1" t="s">
        <v>53</v>
      </c>
      <c r="H461" s="1" t="s">
        <v>61</v>
      </c>
      <c r="I461" s="1" t="s">
        <v>36</v>
      </c>
      <c r="J461" s="7" t="s">
        <v>998</v>
      </c>
      <c r="K461" s="2">
        <v>45692</v>
      </c>
      <c r="L461" s="1">
        <v>2</v>
      </c>
      <c r="M461" s="1" t="s">
        <v>38</v>
      </c>
      <c r="N461" s="1" t="s">
        <v>57</v>
      </c>
      <c r="O461" s="1">
        <v>32532.19</v>
      </c>
      <c r="P461" s="1">
        <v>3</v>
      </c>
      <c r="Q461" s="1" t="s">
        <v>29</v>
      </c>
    </row>
    <row r="462" spans="1:17">
      <c r="A462" s="1" t="s">
        <v>999</v>
      </c>
      <c r="B462" s="1" t="s">
        <v>453</v>
      </c>
      <c r="C462" s="1">
        <v>1</v>
      </c>
      <c r="D462" s="1" t="s">
        <v>19</v>
      </c>
      <c r="E462" s="1" t="s">
        <v>32</v>
      </c>
      <c r="F462" s="1" t="s">
        <v>67</v>
      </c>
      <c r="G462" s="1" t="s">
        <v>104</v>
      </c>
      <c r="H462" s="1" t="s">
        <v>35</v>
      </c>
      <c r="I462" s="1" t="s">
        <v>36</v>
      </c>
      <c r="J462" s="7" t="s">
        <v>124</v>
      </c>
      <c r="K462" s="1" t="s">
        <v>333</v>
      </c>
      <c r="L462" s="1">
        <v>1</v>
      </c>
      <c r="M462" s="1" t="s">
        <v>48</v>
      </c>
      <c r="N462" s="1" t="s">
        <v>85</v>
      </c>
      <c r="O462" s="1">
        <v>52280.32</v>
      </c>
      <c r="P462" s="1">
        <v>4</v>
      </c>
      <c r="Q462" s="1" t="s">
        <v>40</v>
      </c>
    </row>
    <row r="463" spans="1:17">
      <c r="A463" s="1" t="s">
        <v>1000</v>
      </c>
      <c r="B463" s="1" t="s">
        <v>428</v>
      </c>
      <c r="C463" s="1">
        <v>73</v>
      </c>
      <c r="D463" s="1" t="s">
        <v>19</v>
      </c>
      <c r="E463" s="1" t="s">
        <v>247</v>
      </c>
      <c r="F463" s="1" t="s">
        <v>33</v>
      </c>
      <c r="G463" s="1" t="s">
        <v>68</v>
      </c>
      <c r="H463" s="1" t="s">
        <v>23</v>
      </c>
      <c r="I463" s="1" t="s">
        <v>62</v>
      </c>
      <c r="J463" s="7" t="s">
        <v>710</v>
      </c>
      <c r="K463" s="1" t="s">
        <v>121</v>
      </c>
      <c r="L463" s="1">
        <v>6</v>
      </c>
      <c r="M463" s="1" t="s">
        <v>38</v>
      </c>
      <c r="N463" s="1" t="s">
        <v>28</v>
      </c>
      <c r="O463" s="1">
        <v>76466.44</v>
      </c>
      <c r="P463" s="1">
        <v>1</v>
      </c>
      <c r="Q463" s="1" t="s">
        <v>58</v>
      </c>
    </row>
    <row r="464" spans="1:17">
      <c r="A464" s="1" t="s">
        <v>1001</v>
      </c>
      <c r="B464" s="1" t="s">
        <v>409</v>
      </c>
      <c r="C464" s="1">
        <v>64</v>
      </c>
      <c r="D464" s="1" t="s">
        <v>43</v>
      </c>
      <c r="E464" s="1" t="s">
        <v>20</v>
      </c>
      <c r="F464" s="1" t="s">
        <v>52</v>
      </c>
      <c r="G464" s="1" t="s">
        <v>104</v>
      </c>
      <c r="H464" s="1" t="s">
        <v>88</v>
      </c>
      <c r="I464" s="1" t="s">
        <v>62</v>
      </c>
      <c r="J464" s="7" t="s">
        <v>787</v>
      </c>
      <c r="K464" s="1" t="s">
        <v>466</v>
      </c>
      <c r="L464" s="1">
        <v>2</v>
      </c>
      <c r="M464" s="1" t="s">
        <v>48</v>
      </c>
      <c r="N464" s="1" t="s">
        <v>85</v>
      </c>
      <c r="O464" s="1">
        <v>12376.63</v>
      </c>
      <c r="P464" s="1">
        <v>3</v>
      </c>
      <c r="Q464" s="1" t="s">
        <v>29</v>
      </c>
    </row>
    <row r="465" spans="1:17">
      <c r="A465" s="1" t="s">
        <v>1002</v>
      </c>
      <c r="B465" s="1" t="s">
        <v>131</v>
      </c>
      <c r="C465" s="1">
        <v>22</v>
      </c>
      <c r="D465" s="1" t="s">
        <v>43</v>
      </c>
      <c r="E465" s="1" t="s">
        <v>20</v>
      </c>
      <c r="F465" s="1" t="s">
        <v>75</v>
      </c>
      <c r="G465" s="1" t="s">
        <v>104</v>
      </c>
      <c r="H465" s="1" t="s">
        <v>76</v>
      </c>
      <c r="I465" s="1" t="s">
        <v>62</v>
      </c>
      <c r="J465" s="7" t="s">
        <v>1003</v>
      </c>
      <c r="K465" s="1" t="s">
        <v>794</v>
      </c>
      <c r="L465" s="1">
        <v>5</v>
      </c>
      <c r="M465" s="1" t="s">
        <v>56</v>
      </c>
      <c r="N465" s="1" t="s">
        <v>82</v>
      </c>
      <c r="O465" s="1">
        <v>70988.31</v>
      </c>
      <c r="P465" s="1">
        <v>4</v>
      </c>
      <c r="Q465" s="1" t="s">
        <v>72</v>
      </c>
    </row>
    <row r="466" spans="1:17">
      <c r="A466" s="1" t="s">
        <v>1004</v>
      </c>
      <c r="B466" s="1" t="s">
        <v>253</v>
      </c>
      <c r="C466" s="1">
        <v>43</v>
      </c>
      <c r="D466" s="1" t="s">
        <v>27</v>
      </c>
      <c r="E466" s="1" t="s">
        <v>137</v>
      </c>
      <c r="F466" s="1" t="s">
        <v>120</v>
      </c>
      <c r="G466" s="1" t="s">
        <v>22</v>
      </c>
      <c r="H466" s="1" t="s">
        <v>93</v>
      </c>
      <c r="I466" s="1" t="s">
        <v>24</v>
      </c>
      <c r="J466" s="7" t="s">
        <v>1005</v>
      </c>
      <c r="K466" s="2">
        <v>45482</v>
      </c>
      <c r="L466" s="1">
        <v>8</v>
      </c>
      <c r="M466" s="1" t="s">
        <v>48</v>
      </c>
      <c r="N466" s="1" t="s">
        <v>39</v>
      </c>
      <c r="O466" s="1">
        <v>67827.77</v>
      </c>
      <c r="P466" s="1">
        <v>2</v>
      </c>
      <c r="Q466" s="1" t="s">
        <v>29</v>
      </c>
    </row>
    <row r="467" spans="1:17">
      <c r="A467" s="1" t="s">
        <v>1006</v>
      </c>
      <c r="B467" s="1" t="s">
        <v>412</v>
      </c>
      <c r="C467" s="1">
        <v>8</v>
      </c>
      <c r="D467" s="1" t="s">
        <v>43</v>
      </c>
      <c r="E467" s="1" t="s">
        <v>32</v>
      </c>
      <c r="F467" s="1" t="s">
        <v>67</v>
      </c>
      <c r="G467" s="1" t="s">
        <v>22</v>
      </c>
      <c r="H467" s="1" t="s">
        <v>99</v>
      </c>
      <c r="I467" s="1" t="s">
        <v>62</v>
      </c>
      <c r="J467" s="7" t="s">
        <v>1007</v>
      </c>
      <c r="K467" s="2">
        <v>45325</v>
      </c>
      <c r="L467" s="1">
        <v>5</v>
      </c>
      <c r="M467" s="1" t="s">
        <v>56</v>
      </c>
      <c r="N467" s="1" t="s">
        <v>39</v>
      </c>
      <c r="O467" s="1">
        <v>52825.84</v>
      </c>
      <c r="P467" s="1">
        <v>3</v>
      </c>
      <c r="Q467" s="1" t="s">
        <v>72</v>
      </c>
    </row>
    <row r="468" spans="1:17">
      <c r="A468" s="1" t="s">
        <v>1008</v>
      </c>
      <c r="B468" s="1" t="s">
        <v>18</v>
      </c>
      <c r="C468" s="1">
        <v>59</v>
      </c>
      <c r="D468" s="1" t="s">
        <v>43</v>
      </c>
      <c r="E468" s="1" t="s">
        <v>44</v>
      </c>
      <c r="F468" s="1" t="s">
        <v>21</v>
      </c>
      <c r="G468" s="1" t="s">
        <v>34</v>
      </c>
      <c r="H468" s="1" t="s">
        <v>93</v>
      </c>
      <c r="I468" s="1" t="s">
        <v>24</v>
      </c>
      <c r="J468" s="7" t="s">
        <v>1009</v>
      </c>
      <c r="K468" s="1" t="s">
        <v>1010</v>
      </c>
      <c r="L468" s="1">
        <v>3</v>
      </c>
      <c r="M468" s="1" t="s">
        <v>56</v>
      </c>
      <c r="N468" s="1" t="s">
        <v>63</v>
      </c>
      <c r="O468" s="1">
        <v>86030.65</v>
      </c>
      <c r="P468" s="1">
        <v>2</v>
      </c>
      <c r="Q468" s="1" t="s">
        <v>40</v>
      </c>
    </row>
    <row r="469" spans="1:17">
      <c r="A469" s="1" t="s">
        <v>1011</v>
      </c>
      <c r="B469" s="1" t="s">
        <v>304</v>
      </c>
      <c r="C469" s="1">
        <v>46</v>
      </c>
      <c r="D469" s="1" t="s">
        <v>43</v>
      </c>
      <c r="E469" s="1" t="s">
        <v>44</v>
      </c>
      <c r="F469" s="1" t="s">
        <v>67</v>
      </c>
      <c r="G469" s="1" t="s">
        <v>110</v>
      </c>
      <c r="H469" s="1" t="s">
        <v>99</v>
      </c>
      <c r="I469" s="1" t="s">
        <v>36</v>
      </c>
      <c r="J469" s="7">
        <v>45843</v>
      </c>
      <c r="K469" s="2">
        <v>45996</v>
      </c>
      <c r="L469" s="1">
        <v>5</v>
      </c>
      <c r="M469" s="1" t="s">
        <v>56</v>
      </c>
      <c r="N469" s="1" t="s">
        <v>57</v>
      </c>
      <c r="O469" s="1">
        <v>24303.68</v>
      </c>
      <c r="P469" s="1">
        <v>4</v>
      </c>
      <c r="Q469" s="1" t="s">
        <v>40</v>
      </c>
    </row>
    <row r="470" spans="1:17">
      <c r="A470" s="1" t="s">
        <v>1012</v>
      </c>
      <c r="B470" s="1" t="s">
        <v>585</v>
      </c>
      <c r="C470" s="1">
        <v>78</v>
      </c>
      <c r="D470" s="1" t="s">
        <v>43</v>
      </c>
      <c r="E470" s="1" t="s">
        <v>247</v>
      </c>
      <c r="F470" s="1" t="s">
        <v>21</v>
      </c>
      <c r="G470" s="1" t="s">
        <v>132</v>
      </c>
      <c r="H470" s="1" t="s">
        <v>23</v>
      </c>
      <c r="I470" s="1" t="s">
        <v>36</v>
      </c>
      <c r="J470" s="7" t="s">
        <v>376</v>
      </c>
      <c r="K470" s="1" t="s">
        <v>364</v>
      </c>
      <c r="L470" s="1">
        <v>6</v>
      </c>
      <c r="M470" s="1" t="s">
        <v>56</v>
      </c>
      <c r="N470" s="1" t="s">
        <v>39</v>
      </c>
      <c r="O470" s="1">
        <v>71800.42</v>
      </c>
      <c r="P470" s="1">
        <v>4</v>
      </c>
      <c r="Q470" s="1" t="s">
        <v>72</v>
      </c>
    </row>
    <row r="471" spans="1:17">
      <c r="A471" s="1" t="s">
        <v>1013</v>
      </c>
      <c r="B471" s="1" t="s">
        <v>123</v>
      </c>
      <c r="C471" s="1">
        <v>44</v>
      </c>
      <c r="D471" s="1" t="s">
        <v>19</v>
      </c>
      <c r="E471" s="1" t="s">
        <v>32</v>
      </c>
      <c r="F471" s="1" t="s">
        <v>33</v>
      </c>
      <c r="G471" s="1" t="s">
        <v>53</v>
      </c>
      <c r="H471" s="1" t="s">
        <v>69</v>
      </c>
      <c r="I471" s="1" t="s">
        <v>36</v>
      </c>
      <c r="J471" s="7" t="s">
        <v>1014</v>
      </c>
      <c r="K471" s="1" t="s">
        <v>649</v>
      </c>
      <c r="L471" s="1">
        <v>6</v>
      </c>
      <c r="M471" s="1" t="s">
        <v>97</v>
      </c>
      <c r="N471" s="1" t="s">
        <v>85</v>
      </c>
      <c r="O471" s="1">
        <v>80099.3</v>
      </c>
      <c r="P471" s="1">
        <v>3</v>
      </c>
      <c r="Q471" s="1" t="s">
        <v>72</v>
      </c>
    </row>
    <row r="472" spans="1:17">
      <c r="A472" s="1" t="s">
        <v>1015</v>
      </c>
      <c r="B472" s="1" t="s">
        <v>381</v>
      </c>
      <c r="C472" s="1">
        <v>82</v>
      </c>
      <c r="D472" s="1" t="s">
        <v>19</v>
      </c>
      <c r="E472" s="1" t="s">
        <v>202</v>
      </c>
      <c r="F472" s="1" t="s">
        <v>120</v>
      </c>
      <c r="G472" s="1" t="s">
        <v>104</v>
      </c>
      <c r="H472" s="1" t="s">
        <v>88</v>
      </c>
      <c r="I472" s="1" t="s">
        <v>36</v>
      </c>
      <c r="J472" s="7">
        <v>45942</v>
      </c>
      <c r="K472" s="1" t="s">
        <v>144</v>
      </c>
      <c r="L472" s="1">
        <v>4</v>
      </c>
      <c r="M472" s="1" t="s">
        <v>48</v>
      </c>
      <c r="N472" s="1" t="s">
        <v>82</v>
      </c>
      <c r="O472" s="1">
        <v>70930.81</v>
      </c>
      <c r="P472" s="1">
        <v>4</v>
      </c>
      <c r="Q472" s="1" t="s">
        <v>72</v>
      </c>
    </row>
    <row r="473" spans="1:17">
      <c r="A473" s="1" t="s">
        <v>1016</v>
      </c>
      <c r="B473" s="1" t="s">
        <v>712</v>
      </c>
      <c r="C473" s="1">
        <v>72</v>
      </c>
      <c r="D473" s="1" t="s">
        <v>19</v>
      </c>
      <c r="E473" s="1" t="s">
        <v>66</v>
      </c>
      <c r="F473" s="1" t="s">
        <v>120</v>
      </c>
      <c r="G473" s="1" t="s">
        <v>53</v>
      </c>
      <c r="H473" s="1" t="s">
        <v>99</v>
      </c>
      <c r="I473" s="1" t="s">
        <v>24</v>
      </c>
      <c r="J473" s="7" t="s">
        <v>469</v>
      </c>
      <c r="K473" s="1" t="s">
        <v>977</v>
      </c>
      <c r="L473" s="1">
        <v>3</v>
      </c>
      <c r="M473" s="1" t="s">
        <v>56</v>
      </c>
      <c r="N473" s="1" t="s">
        <v>85</v>
      </c>
      <c r="O473" s="1">
        <v>114746.98</v>
      </c>
      <c r="P473" s="1">
        <v>3</v>
      </c>
      <c r="Q473" s="1" t="s">
        <v>29</v>
      </c>
    </row>
    <row r="474" spans="1:17">
      <c r="A474" s="1" t="s">
        <v>1017</v>
      </c>
      <c r="B474" s="1" t="s">
        <v>369</v>
      </c>
      <c r="C474" s="1">
        <v>3</v>
      </c>
      <c r="D474" s="1" t="s">
        <v>19</v>
      </c>
      <c r="E474" s="1" t="s">
        <v>247</v>
      </c>
      <c r="F474" s="1" t="s">
        <v>120</v>
      </c>
      <c r="G474" s="1" t="s">
        <v>36</v>
      </c>
      <c r="H474" s="1" t="s">
        <v>45</v>
      </c>
      <c r="I474" s="1" t="s">
        <v>24</v>
      </c>
      <c r="J474" s="7" t="s">
        <v>287</v>
      </c>
      <c r="K474" s="1" t="s">
        <v>611</v>
      </c>
      <c r="L474" s="1">
        <v>1</v>
      </c>
      <c r="M474" s="1" t="s">
        <v>56</v>
      </c>
      <c r="N474" s="1" t="s">
        <v>90</v>
      </c>
      <c r="O474" s="1">
        <v>36701.980000000003</v>
      </c>
      <c r="P474" s="1">
        <v>3</v>
      </c>
      <c r="Q474" s="1" t="s">
        <v>58</v>
      </c>
    </row>
    <row r="475" spans="1:17">
      <c r="A475" s="1" t="s">
        <v>1018</v>
      </c>
      <c r="B475" s="1" t="s">
        <v>204</v>
      </c>
      <c r="C475" s="1">
        <v>9</v>
      </c>
      <c r="D475" s="1" t="s">
        <v>19</v>
      </c>
      <c r="E475" s="1" t="s">
        <v>51</v>
      </c>
      <c r="F475" s="1" t="s">
        <v>120</v>
      </c>
      <c r="G475" s="1" t="s">
        <v>36</v>
      </c>
      <c r="H475" s="1" t="s">
        <v>61</v>
      </c>
      <c r="I475" s="1" t="s">
        <v>36</v>
      </c>
      <c r="J475" s="7" t="s">
        <v>434</v>
      </c>
      <c r="K475" s="1" t="s">
        <v>1019</v>
      </c>
      <c r="L475" s="1">
        <v>3</v>
      </c>
      <c r="M475" s="1" t="s">
        <v>38</v>
      </c>
      <c r="N475" s="1" t="s">
        <v>85</v>
      </c>
      <c r="O475" s="1">
        <v>79233.990000000005</v>
      </c>
      <c r="P475" s="1">
        <v>5</v>
      </c>
      <c r="Q475" s="1" t="s">
        <v>72</v>
      </c>
    </row>
    <row r="476" spans="1:17">
      <c r="A476" s="1" t="s">
        <v>1020</v>
      </c>
      <c r="B476" s="1" t="s">
        <v>644</v>
      </c>
      <c r="C476" s="1">
        <v>81</v>
      </c>
      <c r="D476" s="1" t="s">
        <v>43</v>
      </c>
      <c r="E476" s="1" t="s">
        <v>159</v>
      </c>
      <c r="F476" s="1" t="s">
        <v>67</v>
      </c>
      <c r="G476" s="1" t="s">
        <v>104</v>
      </c>
      <c r="H476" s="1" t="s">
        <v>69</v>
      </c>
      <c r="I476" s="1" t="s">
        <v>62</v>
      </c>
      <c r="J476" s="7">
        <v>45540</v>
      </c>
      <c r="K476" s="2">
        <v>45601</v>
      </c>
      <c r="L476" s="1">
        <v>2</v>
      </c>
      <c r="M476" s="1" t="s">
        <v>56</v>
      </c>
      <c r="N476" s="1" t="s">
        <v>82</v>
      </c>
      <c r="O476" s="1">
        <v>16735.73</v>
      </c>
      <c r="P476" s="1">
        <v>4</v>
      </c>
      <c r="Q476" s="1" t="s">
        <v>40</v>
      </c>
    </row>
    <row r="477" spans="1:17">
      <c r="A477" s="1" t="s">
        <v>1021</v>
      </c>
      <c r="B477" s="1" t="s">
        <v>172</v>
      </c>
      <c r="C477" s="1">
        <v>68</v>
      </c>
      <c r="D477" s="1" t="s">
        <v>27</v>
      </c>
      <c r="E477" s="1" t="s">
        <v>117</v>
      </c>
      <c r="F477" s="1" t="s">
        <v>33</v>
      </c>
      <c r="G477" s="1" t="s">
        <v>34</v>
      </c>
      <c r="H477" s="1" t="s">
        <v>61</v>
      </c>
      <c r="I477" s="1" t="s">
        <v>62</v>
      </c>
      <c r="J477" s="7">
        <v>45905</v>
      </c>
      <c r="K477" s="1" t="s">
        <v>231</v>
      </c>
      <c r="L477" s="1">
        <v>5</v>
      </c>
      <c r="M477" s="1" t="s">
        <v>27</v>
      </c>
      <c r="N477" s="1" t="s">
        <v>85</v>
      </c>
      <c r="O477" s="1">
        <v>38750.76</v>
      </c>
      <c r="P477" s="1">
        <v>5</v>
      </c>
      <c r="Q477" s="1" t="s">
        <v>40</v>
      </c>
    </row>
    <row r="478" spans="1:17">
      <c r="A478" s="1" t="s">
        <v>1022</v>
      </c>
      <c r="B478" s="1" t="s">
        <v>806</v>
      </c>
      <c r="C478" s="1">
        <v>33</v>
      </c>
      <c r="D478" s="1" t="s">
        <v>27</v>
      </c>
      <c r="E478" s="1" t="s">
        <v>159</v>
      </c>
      <c r="F478" s="1" t="s">
        <v>33</v>
      </c>
      <c r="G478" s="1" t="s">
        <v>53</v>
      </c>
      <c r="H478" s="1" t="s">
        <v>61</v>
      </c>
      <c r="I478" s="1" t="s">
        <v>62</v>
      </c>
      <c r="J478" s="7" t="s">
        <v>929</v>
      </c>
      <c r="K478" s="2">
        <v>45386</v>
      </c>
      <c r="L478" s="1">
        <v>8</v>
      </c>
      <c r="M478" s="1" t="s">
        <v>38</v>
      </c>
      <c r="N478" s="1" t="s">
        <v>39</v>
      </c>
      <c r="O478" s="1">
        <v>110537.34</v>
      </c>
      <c r="P478" s="1">
        <v>4</v>
      </c>
      <c r="Q478" s="1" t="s">
        <v>58</v>
      </c>
    </row>
    <row r="479" spans="1:17">
      <c r="A479" s="1" t="s">
        <v>1023</v>
      </c>
      <c r="B479" s="1" t="s">
        <v>492</v>
      </c>
      <c r="C479" s="1">
        <v>41</v>
      </c>
      <c r="D479" s="1" t="s">
        <v>43</v>
      </c>
      <c r="E479" s="1" t="s">
        <v>117</v>
      </c>
      <c r="F479" s="1" t="s">
        <v>21</v>
      </c>
      <c r="G479" s="1" t="s">
        <v>22</v>
      </c>
      <c r="H479" s="1" t="s">
        <v>88</v>
      </c>
      <c r="I479" s="1" t="s">
        <v>36</v>
      </c>
      <c r="J479" s="7" t="s">
        <v>785</v>
      </c>
      <c r="K479" s="1" t="s">
        <v>458</v>
      </c>
      <c r="L479" s="1">
        <v>1</v>
      </c>
      <c r="M479" s="1" t="s">
        <v>48</v>
      </c>
      <c r="N479" s="1" t="s">
        <v>28</v>
      </c>
      <c r="O479" s="1">
        <v>77807.740000000005</v>
      </c>
      <c r="P479" s="1">
        <v>3</v>
      </c>
      <c r="Q479" s="1" t="s">
        <v>40</v>
      </c>
    </row>
    <row r="480" spans="1:17">
      <c r="A480" s="1" t="s">
        <v>1024</v>
      </c>
      <c r="B480" s="1" t="s">
        <v>388</v>
      </c>
      <c r="C480" s="1">
        <v>5</v>
      </c>
      <c r="D480" s="1" t="s">
        <v>27</v>
      </c>
      <c r="E480" s="1" t="s">
        <v>202</v>
      </c>
      <c r="F480" s="1" t="s">
        <v>120</v>
      </c>
      <c r="G480" s="1" t="s">
        <v>68</v>
      </c>
      <c r="H480" s="1" t="s">
        <v>105</v>
      </c>
      <c r="I480" s="1" t="s">
        <v>62</v>
      </c>
      <c r="J480" s="7" t="s">
        <v>1025</v>
      </c>
      <c r="K480" s="1" t="s">
        <v>134</v>
      </c>
      <c r="L480" s="1">
        <v>2</v>
      </c>
      <c r="M480" s="1" t="s">
        <v>38</v>
      </c>
      <c r="N480" s="1" t="s">
        <v>39</v>
      </c>
      <c r="O480" s="1">
        <v>25916.9</v>
      </c>
      <c r="P480" s="1">
        <v>4</v>
      </c>
      <c r="Q480" s="1" t="s">
        <v>58</v>
      </c>
    </row>
    <row r="481" spans="1:17">
      <c r="A481" s="1" t="s">
        <v>1026</v>
      </c>
      <c r="B481" s="1" t="s">
        <v>816</v>
      </c>
      <c r="C481" s="1">
        <v>52</v>
      </c>
      <c r="D481" s="1" t="s">
        <v>27</v>
      </c>
      <c r="E481" s="1" t="s">
        <v>159</v>
      </c>
      <c r="F481" s="1" t="s">
        <v>120</v>
      </c>
      <c r="G481" s="1" t="s">
        <v>110</v>
      </c>
      <c r="H481" s="1" t="s">
        <v>76</v>
      </c>
      <c r="I481" s="1" t="s">
        <v>36</v>
      </c>
      <c r="J481" s="7">
        <v>45699</v>
      </c>
      <c r="K481" s="2">
        <v>45819</v>
      </c>
      <c r="L481" s="1">
        <v>4</v>
      </c>
      <c r="M481" s="1" t="s">
        <v>38</v>
      </c>
      <c r="N481" s="1" t="s">
        <v>39</v>
      </c>
      <c r="O481" s="1">
        <v>52963.15</v>
      </c>
      <c r="P481" s="1">
        <v>3</v>
      </c>
      <c r="Q481" s="1" t="s">
        <v>29</v>
      </c>
    </row>
    <row r="482" spans="1:17">
      <c r="A482" s="1" t="s">
        <v>1027</v>
      </c>
      <c r="B482" s="1" t="s">
        <v>361</v>
      </c>
      <c r="C482" s="1">
        <v>55</v>
      </c>
      <c r="D482" s="1" t="s">
        <v>27</v>
      </c>
      <c r="E482" s="1" t="s">
        <v>247</v>
      </c>
      <c r="F482" s="1" t="s">
        <v>120</v>
      </c>
      <c r="G482" s="1" t="s">
        <v>34</v>
      </c>
      <c r="H482" s="1" t="s">
        <v>88</v>
      </c>
      <c r="I482" s="1" t="s">
        <v>36</v>
      </c>
      <c r="J482" s="7">
        <v>45719</v>
      </c>
      <c r="K482" s="2">
        <v>45811</v>
      </c>
      <c r="L482" s="1">
        <v>3</v>
      </c>
      <c r="M482" s="1" t="s">
        <v>97</v>
      </c>
      <c r="N482" s="1" t="s">
        <v>57</v>
      </c>
      <c r="O482" s="1">
        <v>43985.03</v>
      </c>
      <c r="P482" s="1">
        <v>3</v>
      </c>
      <c r="Q482" s="1" t="s">
        <v>58</v>
      </c>
    </row>
    <row r="483" spans="1:17">
      <c r="A483" s="1" t="s">
        <v>1028</v>
      </c>
      <c r="B483" s="1" t="s">
        <v>229</v>
      </c>
      <c r="C483" s="1">
        <v>89</v>
      </c>
      <c r="D483" s="1" t="s">
        <v>27</v>
      </c>
      <c r="E483" s="1" t="s">
        <v>137</v>
      </c>
      <c r="F483" s="1" t="s">
        <v>21</v>
      </c>
      <c r="G483" s="1" t="s">
        <v>34</v>
      </c>
      <c r="H483" s="1" t="s">
        <v>35</v>
      </c>
      <c r="I483" s="1" t="s">
        <v>62</v>
      </c>
      <c r="J483" s="7">
        <v>45333</v>
      </c>
      <c r="K483" s="2">
        <v>45484</v>
      </c>
      <c r="L483" s="1">
        <v>5</v>
      </c>
      <c r="M483" s="1" t="s">
        <v>48</v>
      </c>
      <c r="N483" s="1" t="s">
        <v>90</v>
      </c>
      <c r="O483" s="1">
        <v>47771.11</v>
      </c>
      <c r="P483" s="1">
        <v>4</v>
      </c>
      <c r="Q483" s="1" t="s">
        <v>58</v>
      </c>
    </row>
    <row r="484" spans="1:17">
      <c r="A484" s="1" t="s">
        <v>1029</v>
      </c>
      <c r="B484" s="1" t="s">
        <v>909</v>
      </c>
      <c r="C484" s="1">
        <v>25</v>
      </c>
      <c r="D484" s="1" t="s">
        <v>43</v>
      </c>
      <c r="E484" s="1" t="s">
        <v>44</v>
      </c>
      <c r="F484" s="1" t="s">
        <v>33</v>
      </c>
      <c r="G484" s="1" t="s">
        <v>68</v>
      </c>
      <c r="H484" s="1" t="s">
        <v>45</v>
      </c>
      <c r="I484" s="1" t="s">
        <v>36</v>
      </c>
      <c r="J484" s="7" t="s">
        <v>776</v>
      </c>
      <c r="K484" s="1" t="s">
        <v>942</v>
      </c>
      <c r="L484" s="1">
        <v>5</v>
      </c>
      <c r="M484" s="1" t="s">
        <v>56</v>
      </c>
      <c r="N484" s="1" t="s">
        <v>85</v>
      </c>
      <c r="O484" s="1">
        <v>24513.93</v>
      </c>
      <c r="P484" s="1">
        <v>4</v>
      </c>
      <c r="Q484" s="1" t="s">
        <v>72</v>
      </c>
    </row>
    <row r="485" spans="1:17">
      <c r="A485" s="1" t="s">
        <v>1030</v>
      </c>
      <c r="B485" s="1" t="s">
        <v>419</v>
      </c>
      <c r="C485" s="1">
        <v>50</v>
      </c>
      <c r="D485" s="1" t="s">
        <v>43</v>
      </c>
      <c r="E485" s="1" t="s">
        <v>137</v>
      </c>
      <c r="F485" s="1" t="s">
        <v>21</v>
      </c>
      <c r="G485" s="1" t="s">
        <v>104</v>
      </c>
      <c r="H485" s="1" t="s">
        <v>99</v>
      </c>
      <c r="I485" s="1" t="s">
        <v>36</v>
      </c>
      <c r="J485" s="7" t="s">
        <v>1031</v>
      </c>
      <c r="K485" s="1" t="s">
        <v>262</v>
      </c>
      <c r="L485" s="1">
        <v>2</v>
      </c>
      <c r="M485" s="1" t="s">
        <v>56</v>
      </c>
      <c r="N485" s="1" t="s">
        <v>90</v>
      </c>
      <c r="O485" s="1">
        <v>38911.620000000003</v>
      </c>
      <c r="P485" s="1">
        <v>1</v>
      </c>
      <c r="Q485" s="1" t="s">
        <v>58</v>
      </c>
    </row>
    <row r="486" spans="1:17">
      <c r="A486" s="1" t="s">
        <v>1032</v>
      </c>
      <c r="B486" s="1" t="s">
        <v>507</v>
      </c>
      <c r="C486" s="1">
        <v>62</v>
      </c>
      <c r="D486" s="1" t="s">
        <v>27</v>
      </c>
      <c r="E486" s="1" t="s">
        <v>51</v>
      </c>
      <c r="F486" s="1" t="s">
        <v>52</v>
      </c>
      <c r="G486" s="1" t="s">
        <v>36</v>
      </c>
      <c r="H486" s="1" t="s">
        <v>93</v>
      </c>
      <c r="I486" s="1" t="s">
        <v>24</v>
      </c>
      <c r="J486" s="7">
        <v>45599</v>
      </c>
      <c r="K486" s="2">
        <v>45629</v>
      </c>
      <c r="L486" s="1">
        <v>1</v>
      </c>
      <c r="M486" s="1" t="s">
        <v>97</v>
      </c>
      <c r="N486" s="1" t="s">
        <v>82</v>
      </c>
      <c r="O486" s="1">
        <v>23591.03</v>
      </c>
      <c r="P486" s="1">
        <v>4</v>
      </c>
      <c r="Q486" s="1" t="s">
        <v>29</v>
      </c>
    </row>
    <row r="487" spans="1:17">
      <c r="A487" s="1" t="s">
        <v>1033</v>
      </c>
      <c r="B487" s="1" t="s">
        <v>670</v>
      </c>
      <c r="C487" s="1">
        <v>1</v>
      </c>
      <c r="D487" s="1" t="s">
        <v>19</v>
      </c>
      <c r="E487" s="1" t="s">
        <v>159</v>
      </c>
      <c r="F487" s="1" t="s">
        <v>67</v>
      </c>
      <c r="G487" s="1" t="s">
        <v>132</v>
      </c>
      <c r="H487" s="1" t="s">
        <v>23</v>
      </c>
      <c r="I487" s="1" t="s">
        <v>36</v>
      </c>
      <c r="J487" s="7">
        <v>45661</v>
      </c>
      <c r="K487" s="2">
        <v>45965</v>
      </c>
      <c r="L487" s="1">
        <v>10</v>
      </c>
      <c r="M487" s="1" t="s">
        <v>48</v>
      </c>
      <c r="N487" s="1" t="s">
        <v>82</v>
      </c>
      <c r="O487" s="1">
        <v>45011.35</v>
      </c>
      <c r="P487" s="1">
        <v>4</v>
      </c>
      <c r="Q487" s="1" t="s">
        <v>58</v>
      </c>
    </row>
    <row r="488" spans="1:17">
      <c r="A488" s="1" t="s">
        <v>1034</v>
      </c>
      <c r="B488" s="1" t="s">
        <v>335</v>
      </c>
      <c r="C488" s="1">
        <v>45</v>
      </c>
      <c r="D488" s="1" t="s">
        <v>27</v>
      </c>
      <c r="E488" s="1" t="s">
        <v>66</v>
      </c>
      <c r="F488" s="1" t="s">
        <v>52</v>
      </c>
      <c r="G488" s="1" t="s">
        <v>110</v>
      </c>
      <c r="H488" s="1" t="s">
        <v>76</v>
      </c>
      <c r="I488" s="1" t="s">
        <v>24</v>
      </c>
      <c r="J488" s="7" t="s">
        <v>847</v>
      </c>
      <c r="K488" s="2">
        <v>46023</v>
      </c>
      <c r="L488" s="1">
        <v>3</v>
      </c>
      <c r="M488" s="1" t="s">
        <v>48</v>
      </c>
      <c r="N488" s="1" t="s">
        <v>57</v>
      </c>
      <c r="O488" s="1">
        <v>60674.59</v>
      </c>
      <c r="P488" s="1">
        <v>5</v>
      </c>
      <c r="Q488" s="1" t="s">
        <v>72</v>
      </c>
    </row>
    <row r="489" spans="1:17">
      <c r="A489" s="1" t="s">
        <v>1035</v>
      </c>
      <c r="B489" s="1" t="s">
        <v>154</v>
      </c>
      <c r="C489" s="1">
        <v>31</v>
      </c>
      <c r="D489" s="1" t="s">
        <v>19</v>
      </c>
      <c r="E489" s="1" t="s">
        <v>247</v>
      </c>
      <c r="F489" s="1" t="s">
        <v>75</v>
      </c>
      <c r="G489" s="1" t="s">
        <v>22</v>
      </c>
      <c r="H489" s="1" t="s">
        <v>61</v>
      </c>
      <c r="I489" s="1" t="s">
        <v>36</v>
      </c>
      <c r="J489" s="7">
        <v>45483</v>
      </c>
      <c r="K489" s="2">
        <v>45606</v>
      </c>
      <c r="L489" s="1">
        <v>4</v>
      </c>
      <c r="M489" s="1" t="s">
        <v>27</v>
      </c>
      <c r="N489" s="1" t="s">
        <v>39</v>
      </c>
      <c r="O489" s="1">
        <v>78337.759999999995</v>
      </c>
      <c r="P489" s="1">
        <v>4</v>
      </c>
      <c r="Q489" s="1" t="s">
        <v>40</v>
      </c>
    </row>
    <row r="490" spans="1:17">
      <c r="A490" s="1" t="s">
        <v>1036</v>
      </c>
      <c r="B490" s="1" t="s">
        <v>419</v>
      </c>
      <c r="C490" s="1">
        <v>53</v>
      </c>
      <c r="D490" s="1" t="s">
        <v>43</v>
      </c>
      <c r="E490" s="1" t="s">
        <v>20</v>
      </c>
      <c r="F490" s="1" t="s">
        <v>33</v>
      </c>
      <c r="G490" s="1" t="s">
        <v>34</v>
      </c>
      <c r="H490" s="1" t="s">
        <v>45</v>
      </c>
      <c r="I490" s="1" t="s">
        <v>36</v>
      </c>
      <c r="J490" s="7" t="s">
        <v>106</v>
      </c>
      <c r="K490" s="1" t="s">
        <v>129</v>
      </c>
      <c r="L490" s="1">
        <v>2</v>
      </c>
      <c r="M490" s="1" t="s">
        <v>48</v>
      </c>
      <c r="N490" s="1" t="s">
        <v>82</v>
      </c>
      <c r="O490" s="1">
        <v>106019.68</v>
      </c>
      <c r="P490" s="1">
        <v>4</v>
      </c>
      <c r="Q490" s="1" t="s">
        <v>72</v>
      </c>
    </row>
    <row r="491" spans="1:17">
      <c r="A491" s="1" t="s">
        <v>1037</v>
      </c>
      <c r="B491" s="1" t="s">
        <v>1038</v>
      </c>
      <c r="C491" s="1">
        <v>18</v>
      </c>
      <c r="D491" s="1" t="s">
        <v>43</v>
      </c>
      <c r="E491" s="1" t="s">
        <v>159</v>
      </c>
      <c r="F491" s="1" t="s">
        <v>120</v>
      </c>
      <c r="G491" s="1" t="s">
        <v>22</v>
      </c>
      <c r="H491" s="1" t="s">
        <v>23</v>
      </c>
      <c r="I491" s="1" t="s">
        <v>36</v>
      </c>
      <c r="J491" s="7" t="s">
        <v>476</v>
      </c>
      <c r="K491" s="1" t="s">
        <v>250</v>
      </c>
      <c r="L491" s="1">
        <v>4</v>
      </c>
      <c r="M491" s="1" t="s">
        <v>56</v>
      </c>
      <c r="N491" s="1" t="s">
        <v>39</v>
      </c>
      <c r="O491" s="1">
        <v>59962.65</v>
      </c>
      <c r="P491" s="1">
        <v>5</v>
      </c>
      <c r="Q491" s="1" t="s">
        <v>72</v>
      </c>
    </row>
    <row r="492" spans="1:17">
      <c r="A492" s="1" t="s">
        <v>1039</v>
      </c>
      <c r="B492" s="1" t="s">
        <v>236</v>
      </c>
      <c r="C492" s="1">
        <v>78</v>
      </c>
      <c r="D492" s="1" t="s">
        <v>19</v>
      </c>
      <c r="E492" s="1" t="s">
        <v>66</v>
      </c>
      <c r="F492" s="1" t="s">
        <v>21</v>
      </c>
      <c r="G492" s="1" t="s">
        <v>110</v>
      </c>
      <c r="H492" s="1" t="s">
        <v>45</v>
      </c>
      <c r="I492" s="1" t="s">
        <v>24</v>
      </c>
      <c r="J492" s="7" t="s">
        <v>1040</v>
      </c>
      <c r="K492" s="2">
        <v>45298</v>
      </c>
      <c r="L492" s="1">
        <v>1</v>
      </c>
      <c r="M492" s="1" t="s">
        <v>48</v>
      </c>
      <c r="N492" s="1" t="s">
        <v>63</v>
      </c>
      <c r="O492" s="1">
        <v>73829.53</v>
      </c>
      <c r="P492" s="1">
        <v>3</v>
      </c>
      <c r="Q492" s="1" t="s">
        <v>29</v>
      </c>
    </row>
    <row r="493" spans="1:17">
      <c r="A493" s="1" t="s">
        <v>1041</v>
      </c>
      <c r="B493" s="1" t="s">
        <v>259</v>
      </c>
      <c r="C493" s="1">
        <v>57</v>
      </c>
      <c r="D493" s="1" t="s">
        <v>27</v>
      </c>
      <c r="E493" s="1" t="s">
        <v>202</v>
      </c>
      <c r="F493" s="1" t="s">
        <v>33</v>
      </c>
      <c r="G493" s="1" t="s">
        <v>22</v>
      </c>
      <c r="H493" s="1" t="s">
        <v>76</v>
      </c>
      <c r="I493" s="1" t="s">
        <v>36</v>
      </c>
      <c r="J493" s="7" t="s">
        <v>47</v>
      </c>
      <c r="K493" s="1" t="s">
        <v>417</v>
      </c>
      <c r="L493" s="1">
        <v>9</v>
      </c>
      <c r="M493" s="1" t="s">
        <v>56</v>
      </c>
      <c r="N493" s="1" t="s">
        <v>82</v>
      </c>
      <c r="O493" s="1">
        <v>77994.14</v>
      </c>
      <c r="P493" s="1">
        <v>4</v>
      </c>
      <c r="Q493" s="1" t="s">
        <v>29</v>
      </c>
    </row>
    <row r="494" spans="1:17">
      <c r="A494" s="1" t="s">
        <v>1042</v>
      </c>
      <c r="B494" s="1" t="s">
        <v>762</v>
      </c>
      <c r="C494" s="1">
        <v>26</v>
      </c>
      <c r="D494" s="1" t="s">
        <v>19</v>
      </c>
      <c r="E494" s="1" t="s">
        <v>202</v>
      </c>
      <c r="F494" s="1" t="s">
        <v>33</v>
      </c>
      <c r="G494" s="1" t="s">
        <v>22</v>
      </c>
      <c r="H494" s="1" t="s">
        <v>61</v>
      </c>
      <c r="I494" s="1" t="s">
        <v>24</v>
      </c>
      <c r="J494" s="7" t="s">
        <v>444</v>
      </c>
      <c r="K494" s="1" t="s">
        <v>351</v>
      </c>
      <c r="L494" s="1">
        <v>10</v>
      </c>
      <c r="M494" s="1" t="s">
        <v>48</v>
      </c>
      <c r="N494" s="1" t="s">
        <v>39</v>
      </c>
      <c r="O494" s="1">
        <v>102485.5</v>
      </c>
      <c r="P494" s="1">
        <v>2</v>
      </c>
      <c r="Q494" s="1" t="s">
        <v>40</v>
      </c>
    </row>
    <row r="495" spans="1:17">
      <c r="A495" s="1" t="s">
        <v>1043</v>
      </c>
      <c r="B495" s="1" t="s">
        <v>693</v>
      </c>
      <c r="C495" s="1">
        <v>42</v>
      </c>
      <c r="D495" s="1" t="s">
        <v>27</v>
      </c>
      <c r="E495" s="1" t="s">
        <v>66</v>
      </c>
      <c r="F495" s="1" t="s">
        <v>75</v>
      </c>
      <c r="G495" s="1" t="s">
        <v>36</v>
      </c>
      <c r="H495" s="1" t="s">
        <v>76</v>
      </c>
      <c r="I495" s="1" t="s">
        <v>62</v>
      </c>
      <c r="J495" s="7">
        <v>45726</v>
      </c>
      <c r="K495" s="2">
        <v>45879</v>
      </c>
      <c r="L495" s="1">
        <v>5</v>
      </c>
      <c r="M495" s="1" t="s">
        <v>38</v>
      </c>
      <c r="N495" s="1" t="s">
        <v>28</v>
      </c>
      <c r="O495" s="1">
        <v>20818.689999999999</v>
      </c>
      <c r="P495" s="1">
        <v>3</v>
      </c>
      <c r="Q495" s="1" t="s">
        <v>58</v>
      </c>
    </row>
    <row r="496" spans="1:17">
      <c r="A496" s="1" t="s">
        <v>1044</v>
      </c>
      <c r="B496" s="1" t="s">
        <v>302</v>
      </c>
      <c r="C496" s="1">
        <v>28</v>
      </c>
      <c r="D496" s="1" t="s">
        <v>43</v>
      </c>
      <c r="E496" s="1" t="s">
        <v>32</v>
      </c>
      <c r="F496" s="1" t="s">
        <v>52</v>
      </c>
      <c r="G496" s="1" t="s">
        <v>53</v>
      </c>
      <c r="H496" s="1" t="s">
        <v>99</v>
      </c>
      <c r="I496" s="1" t="s">
        <v>24</v>
      </c>
      <c r="J496" s="7" t="s">
        <v>720</v>
      </c>
      <c r="K496" s="1" t="s">
        <v>899</v>
      </c>
      <c r="L496" s="1">
        <v>6</v>
      </c>
      <c r="M496" s="1" t="s">
        <v>27</v>
      </c>
      <c r="N496" s="1" t="s">
        <v>85</v>
      </c>
      <c r="O496" s="1">
        <v>23625.52</v>
      </c>
      <c r="P496" s="1">
        <v>3</v>
      </c>
      <c r="Q496" s="1" t="s">
        <v>40</v>
      </c>
    </row>
    <row r="497" spans="1:17">
      <c r="A497" s="1" t="s">
        <v>1045</v>
      </c>
      <c r="B497" s="1" t="s">
        <v>194</v>
      </c>
      <c r="C497" s="1">
        <v>13</v>
      </c>
      <c r="D497" s="1" t="s">
        <v>27</v>
      </c>
      <c r="E497" s="1" t="s">
        <v>247</v>
      </c>
      <c r="F497" s="1" t="s">
        <v>75</v>
      </c>
      <c r="G497" s="1" t="s">
        <v>110</v>
      </c>
      <c r="H497" s="1" t="s">
        <v>88</v>
      </c>
      <c r="I497" s="1" t="s">
        <v>24</v>
      </c>
      <c r="J497" s="7" t="s">
        <v>214</v>
      </c>
      <c r="K497" s="2">
        <v>45394</v>
      </c>
      <c r="L497" s="1">
        <v>6</v>
      </c>
      <c r="M497" s="1" t="s">
        <v>27</v>
      </c>
      <c r="N497" s="1" t="s">
        <v>57</v>
      </c>
      <c r="O497" s="1">
        <v>46759.94</v>
      </c>
      <c r="P497" s="1">
        <v>4</v>
      </c>
      <c r="Q497" s="1" t="s">
        <v>58</v>
      </c>
    </row>
    <row r="498" spans="1:17">
      <c r="A498" s="1" t="s">
        <v>1046</v>
      </c>
      <c r="B498" s="1" t="s">
        <v>507</v>
      </c>
      <c r="C498" s="1">
        <v>66</v>
      </c>
      <c r="D498" s="1" t="s">
        <v>27</v>
      </c>
      <c r="E498" s="1" t="s">
        <v>137</v>
      </c>
      <c r="F498" s="1" t="s">
        <v>21</v>
      </c>
      <c r="G498" s="1" t="s">
        <v>132</v>
      </c>
      <c r="H498" s="1" t="s">
        <v>99</v>
      </c>
      <c r="I498" s="1" t="s">
        <v>24</v>
      </c>
      <c r="J498" s="7" t="s">
        <v>54</v>
      </c>
      <c r="K498" s="1" t="s">
        <v>327</v>
      </c>
      <c r="L498" s="1">
        <v>5</v>
      </c>
      <c r="M498" s="1" t="s">
        <v>48</v>
      </c>
      <c r="N498" s="1" t="s">
        <v>28</v>
      </c>
      <c r="O498" s="1">
        <v>56993.45</v>
      </c>
      <c r="P498" s="1">
        <v>5</v>
      </c>
      <c r="Q498" s="1" t="s">
        <v>29</v>
      </c>
    </row>
    <row r="499" spans="1:17">
      <c r="A499" s="1" t="s">
        <v>1047</v>
      </c>
      <c r="B499" s="1" t="s">
        <v>123</v>
      </c>
      <c r="C499" s="1">
        <v>48</v>
      </c>
      <c r="D499" s="1" t="s">
        <v>43</v>
      </c>
      <c r="E499" s="1" t="s">
        <v>117</v>
      </c>
      <c r="F499" s="1" t="s">
        <v>120</v>
      </c>
      <c r="G499" s="1" t="s">
        <v>34</v>
      </c>
      <c r="H499" s="1" t="s">
        <v>61</v>
      </c>
      <c r="I499" s="1" t="s">
        <v>24</v>
      </c>
      <c r="J499" s="7" t="s">
        <v>563</v>
      </c>
      <c r="K499" s="1" t="s">
        <v>364</v>
      </c>
      <c r="L499" s="1">
        <v>1</v>
      </c>
      <c r="M499" s="1" t="s">
        <v>48</v>
      </c>
      <c r="N499" s="1" t="s">
        <v>90</v>
      </c>
      <c r="O499" s="1">
        <v>138033.87</v>
      </c>
      <c r="P499" s="1">
        <v>5</v>
      </c>
      <c r="Q499" s="1" t="s">
        <v>58</v>
      </c>
    </row>
    <row r="500" spans="1:17">
      <c r="A500" s="1" t="s">
        <v>1048</v>
      </c>
      <c r="B500" s="1" t="s">
        <v>123</v>
      </c>
      <c r="C500" s="1">
        <v>83</v>
      </c>
      <c r="D500" s="1" t="s">
        <v>43</v>
      </c>
      <c r="E500" s="1" t="s">
        <v>159</v>
      </c>
      <c r="F500" s="1" t="s">
        <v>52</v>
      </c>
      <c r="G500" s="1" t="s">
        <v>132</v>
      </c>
      <c r="H500" s="1" t="s">
        <v>61</v>
      </c>
      <c r="I500" s="1" t="s">
        <v>36</v>
      </c>
      <c r="J500" s="7" t="s">
        <v>647</v>
      </c>
      <c r="K500" s="1" t="s">
        <v>351</v>
      </c>
      <c r="L500" s="1">
        <v>2</v>
      </c>
      <c r="M500" s="1" t="s">
        <v>48</v>
      </c>
      <c r="N500" s="1" t="s">
        <v>39</v>
      </c>
      <c r="O500" s="1">
        <v>56388.61</v>
      </c>
      <c r="P500" s="1">
        <v>4</v>
      </c>
      <c r="Q500" s="1" t="s">
        <v>58</v>
      </c>
    </row>
    <row r="501" spans="1:17">
      <c r="A501" s="1" t="s">
        <v>1049</v>
      </c>
      <c r="B501" s="1" t="s">
        <v>1050</v>
      </c>
      <c r="C501" s="1">
        <v>9</v>
      </c>
      <c r="D501" s="1" t="s">
        <v>19</v>
      </c>
      <c r="E501" s="1" t="s">
        <v>66</v>
      </c>
      <c r="F501" s="1" t="s">
        <v>52</v>
      </c>
      <c r="G501" s="1" t="s">
        <v>132</v>
      </c>
      <c r="H501" s="1" t="s">
        <v>61</v>
      </c>
      <c r="I501" s="1" t="s">
        <v>36</v>
      </c>
      <c r="J501" s="7" t="s">
        <v>773</v>
      </c>
      <c r="K501" s="1" t="s">
        <v>589</v>
      </c>
      <c r="L501" s="1">
        <v>1</v>
      </c>
      <c r="M501" s="1" t="s">
        <v>56</v>
      </c>
      <c r="N501" s="1" t="s">
        <v>57</v>
      </c>
      <c r="O501" s="1">
        <v>49041.99</v>
      </c>
      <c r="P501" s="1">
        <v>4</v>
      </c>
      <c r="Q501" s="1" t="s">
        <v>29</v>
      </c>
    </row>
    <row r="502" spans="1:17">
      <c r="A502" s="1" t="s">
        <v>1051</v>
      </c>
      <c r="B502" s="1" t="s">
        <v>344</v>
      </c>
      <c r="C502" s="1">
        <v>78</v>
      </c>
      <c r="D502" s="1" t="s">
        <v>19</v>
      </c>
      <c r="E502" s="1" t="s">
        <v>137</v>
      </c>
      <c r="F502" s="1" t="s">
        <v>21</v>
      </c>
      <c r="G502" s="1" t="s">
        <v>132</v>
      </c>
      <c r="H502" s="1" t="s">
        <v>105</v>
      </c>
      <c r="I502" s="1" t="s">
        <v>62</v>
      </c>
      <c r="J502" s="7">
        <v>45454</v>
      </c>
      <c r="K502" s="2">
        <v>45607</v>
      </c>
      <c r="L502" s="1">
        <v>5</v>
      </c>
      <c r="M502" s="1" t="s">
        <v>97</v>
      </c>
      <c r="N502" s="1" t="s">
        <v>57</v>
      </c>
      <c r="O502" s="1">
        <v>74957.06</v>
      </c>
      <c r="P502" s="1">
        <v>4</v>
      </c>
      <c r="Q502" s="1" t="s">
        <v>58</v>
      </c>
    </row>
    <row r="503" spans="1:17">
      <c r="A503" s="1" t="s">
        <v>1052</v>
      </c>
      <c r="B503" s="1" t="s">
        <v>699</v>
      </c>
      <c r="C503" s="1">
        <v>20</v>
      </c>
      <c r="D503" s="1" t="s">
        <v>43</v>
      </c>
      <c r="E503" s="1" t="s">
        <v>137</v>
      </c>
      <c r="F503" s="1" t="s">
        <v>33</v>
      </c>
      <c r="G503" s="1" t="s">
        <v>68</v>
      </c>
      <c r="H503" s="1" t="s">
        <v>69</v>
      </c>
      <c r="I503" s="1" t="s">
        <v>62</v>
      </c>
      <c r="J503" s="7" t="s">
        <v>1053</v>
      </c>
      <c r="K503" s="1" t="s">
        <v>807</v>
      </c>
      <c r="L503" s="1">
        <v>3</v>
      </c>
      <c r="M503" s="1" t="s">
        <v>97</v>
      </c>
      <c r="N503" s="1" t="s">
        <v>82</v>
      </c>
      <c r="O503" s="1">
        <v>51215.43</v>
      </c>
      <c r="P503" s="1">
        <v>4</v>
      </c>
      <c r="Q503" s="1" t="s">
        <v>58</v>
      </c>
    </row>
    <row r="504" spans="1:17">
      <c r="A504" s="1" t="s">
        <v>1054</v>
      </c>
      <c r="B504" s="1" t="s">
        <v>644</v>
      </c>
      <c r="C504" s="1">
        <v>72</v>
      </c>
      <c r="D504" s="1" t="s">
        <v>27</v>
      </c>
      <c r="E504" s="1" t="s">
        <v>159</v>
      </c>
      <c r="F504" s="1" t="s">
        <v>33</v>
      </c>
      <c r="G504" s="1" t="s">
        <v>132</v>
      </c>
      <c r="H504" s="1" t="s">
        <v>35</v>
      </c>
      <c r="I504" s="1" t="s">
        <v>62</v>
      </c>
      <c r="J504" s="7">
        <v>45843</v>
      </c>
      <c r="K504" s="2">
        <v>45935</v>
      </c>
      <c r="L504" s="1">
        <v>3</v>
      </c>
      <c r="M504" s="1" t="s">
        <v>97</v>
      </c>
      <c r="N504" s="1" t="s">
        <v>63</v>
      </c>
      <c r="O504" s="1">
        <v>78877.63</v>
      </c>
      <c r="P504" s="1">
        <v>1</v>
      </c>
      <c r="Q504" s="1" t="s">
        <v>40</v>
      </c>
    </row>
    <row r="505" spans="1:17">
      <c r="A505" s="1" t="s">
        <v>1055</v>
      </c>
      <c r="B505" s="1" t="s">
        <v>709</v>
      </c>
      <c r="C505" s="1">
        <v>50</v>
      </c>
      <c r="D505" s="1" t="s">
        <v>43</v>
      </c>
      <c r="E505" s="1" t="s">
        <v>247</v>
      </c>
      <c r="F505" s="1" t="s">
        <v>67</v>
      </c>
      <c r="G505" s="1" t="s">
        <v>22</v>
      </c>
      <c r="H505" s="1" t="s">
        <v>76</v>
      </c>
      <c r="I505" s="1" t="s">
        <v>24</v>
      </c>
      <c r="J505" s="7">
        <v>45607</v>
      </c>
      <c r="K505" s="1" t="s">
        <v>627</v>
      </c>
      <c r="L505" s="1">
        <v>13</v>
      </c>
      <c r="M505" s="1" t="s">
        <v>97</v>
      </c>
      <c r="N505" s="1" t="s">
        <v>63</v>
      </c>
      <c r="O505" s="1">
        <v>100056.82</v>
      </c>
      <c r="P505" s="1">
        <v>3</v>
      </c>
      <c r="Q505" s="1" t="s">
        <v>40</v>
      </c>
    </row>
    <row r="506" spans="1:17">
      <c r="A506" s="1" t="s">
        <v>1056</v>
      </c>
      <c r="B506" s="1" t="s">
        <v>826</v>
      </c>
      <c r="C506" s="1">
        <v>90</v>
      </c>
      <c r="D506" s="1" t="s">
        <v>19</v>
      </c>
      <c r="E506" s="1" t="s">
        <v>44</v>
      </c>
      <c r="F506" s="1" t="s">
        <v>67</v>
      </c>
      <c r="G506" s="1" t="s">
        <v>34</v>
      </c>
      <c r="H506" s="1" t="s">
        <v>35</v>
      </c>
      <c r="I506" s="1" t="s">
        <v>24</v>
      </c>
      <c r="J506" s="7" t="s">
        <v>500</v>
      </c>
      <c r="K506" s="2">
        <v>45819</v>
      </c>
      <c r="L506" s="1">
        <v>9</v>
      </c>
      <c r="M506" s="1" t="s">
        <v>56</v>
      </c>
      <c r="N506" s="1" t="s">
        <v>28</v>
      </c>
      <c r="O506" s="1">
        <v>62539.78</v>
      </c>
      <c r="P506" s="1">
        <v>4</v>
      </c>
      <c r="Q506" s="1" t="s">
        <v>72</v>
      </c>
    </row>
    <row r="507" spans="1:17">
      <c r="A507" s="1" t="s">
        <v>1057</v>
      </c>
      <c r="B507" s="1" t="s">
        <v>553</v>
      </c>
      <c r="C507" s="1">
        <v>12</v>
      </c>
      <c r="D507" s="1" t="s">
        <v>27</v>
      </c>
      <c r="E507" s="1" t="s">
        <v>117</v>
      </c>
      <c r="F507" s="1" t="s">
        <v>52</v>
      </c>
      <c r="G507" s="1" t="s">
        <v>22</v>
      </c>
      <c r="H507" s="1" t="s">
        <v>23</v>
      </c>
      <c r="I507" s="1" t="s">
        <v>62</v>
      </c>
      <c r="J507" s="7" t="s">
        <v>847</v>
      </c>
      <c r="K507" s="2">
        <v>46023</v>
      </c>
      <c r="L507" s="1">
        <v>3</v>
      </c>
      <c r="M507" s="1" t="s">
        <v>27</v>
      </c>
      <c r="N507" s="1" t="s">
        <v>90</v>
      </c>
      <c r="O507" s="1">
        <v>78426.289999999994</v>
      </c>
      <c r="P507" s="1">
        <v>5</v>
      </c>
      <c r="Q507" s="1" t="s">
        <v>58</v>
      </c>
    </row>
    <row r="508" spans="1:17">
      <c r="A508" s="1" t="s">
        <v>1058</v>
      </c>
      <c r="B508" s="1" t="s">
        <v>396</v>
      </c>
      <c r="C508" s="1">
        <v>76</v>
      </c>
      <c r="D508" s="1" t="s">
        <v>43</v>
      </c>
      <c r="E508" s="1" t="s">
        <v>66</v>
      </c>
      <c r="F508" s="1" t="s">
        <v>33</v>
      </c>
      <c r="G508" s="1" t="s">
        <v>110</v>
      </c>
      <c r="H508" s="1" t="s">
        <v>105</v>
      </c>
      <c r="I508" s="1" t="s">
        <v>36</v>
      </c>
      <c r="J508" s="7" t="s">
        <v>700</v>
      </c>
      <c r="K508" s="2">
        <v>45691</v>
      </c>
      <c r="L508" s="1">
        <v>5</v>
      </c>
      <c r="M508" s="1" t="s">
        <v>48</v>
      </c>
      <c r="N508" s="1" t="s">
        <v>28</v>
      </c>
      <c r="O508" s="1">
        <v>135781.92000000001</v>
      </c>
      <c r="P508" s="1">
        <v>4</v>
      </c>
      <c r="Q508" s="1" t="s">
        <v>58</v>
      </c>
    </row>
    <row r="509" spans="1:17">
      <c r="A509" s="1" t="s">
        <v>1059</v>
      </c>
      <c r="B509" s="1" t="s">
        <v>221</v>
      </c>
      <c r="C509" s="1">
        <v>68</v>
      </c>
      <c r="D509" s="1" t="s">
        <v>43</v>
      </c>
      <c r="E509" s="1" t="s">
        <v>44</v>
      </c>
      <c r="F509" s="1" t="s">
        <v>21</v>
      </c>
      <c r="G509" s="1" t="s">
        <v>53</v>
      </c>
      <c r="H509" s="1" t="s">
        <v>35</v>
      </c>
      <c r="I509" s="1" t="s">
        <v>36</v>
      </c>
      <c r="J509" s="7">
        <v>45668</v>
      </c>
      <c r="K509" s="2">
        <v>45880</v>
      </c>
      <c r="L509" s="1">
        <v>7</v>
      </c>
      <c r="M509" s="1" t="s">
        <v>56</v>
      </c>
      <c r="N509" s="1" t="s">
        <v>28</v>
      </c>
      <c r="O509" s="1">
        <v>87372.77</v>
      </c>
      <c r="P509" s="1">
        <v>3</v>
      </c>
      <c r="Q509" s="1" t="s">
        <v>29</v>
      </c>
    </row>
    <row r="510" spans="1:17">
      <c r="A510" s="1" t="s">
        <v>1060</v>
      </c>
      <c r="B510" s="1" t="s">
        <v>551</v>
      </c>
      <c r="C510" s="1">
        <v>25</v>
      </c>
      <c r="D510" s="1" t="s">
        <v>43</v>
      </c>
      <c r="E510" s="1" t="s">
        <v>44</v>
      </c>
      <c r="F510" s="1" t="s">
        <v>21</v>
      </c>
      <c r="G510" s="1" t="s">
        <v>110</v>
      </c>
      <c r="H510" s="1" t="s">
        <v>45</v>
      </c>
      <c r="I510" s="1" t="s">
        <v>62</v>
      </c>
      <c r="J510" s="7" t="s">
        <v>462</v>
      </c>
      <c r="K510" s="1" t="s">
        <v>394</v>
      </c>
      <c r="L510" s="1">
        <v>5</v>
      </c>
      <c r="M510" s="1" t="s">
        <v>97</v>
      </c>
      <c r="N510" s="1" t="s">
        <v>63</v>
      </c>
      <c r="O510" s="1">
        <v>51431.7</v>
      </c>
      <c r="P510" s="1">
        <v>3</v>
      </c>
      <c r="Q510" s="1" t="s">
        <v>72</v>
      </c>
    </row>
    <row r="511" spans="1:17">
      <c r="A511" s="1" t="s">
        <v>1061</v>
      </c>
      <c r="B511" s="1" t="s">
        <v>74</v>
      </c>
      <c r="C511" s="1">
        <v>2</v>
      </c>
      <c r="D511" s="1" t="s">
        <v>19</v>
      </c>
      <c r="E511" s="1" t="s">
        <v>159</v>
      </c>
      <c r="F511" s="1" t="s">
        <v>33</v>
      </c>
      <c r="G511" s="1" t="s">
        <v>34</v>
      </c>
      <c r="H511" s="1" t="s">
        <v>45</v>
      </c>
      <c r="I511" s="1" t="s">
        <v>62</v>
      </c>
      <c r="J511" s="7" t="s">
        <v>139</v>
      </c>
      <c r="K511" s="2">
        <v>45422</v>
      </c>
      <c r="L511" s="1">
        <v>6</v>
      </c>
      <c r="M511" s="1" t="s">
        <v>27</v>
      </c>
      <c r="N511" s="1" t="s">
        <v>57</v>
      </c>
      <c r="O511" s="1">
        <v>52420.74</v>
      </c>
      <c r="P511" s="1">
        <v>4</v>
      </c>
      <c r="Q511" s="1" t="s">
        <v>40</v>
      </c>
    </row>
    <row r="512" spans="1:17">
      <c r="A512" s="1" t="s">
        <v>1062</v>
      </c>
      <c r="B512" s="1" t="s">
        <v>31</v>
      </c>
      <c r="C512" s="1">
        <v>48</v>
      </c>
      <c r="D512" s="1" t="s">
        <v>27</v>
      </c>
      <c r="E512" s="1" t="s">
        <v>202</v>
      </c>
      <c r="F512" s="1" t="s">
        <v>33</v>
      </c>
      <c r="G512" s="1" t="s">
        <v>36</v>
      </c>
      <c r="H512" s="1" t="s">
        <v>76</v>
      </c>
      <c r="I512" s="1" t="s">
        <v>24</v>
      </c>
      <c r="J512" s="7" t="s">
        <v>813</v>
      </c>
      <c r="K512" s="1" t="s">
        <v>893</v>
      </c>
      <c r="L512" s="1">
        <v>9</v>
      </c>
      <c r="M512" s="1" t="s">
        <v>97</v>
      </c>
      <c r="N512" s="1" t="s">
        <v>63</v>
      </c>
      <c r="O512" s="1">
        <v>70736.33</v>
      </c>
      <c r="P512" s="1">
        <v>5</v>
      </c>
      <c r="Q512" s="1" t="s">
        <v>29</v>
      </c>
    </row>
    <row r="513" spans="1:17">
      <c r="A513" s="1" t="s">
        <v>1063</v>
      </c>
      <c r="B513" s="1" t="s">
        <v>266</v>
      </c>
      <c r="C513" s="1">
        <v>4</v>
      </c>
      <c r="D513" s="1" t="s">
        <v>27</v>
      </c>
      <c r="E513" s="1" t="s">
        <v>20</v>
      </c>
      <c r="F513" s="1" t="s">
        <v>75</v>
      </c>
      <c r="G513" s="1" t="s">
        <v>132</v>
      </c>
      <c r="H513" s="1" t="s">
        <v>88</v>
      </c>
      <c r="I513" s="1" t="s">
        <v>24</v>
      </c>
      <c r="J513" s="7">
        <v>45417</v>
      </c>
      <c r="K513" s="2">
        <v>45478</v>
      </c>
      <c r="L513" s="1">
        <v>2</v>
      </c>
      <c r="M513" s="1" t="s">
        <v>38</v>
      </c>
      <c r="N513" s="1" t="s">
        <v>28</v>
      </c>
      <c r="O513" s="1">
        <v>44990.02</v>
      </c>
      <c r="P513" s="1">
        <v>4</v>
      </c>
      <c r="Q513" s="1" t="s">
        <v>40</v>
      </c>
    </row>
    <row r="514" spans="1:17">
      <c r="A514" s="1" t="s">
        <v>1064</v>
      </c>
      <c r="B514" s="1" t="s">
        <v>194</v>
      </c>
      <c r="C514" s="1">
        <v>6</v>
      </c>
      <c r="D514" s="1" t="s">
        <v>27</v>
      </c>
      <c r="E514" s="1" t="s">
        <v>137</v>
      </c>
      <c r="F514" s="1" t="s">
        <v>120</v>
      </c>
      <c r="G514" s="1" t="s">
        <v>36</v>
      </c>
      <c r="H514" s="1" t="s">
        <v>69</v>
      </c>
      <c r="I514" s="1" t="s">
        <v>24</v>
      </c>
      <c r="J514" s="7" t="s">
        <v>454</v>
      </c>
      <c r="K514" s="2">
        <v>45334</v>
      </c>
      <c r="L514" s="1">
        <v>3</v>
      </c>
      <c r="M514" s="1" t="s">
        <v>56</v>
      </c>
      <c r="N514" s="1" t="s">
        <v>63</v>
      </c>
      <c r="O514" s="1">
        <v>69959.11</v>
      </c>
      <c r="P514" s="1">
        <v>4</v>
      </c>
      <c r="Q514" s="1" t="s">
        <v>29</v>
      </c>
    </row>
    <row r="515" spans="1:17">
      <c r="A515" s="1" t="s">
        <v>1065</v>
      </c>
      <c r="B515" s="1" t="s">
        <v>615</v>
      </c>
      <c r="C515" s="1">
        <v>67</v>
      </c>
      <c r="D515" s="1" t="s">
        <v>27</v>
      </c>
      <c r="E515" s="1" t="s">
        <v>159</v>
      </c>
      <c r="F515" s="1" t="s">
        <v>52</v>
      </c>
      <c r="G515" s="1" t="s">
        <v>68</v>
      </c>
      <c r="H515" s="1" t="s">
        <v>23</v>
      </c>
      <c r="I515" s="1" t="s">
        <v>24</v>
      </c>
      <c r="J515" s="7" t="s">
        <v>987</v>
      </c>
      <c r="K515" s="2">
        <v>45663</v>
      </c>
      <c r="L515" s="1">
        <v>1</v>
      </c>
      <c r="M515" s="1" t="s">
        <v>56</v>
      </c>
      <c r="N515" s="1" t="s">
        <v>85</v>
      </c>
      <c r="O515" s="1">
        <v>84067.03</v>
      </c>
      <c r="P515" s="1">
        <v>4</v>
      </c>
      <c r="Q515" s="1" t="s">
        <v>29</v>
      </c>
    </row>
    <row r="516" spans="1:17">
      <c r="A516" s="1" t="s">
        <v>1066</v>
      </c>
      <c r="B516" s="1" t="s">
        <v>826</v>
      </c>
      <c r="C516" s="1">
        <v>22</v>
      </c>
      <c r="D516" s="1" t="s">
        <v>27</v>
      </c>
      <c r="E516" s="1" t="s">
        <v>117</v>
      </c>
      <c r="F516" s="1" t="s">
        <v>52</v>
      </c>
      <c r="G516" s="1" t="s">
        <v>34</v>
      </c>
      <c r="H516" s="1" t="s">
        <v>35</v>
      </c>
      <c r="I516" s="1" t="s">
        <v>62</v>
      </c>
      <c r="J516" s="7" t="s">
        <v>1067</v>
      </c>
      <c r="K516" s="1" t="s">
        <v>145</v>
      </c>
      <c r="L516" s="1">
        <v>1</v>
      </c>
      <c r="M516" s="1" t="s">
        <v>48</v>
      </c>
      <c r="N516" s="1" t="s">
        <v>63</v>
      </c>
      <c r="O516" s="1">
        <v>119235.06</v>
      </c>
      <c r="P516" s="1">
        <v>4</v>
      </c>
      <c r="Q516" s="1" t="s">
        <v>29</v>
      </c>
    </row>
    <row r="517" spans="1:17">
      <c r="A517" s="1" t="s">
        <v>1068</v>
      </c>
      <c r="B517" s="1" t="s">
        <v>419</v>
      </c>
      <c r="C517" s="1">
        <v>69</v>
      </c>
      <c r="D517" s="1" t="s">
        <v>27</v>
      </c>
      <c r="E517" s="1" t="s">
        <v>137</v>
      </c>
      <c r="F517" s="1" t="s">
        <v>52</v>
      </c>
      <c r="G517" s="1" t="s">
        <v>132</v>
      </c>
      <c r="H517" s="1" t="s">
        <v>69</v>
      </c>
      <c r="I517" s="1" t="s">
        <v>24</v>
      </c>
      <c r="J517" s="7" t="s">
        <v>484</v>
      </c>
      <c r="K517" s="1" t="s">
        <v>1069</v>
      </c>
      <c r="L517" s="1">
        <v>9</v>
      </c>
      <c r="M517" s="1" t="s">
        <v>27</v>
      </c>
      <c r="N517" s="1" t="s">
        <v>39</v>
      </c>
      <c r="O517" s="1">
        <v>84928.29</v>
      </c>
      <c r="P517" s="1">
        <v>4</v>
      </c>
      <c r="Q517" s="1" t="s">
        <v>58</v>
      </c>
    </row>
    <row r="518" spans="1:17">
      <c r="A518" s="1" t="s">
        <v>1070</v>
      </c>
      <c r="B518" s="1" t="s">
        <v>499</v>
      </c>
      <c r="C518" s="1">
        <v>30</v>
      </c>
      <c r="D518" s="1" t="s">
        <v>19</v>
      </c>
      <c r="E518" s="1" t="s">
        <v>247</v>
      </c>
      <c r="F518" s="1" t="s">
        <v>33</v>
      </c>
      <c r="G518" s="1" t="s">
        <v>53</v>
      </c>
      <c r="H518" s="1" t="s">
        <v>69</v>
      </c>
      <c r="I518" s="1" t="s">
        <v>24</v>
      </c>
      <c r="J518" s="7" t="s">
        <v>1071</v>
      </c>
      <c r="K518" s="1" t="s">
        <v>138</v>
      </c>
      <c r="L518" s="1">
        <v>2</v>
      </c>
      <c r="M518" s="1" t="s">
        <v>48</v>
      </c>
      <c r="N518" s="1" t="s">
        <v>82</v>
      </c>
      <c r="O518" s="1">
        <v>150391.17000000001</v>
      </c>
      <c r="P518" s="1">
        <v>2</v>
      </c>
      <c r="Q518" s="1" t="s">
        <v>72</v>
      </c>
    </row>
    <row r="519" spans="1:17">
      <c r="A519" s="1" t="s">
        <v>1072</v>
      </c>
      <c r="B519" s="1" t="s">
        <v>361</v>
      </c>
      <c r="C519" s="1">
        <v>76</v>
      </c>
      <c r="D519" s="1" t="s">
        <v>27</v>
      </c>
      <c r="E519" s="1" t="s">
        <v>247</v>
      </c>
      <c r="F519" s="1" t="s">
        <v>21</v>
      </c>
      <c r="G519" s="1" t="s">
        <v>110</v>
      </c>
      <c r="H519" s="1" t="s">
        <v>23</v>
      </c>
      <c r="I519" s="1" t="s">
        <v>62</v>
      </c>
      <c r="J519" s="7" t="s">
        <v>1073</v>
      </c>
      <c r="K519" s="1" t="s">
        <v>424</v>
      </c>
      <c r="L519" s="1">
        <v>3</v>
      </c>
      <c r="M519" s="1" t="s">
        <v>56</v>
      </c>
      <c r="N519" s="1" t="s">
        <v>57</v>
      </c>
      <c r="O519" s="1">
        <v>104686.75</v>
      </c>
      <c r="P519" s="1">
        <v>2</v>
      </c>
      <c r="Q519" s="1" t="s">
        <v>58</v>
      </c>
    </row>
    <row r="520" spans="1:17">
      <c r="A520" s="1" t="s">
        <v>1074</v>
      </c>
      <c r="B520" s="1" t="s">
        <v>920</v>
      </c>
      <c r="C520" s="1">
        <v>19</v>
      </c>
      <c r="D520" s="1" t="s">
        <v>27</v>
      </c>
      <c r="E520" s="1" t="s">
        <v>20</v>
      </c>
      <c r="F520" s="1" t="s">
        <v>33</v>
      </c>
      <c r="G520" s="1" t="s">
        <v>34</v>
      </c>
      <c r="H520" s="1" t="s">
        <v>69</v>
      </c>
      <c r="I520" s="1" t="s">
        <v>62</v>
      </c>
      <c r="J520" s="7" t="s">
        <v>358</v>
      </c>
      <c r="K520" s="1" t="s">
        <v>206</v>
      </c>
      <c r="L520" s="1">
        <v>7</v>
      </c>
      <c r="M520" s="1" t="s">
        <v>97</v>
      </c>
      <c r="N520" s="1" t="s">
        <v>28</v>
      </c>
      <c r="O520" s="1">
        <v>58436.480000000003</v>
      </c>
      <c r="P520" s="1">
        <v>4</v>
      </c>
      <c r="Q520" s="1" t="s">
        <v>40</v>
      </c>
    </row>
    <row r="521" spans="1:17">
      <c r="A521" s="1" t="s">
        <v>1075</v>
      </c>
      <c r="B521" s="1" t="s">
        <v>909</v>
      </c>
      <c r="C521" s="1">
        <v>20</v>
      </c>
      <c r="D521" s="1" t="s">
        <v>27</v>
      </c>
      <c r="E521" s="1" t="s">
        <v>51</v>
      </c>
      <c r="F521" s="1" t="s">
        <v>33</v>
      </c>
      <c r="G521" s="1" t="s">
        <v>110</v>
      </c>
      <c r="H521" s="1" t="s">
        <v>93</v>
      </c>
      <c r="I521" s="1" t="s">
        <v>62</v>
      </c>
      <c r="J521" s="7">
        <v>45359</v>
      </c>
      <c r="K521" s="2">
        <v>45573</v>
      </c>
      <c r="L521" s="1">
        <v>7</v>
      </c>
      <c r="M521" s="1" t="s">
        <v>97</v>
      </c>
      <c r="N521" s="1" t="s">
        <v>63</v>
      </c>
      <c r="O521" s="1">
        <v>95644.18</v>
      </c>
      <c r="P521" s="1">
        <v>5</v>
      </c>
      <c r="Q521" s="1" t="s">
        <v>58</v>
      </c>
    </row>
    <row r="522" spans="1:17">
      <c r="A522" s="1" t="s">
        <v>1076</v>
      </c>
      <c r="B522" s="1" t="s">
        <v>892</v>
      </c>
      <c r="C522" s="1">
        <v>45</v>
      </c>
      <c r="D522" s="1" t="s">
        <v>43</v>
      </c>
      <c r="E522" s="1" t="s">
        <v>117</v>
      </c>
      <c r="F522" s="1" t="s">
        <v>33</v>
      </c>
      <c r="G522" s="1" t="s">
        <v>132</v>
      </c>
      <c r="H522" s="1" t="s">
        <v>23</v>
      </c>
      <c r="I522" s="1" t="s">
        <v>24</v>
      </c>
      <c r="J522" s="7">
        <v>45749</v>
      </c>
      <c r="K522" s="2">
        <v>45871</v>
      </c>
      <c r="L522" s="1">
        <v>4</v>
      </c>
      <c r="M522" s="1" t="s">
        <v>56</v>
      </c>
      <c r="N522" s="1" t="s">
        <v>90</v>
      </c>
      <c r="O522" s="1">
        <v>40745.39</v>
      </c>
      <c r="P522" s="1">
        <v>3</v>
      </c>
      <c r="Q522" s="1" t="s">
        <v>29</v>
      </c>
    </row>
    <row r="523" spans="1:17">
      <c r="A523" s="1" t="s">
        <v>1077</v>
      </c>
      <c r="B523" s="1" t="s">
        <v>909</v>
      </c>
      <c r="C523" s="1">
        <v>57</v>
      </c>
      <c r="D523" s="1" t="s">
        <v>27</v>
      </c>
      <c r="E523" s="1" t="s">
        <v>32</v>
      </c>
      <c r="F523" s="1" t="s">
        <v>120</v>
      </c>
      <c r="G523" s="1" t="s">
        <v>22</v>
      </c>
      <c r="H523" s="1" t="s">
        <v>35</v>
      </c>
      <c r="I523" s="1" t="s">
        <v>62</v>
      </c>
      <c r="J523" s="7">
        <v>45905</v>
      </c>
      <c r="K523" s="1" t="s">
        <v>1078</v>
      </c>
      <c r="L523" s="1">
        <v>6</v>
      </c>
      <c r="M523" s="1" t="s">
        <v>56</v>
      </c>
      <c r="N523" s="1" t="s">
        <v>28</v>
      </c>
      <c r="O523" s="1">
        <v>39488.57</v>
      </c>
      <c r="P523" s="1">
        <v>5</v>
      </c>
      <c r="Q523" s="1" t="s">
        <v>72</v>
      </c>
    </row>
    <row r="524" spans="1:17">
      <c r="A524" s="1" t="s">
        <v>1079</v>
      </c>
      <c r="B524" s="1" t="s">
        <v>246</v>
      </c>
      <c r="C524" s="1">
        <v>66</v>
      </c>
      <c r="D524" s="1" t="s">
        <v>27</v>
      </c>
      <c r="E524" s="1" t="s">
        <v>44</v>
      </c>
      <c r="F524" s="1" t="s">
        <v>21</v>
      </c>
      <c r="G524" s="1" t="s">
        <v>36</v>
      </c>
      <c r="H524" s="1" t="s">
        <v>61</v>
      </c>
      <c r="I524" s="1" t="s">
        <v>24</v>
      </c>
      <c r="J524" s="7">
        <v>45638</v>
      </c>
      <c r="K524" s="1" t="s">
        <v>995</v>
      </c>
      <c r="L524" s="1">
        <v>3</v>
      </c>
      <c r="M524" s="1" t="s">
        <v>97</v>
      </c>
      <c r="N524" s="1" t="s">
        <v>39</v>
      </c>
      <c r="O524" s="1">
        <v>14481.48</v>
      </c>
      <c r="P524" s="1">
        <v>3</v>
      </c>
      <c r="Q524" s="1" t="s">
        <v>72</v>
      </c>
    </row>
    <row r="525" spans="1:17">
      <c r="A525" s="1" t="s">
        <v>1080</v>
      </c>
      <c r="B525" s="1" t="s">
        <v>603</v>
      </c>
      <c r="C525" s="1">
        <v>60</v>
      </c>
      <c r="D525" s="1" t="s">
        <v>27</v>
      </c>
      <c r="E525" s="1" t="s">
        <v>202</v>
      </c>
      <c r="F525" s="1" t="s">
        <v>67</v>
      </c>
      <c r="G525" s="1" t="s">
        <v>34</v>
      </c>
      <c r="H525" s="1" t="s">
        <v>45</v>
      </c>
      <c r="I525" s="1" t="s">
        <v>24</v>
      </c>
      <c r="J525" s="7" t="s">
        <v>785</v>
      </c>
      <c r="K525" s="1" t="s">
        <v>1081</v>
      </c>
      <c r="L525" s="1">
        <v>5</v>
      </c>
      <c r="M525" s="1" t="s">
        <v>27</v>
      </c>
      <c r="N525" s="1" t="s">
        <v>57</v>
      </c>
      <c r="O525" s="1">
        <v>26869.95</v>
      </c>
      <c r="P525" s="1">
        <v>4</v>
      </c>
      <c r="Q525" s="1" t="s">
        <v>40</v>
      </c>
    </row>
    <row r="526" spans="1:17">
      <c r="A526" s="1" t="s">
        <v>1082</v>
      </c>
      <c r="B526" s="1" t="s">
        <v>50</v>
      </c>
      <c r="C526" s="1">
        <v>89</v>
      </c>
      <c r="D526" s="1" t="s">
        <v>27</v>
      </c>
      <c r="E526" s="1" t="s">
        <v>137</v>
      </c>
      <c r="F526" s="1" t="s">
        <v>52</v>
      </c>
      <c r="G526" s="1" t="s">
        <v>36</v>
      </c>
      <c r="H526" s="1" t="s">
        <v>105</v>
      </c>
      <c r="I526" s="1" t="s">
        <v>36</v>
      </c>
      <c r="J526" s="7">
        <v>45447</v>
      </c>
      <c r="K526" s="2">
        <v>45477</v>
      </c>
      <c r="L526" s="1">
        <v>1</v>
      </c>
      <c r="M526" s="1" t="s">
        <v>97</v>
      </c>
      <c r="N526" s="1" t="s">
        <v>90</v>
      </c>
      <c r="O526" s="1">
        <v>53713.89</v>
      </c>
      <c r="P526" s="1">
        <v>2</v>
      </c>
      <c r="Q526" s="1" t="s">
        <v>58</v>
      </c>
    </row>
    <row r="527" spans="1:17">
      <c r="A527" s="1" t="s">
        <v>1083</v>
      </c>
      <c r="B527" s="1" t="s">
        <v>762</v>
      </c>
      <c r="C527" s="1">
        <v>9</v>
      </c>
      <c r="D527" s="1" t="s">
        <v>27</v>
      </c>
      <c r="E527" s="1" t="s">
        <v>202</v>
      </c>
      <c r="F527" s="1" t="s">
        <v>67</v>
      </c>
      <c r="G527" s="1" t="s">
        <v>22</v>
      </c>
      <c r="H527" s="1" t="s">
        <v>61</v>
      </c>
      <c r="I527" s="1" t="s">
        <v>62</v>
      </c>
      <c r="J527" s="7" t="s">
        <v>738</v>
      </c>
      <c r="K527" s="1" t="s">
        <v>1084</v>
      </c>
      <c r="L527" s="1">
        <v>7</v>
      </c>
      <c r="M527" s="1" t="s">
        <v>38</v>
      </c>
      <c r="N527" s="1" t="s">
        <v>28</v>
      </c>
      <c r="O527" s="1">
        <v>82494.720000000001</v>
      </c>
      <c r="P527" s="1">
        <v>5</v>
      </c>
      <c r="Q527" s="1" t="s">
        <v>72</v>
      </c>
    </row>
    <row r="528" spans="1:17">
      <c r="A528" s="1" t="s">
        <v>1085</v>
      </c>
      <c r="B528" s="1" t="s">
        <v>84</v>
      </c>
      <c r="C528" s="1">
        <v>17</v>
      </c>
      <c r="D528" s="1" t="s">
        <v>27</v>
      </c>
      <c r="E528" s="1" t="s">
        <v>137</v>
      </c>
      <c r="F528" s="1" t="s">
        <v>52</v>
      </c>
      <c r="G528" s="1" t="s">
        <v>34</v>
      </c>
      <c r="H528" s="1" t="s">
        <v>45</v>
      </c>
      <c r="I528" s="1" t="s">
        <v>36</v>
      </c>
      <c r="J528" s="7" t="s">
        <v>1086</v>
      </c>
      <c r="K528" s="1" t="s">
        <v>262</v>
      </c>
      <c r="L528" s="1">
        <v>1</v>
      </c>
      <c r="M528" s="1" t="s">
        <v>56</v>
      </c>
      <c r="N528" s="1" t="s">
        <v>82</v>
      </c>
      <c r="O528" s="1">
        <v>138294.62</v>
      </c>
      <c r="P528" s="1">
        <v>4</v>
      </c>
      <c r="Q528" s="1" t="s">
        <v>72</v>
      </c>
    </row>
    <row r="529" spans="1:17">
      <c r="A529" s="1" t="s">
        <v>1087</v>
      </c>
      <c r="B529" s="1" t="s">
        <v>603</v>
      </c>
      <c r="C529" s="1">
        <v>67</v>
      </c>
      <c r="D529" s="1" t="s">
        <v>43</v>
      </c>
      <c r="E529" s="1" t="s">
        <v>32</v>
      </c>
      <c r="F529" s="1" t="s">
        <v>52</v>
      </c>
      <c r="G529" s="1" t="s">
        <v>53</v>
      </c>
      <c r="H529" s="1" t="s">
        <v>23</v>
      </c>
      <c r="I529" s="1" t="s">
        <v>36</v>
      </c>
      <c r="J529" s="7">
        <v>45788</v>
      </c>
      <c r="K529" s="2">
        <v>45880</v>
      </c>
      <c r="L529" s="1">
        <v>3</v>
      </c>
      <c r="M529" s="1" t="s">
        <v>56</v>
      </c>
      <c r="N529" s="1" t="s">
        <v>28</v>
      </c>
      <c r="O529" s="1">
        <v>164596.81</v>
      </c>
      <c r="P529" s="1">
        <v>4</v>
      </c>
      <c r="Q529" s="1" t="s">
        <v>29</v>
      </c>
    </row>
    <row r="530" spans="1:17">
      <c r="A530" s="1" t="s">
        <v>1088</v>
      </c>
      <c r="B530" s="1" t="s">
        <v>179</v>
      </c>
      <c r="C530" s="1">
        <v>19</v>
      </c>
      <c r="D530" s="1" t="s">
        <v>43</v>
      </c>
      <c r="E530" s="1" t="s">
        <v>137</v>
      </c>
      <c r="F530" s="1" t="s">
        <v>52</v>
      </c>
      <c r="G530" s="1" t="s">
        <v>53</v>
      </c>
      <c r="H530" s="1" t="s">
        <v>105</v>
      </c>
      <c r="I530" s="1" t="s">
        <v>36</v>
      </c>
      <c r="J530" s="7">
        <v>45512</v>
      </c>
      <c r="K530" s="1" t="s">
        <v>720</v>
      </c>
      <c r="L530" s="1">
        <v>5</v>
      </c>
      <c r="M530" s="1" t="s">
        <v>97</v>
      </c>
      <c r="N530" s="1" t="s">
        <v>57</v>
      </c>
      <c r="O530" s="1">
        <v>37630.410000000003</v>
      </c>
      <c r="P530" s="1">
        <v>2</v>
      </c>
      <c r="Q530" s="1" t="s">
        <v>72</v>
      </c>
    </row>
    <row r="531" spans="1:17">
      <c r="A531" s="1" t="s">
        <v>1089</v>
      </c>
      <c r="B531" s="1" t="s">
        <v>378</v>
      </c>
      <c r="C531" s="1">
        <v>33</v>
      </c>
      <c r="D531" s="1" t="s">
        <v>27</v>
      </c>
      <c r="E531" s="1" t="s">
        <v>137</v>
      </c>
      <c r="F531" s="1" t="s">
        <v>21</v>
      </c>
      <c r="G531" s="1" t="s">
        <v>68</v>
      </c>
      <c r="H531" s="1" t="s">
        <v>61</v>
      </c>
      <c r="I531" s="1" t="s">
        <v>62</v>
      </c>
      <c r="J531" s="7">
        <v>45964</v>
      </c>
      <c r="K531" s="2">
        <v>45994</v>
      </c>
      <c r="L531" s="1">
        <v>1</v>
      </c>
      <c r="M531" s="1" t="s">
        <v>97</v>
      </c>
      <c r="N531" s="1" t="s">
        <v>57</v>
      </c>
      <c r="O531" s="1">
        <v>64154.48</v>
      </c>
      <c r="P531" s="1">
        <v>4</v>
      </c>
      <c r="Q531" s="1" t="s">
        <v>72</v>
      </c>
    </row>
    <row r="532" spans="1:17">
      <c r="A532" s="1" t="s">
        <v>1090</v>
      </c>
      <c r="B532" s="1" t="s">
        <v>131</v>
      </c>
      <c r="C532" s="1">
        <v>78</v>
      </c>
      <c r="D532" s="1" t="s">
        <v>19</v>
      </c>
      <c r="E532" s="1" t="s">
        <v>66</v>
      </c>
      <c r="F532" s="1" t="s">
        <v>21</v>
      </c>
      <c r="G532" s="1" t="s">
        <v>36</v>
      </c>
      <c r="H532" s="1" t="s">
        <v>45</v>
      </c>
      <c r="I532" s="1" t="s">
        <v>62</v>
      </c>
      <c r="J532" s="7" t="s">
        <v>1091</v>
      </c>
      <c r="K532" s="1" t="s">
        <v>952</v>
      </c>
      <c r="L532" s="1">
        <v>1</v>
      </c>
      <c r="M532" s="1" t="s">
        <v>48</v>
      </c>
      <c r="N532" s="1" t="s">
        <v>28</v>
      </c>
      <c r="O532" s="1">
        <v>36043.1</v>
      </c>
      <c r="P532" s="1">
        <v>2</v>
      </c>
      <c r="Q532" s="1" t="s">
        <v>58</v>
      </c>
    </row>
    <row r="533" spans="1:17">
      <c r="A533" s="1" t="s">
        <v>1092</v>
      </c>
      <c r="B533" s="1" t="s">
        <v>644</v>
      </c>
      <c r="C533" s="1">
        <v>29</v>
      </c>
      <c r="D533" s="1" t="s">
        <v>43</v>
      </c>
      <c r="E533" s="1" t="s">
        <v>44</v>
      </c>
      <c r="F533" s="1" t="s">
        <v>120</v>
      </c>
      <c r="G533" s="1" t="s">
        <v>68</v>
      </c>
      <c r="H533" s="1" t="s">
        <v>69</v>
      </c>
      <c r="I533" s="1" t="s">
        <v>24</v>
      </c>
      <c r="J533" s="7" t="s">
        <v>559</v>
      </c>
      <c r="K533" s="1" t="s">
        <v>1093</v>
      </c>
      <c r="L533" s="1">
        <v>1</v>
      </c>
      <c r="M533" s="1" t="s">
        <v>38</v>
      </c>
      <c r="N533" s="1" t="s">
        <v>90</v>
      </c>
      <c r="O533" s="1">
        <v>71958.06</v>
      </c>
      <c r="P533" s="1">
        <v>4</v>
      </c>
      <c r="Q533" s="1" t="s">
        <v>72</v>
      </c>
    </row>
    <row r="534" spans="1:17">
      <c r="A534" s="1" t="s">
        <v>1094</v>
      </c>
      <c r="B534" s="1" t="s">
        <v>378</v>
      </c>
      <c r="C534" s="1">
        <v>7</v>
      </c>
      <c r="D534" s="1" t="s">
        <v>19</v>
      </c>
      <c r="E534" s="1" t="s">
        <v>66</v>
      </c>
      <c r="F534" s="1" t="s">
        <v>21</v>
      </c>
      <c r="G534" s="1" t="s">
        <v>36</v>
      </c>
      <c r="H534" s="1" t="s">
        <v>93</v>
      </c>
      <c r="I534" s="1" t="s">
        <v>62</v>
      </c>
      <c r="J534" s="7" t="s">
        <v>870</v>
      </c>
      <c r="K534" s="1" t="s">
        <v>1095</v>
      </c>
      <c r="L534" s="1">
        <v>1</v>
      </c>
      <c r="M534" s="1" t="s">
        <v>27</v>
      </c>
      <c r="N534" s="1" t="s">
        <v>63</v>
      </c>
      <c r="O534" s="1">
        <v>55238.64</v>
      </c>
      <c r="P534" s="1">
        <v>3</v>
      </c>
      <c r="Q534" s="1" t="s">
        <v>40</v>
      </c>
    </row>
    <row r="535" spans="1:17">
      <c r="A535" s="1" t="s">
        <v>1096</v>
      </c>
      <c r="B535" s="1" t="s">
        <v>1050</v>
      </c>
      <c r="C535" s="1">
        <v>7</v>
      </c>
      <c r="D535" s="1" t="s">
        <v>27</v>
      </c>
      <c r="E535" s="1" t="s">
        <v>117</v>
      </c>
      <c r="F535" s="1" t="s">
        <v>33</v>
      </c>
      <c r="G535" s="1" t="s">
        <v>36</v>
      </c>
      <c r="H535" s="1" t="s">
        <v>93</v>
      </c>
      <c r="I535" s="1" t="s">
        <v>24</v>
      </c>
      <c r="J535" s="7" t="s">
        <v>333</v>
      </c>
      <c r="K535" s="1" t="s">
        <v>305</v>
      </c>
      <c r="L535" s="1">
        <v>7</v>
      </c>
      <c r="M535" s="1" t="s">
        <v>56</v>
      </c>
      <c r="N535" s="1" t="s">
        <v>82</v>
      </c>
      <c r="O535" s="1">
        <v>25366.63</v>
      </c>
      <c r="P535" s="1">
        <v>5</v>
      </c>
      <c r="Q535" s="1" t="s">
        <v>72</v>
      </c>
    </row>
    <row r="536" spans="1:17">
      <c r="A536" s="1" t="s">
        <v>1097</v>
      </c>
      <c r="B536" s="1" t="s">
        <v>299</v>
      </c>
      <c r="C536" s="1">
        <v>40</v>
      </c>
      <c r="D536" s="1" t="s">
        <v>43</v>
      </c>
      <c r="E536" s="1" t="s">
        <v>202</v>
      </c>
      <c r="F536" s="1" t="s">
        <v>33</v>
      </c>
      <c r="G536" s="1" t="s">
        <v>132</v>
      </c>
      <c r="H536" s="1" t="s">
        <v>45</v>
      </c>
      <c r="I536" s="1" t="s">
        <v>24</v>
      </c>
      <c r="J536" s="7" t="s">
        <v>478</v>
      </c>
      <c r="K536" s="1" t="s">
        <v>870</v>
      </c>
      <c r="L536" s="1">
        <v>5</v>
      </c>
      <c r="M536" s="1" t="s">
        <v>27</v>
      </c>
      <c r="N536" s="1" t="s">
        <v>63</v>
      </c>
      <c r="O536" s="1">
        <v>24053.26</v>
      </c>
      <c r="P536" s="1">
        <v>2</v>
      </c>
      <c r="Q536" s="1" t="s">
        <v>29</v>
      </c>
    </row>
    <row r="537" spans="1:17">
      <c r="A537" s="1" t="s">
        <v>1098</v>
      </c>
      <c r="B537" s="1" t="s">
        <v>65</v>
      </c>
      <c r="C537" s="1">
        <v>62</v>
      </c>
      <c r="D537" s="1" t="s">
        <v>43</v>
      </c>
      <c r="E537" s="1" t="s">
        <v>51</v>
      </c>
      <c r="F537" s="1" t="s">
        <v>52</v>
      </c>
      <c r="G537" s="1" t="s">
        <v>132</v>
      </c>
      <c r="H537" s="1" t="s">
        <v>99</v>
      </c>
      <c r="I537" s="1" t="s">
        <v>24</v>
      </c>
      <c r="J537" s="7">
        <v>45967</v>
      </c>
      <c r="K537" s="1" t="s">
        <v>155</v>
      </c>
      <c r="L537" s="1">
        <v>6</v>
      </c>
      <c r="M537" s="1" t="s">
        <v>48</v>
      </c>
      <c r="N537" s="1" t="s">
        <v>90</v>
      </c>
      <c r="O537" s="1">
        <v>64133.69</v>
      </c>
      <c r="P537" s="1">
        <v>5</v>
      </c>
      <c r="Q537" s="1" t="s">
        <v>58</v>
      </c>
    </row>
    <row r="538" spans="1:17">
      <c r="A538" s="1" t="s">
        <v>1099</v>
      </c>
      <c r="B538" s="1" t="s">
        <v>348</v>
      </c>
      <c r="C538" s="1">
        <v>22</v>
      </c>
      <c r="D538" s="1" t="s">
        <v>27</v>
      </c>
      <c r="E538" s="1" t="s">
        <v>32</v>
      </c>
      <c r="F538" s="1" t="s">
        <v>120</v>
      </c>
      <c r="G538" s="1" t="s">
        <v>110</v>
      </c>
      <c r="H538" s="1" t="s">
        <v>23</v>
      </c>
      <c r="I538" s="1" t="s">
        <v>24</v>
      </c>
      <c r="J538" s="7" t="s">
        <v>467</v>
      </c>
      <c r="K538" s="1" t="s">
        <v>1100</v>
      </c>
      <c r="L538" s="1">
        <v>1</v>
      </c>
      <c r="M538" s="1" t="s">
        <v>56</v>
      </c>
      <c r="N538" s="1" t="s">
        <v>39</v>
      </c>
      <c r="O538" s="1">
        <v>47079.73</v>
      </c>
      <c r="P538" s="1">
        <v>4</v>
      </c>
      <c r="Q538" s="1" t="s">
        <v>72</v>
      </c>
    </row>
    <row r="539" spans="1:17">
      <c r="A539" s="1" t="s">
        <v>1101</v>
      </c>
      <c r="B539" s="1" t="s">
        <v>295</v>
      </c>
      <c r="C539" s="1">
        <v>38</v>
      </c>
      <c r="D539" s="1" t="s">
        <v>43</v>
      </c>
      <c r="E539" s="1" t="s">
        <v>202</v>
      </c>
      <c r="F539" s="1" t="s">
        <v>120</v>
      </c>
      <c r="G539" s="1" t="s">
        <v>68</v>
      </c>
      <c r="H539" s="1" t="s">
        <v>23</v>
      </c>
      <c r="I539" s="1" t="s">
        <v>36</v>
      </c>
      <c r="J539" s="7">
        <v>45905</v>
      </c>
      <c r="K539" s="1" t="s">
        <v>231</v>
      </c>
      <c r="L539" s="1">
        <v>5</v>
      </c>
      <c r="M539" s="1" t="s">
        <v>27</v>
      </c>
      <c r="N539" s="1" t="s">
        <v>57</v>
      </c>
      <c r="O539" s="1">
        <v>72278.100000000006</v>
      </c>
      <c r="P539" s="1">
        <v>1</v>
      </c>
      <c r="Q539" s="1" t="s">
        <v>40</v>
      </c>
    </row>
    <row r="540" spans="1:17">
      <c r="A540" s="1" t="s">
        <v>1102</v>
      </c>
      <c r="B540" s="1" t="s">
        <v>792</v>
      </c>
      <c r="C540" s="1">
        <v>39</v>
      </c>
      <c r="D540" s="1" t="s">
        <v>43</v>
      </c>
      <c r="E540" s="1" t="s">
        <v>51</v>
      </c>
      <c r="F540" s="1" t="s">
        <v>67</v>
      </c>
      <c r="G540" s="1" t="s">
        <v>36</v>
      </c>
      <c r="H540" s="1" t="s">
        <v>88</v>
      </c>
      <c r="I540" s="1" t="s">
        <v>36</v>
      </c>
      <c r="J540" s="7" t="s">
        <v>451</v>
      </c>
      <c r="K540" s="1" t="s">
        <v>896</v>
      </c>
      <c r="L540" s="1">
        <v>3</v>
      </c>
      <c r="M540" s="1" t="s">
        <v>97</v>
      </c>
      <c r="N540" s="1" t="s">
        <v>28</v>
      </c>
      <c r="O540" s="1">
        <v>12647.05</v>
      </c>
      <c r="P540" s="1">
        <v>4</v>
      </c>
      <c r="Q540" s="1" t="s">
        <v>58</v>
      </c>
    </row>
    <row r="541" spans="1:17">
      <c r="A541" s="1" t="s">
        <v>1103</v>
      </c>
      <c r="B541" s="1" t="s">
        <v>780</v>
      </c>
      <c r="C541" s="1">
        <v>1</v>
      </c>
      <c r="D541" s="1" t="s">
        <v>19</v>
      </c>
      <c r="E541" s="1" t="s">
        <v>159</v>
      </c>
      <c r="F541" s="1" t="s">
        <v>52</v>
      </c>
      <c r="G541" s="1" t="s">
        <v>68</v>
      </c>
      <c r="H541" s="1" t="s">
        <v>88</v>
      </c>
      <c r="I541" s="1" t="s">
        <v>62</v>
      </c>
      <c r="J541" s="7">
        <v>45727</v>
      </c>
      <c r="K541" s="2">
        <v>45788</v>
      </c>
      <c r="L541" s="1">
        <v>2</v>
      </c>
      <c r="M541" s="1" t="s">
        <v>56</v>
      </c>
      <c r="N541" s="1" t="s">
        <v>85</v>
      </c>
      <c r="O541" s="1">
        <v>43268.93</v>
      </c>
      <c r="P541" s="1">
        <v>3</v>
      </c>
      <c r="Q541" s="1" t="s">
        <v>40</v>
      </c>
    </row>
    <row r="542" spans="1:17">
      <c r="A542" s="1" t="s">
        <v>1104</v>
      </c>
      <c r="B542" s="1" t="s">
        <v>570</v>
      </c>
      <c r="C542" s="1">
        <v>56</v>
      </c>
      <c r="D542" s="1" t="s">
        <v>19</v>
      </c>
      <c r="E542" s="1" t="s">
        <v>159</v>
      </c>
      <c r="F542" s="1" t="s">
        <v>52</v>
      </c>
      <c r="G542" s="1" t="s">
        <v>34</v>
      </c>
      <c r="H542" s="1" t="s">
        <v>35</v>
      </c>
      <c r="I542" s="1" t="s">
        <v>62</v>
      </c>
      <c r="J542" s="7">
        <v>45689</v>
      </c>
      <c r="K542" s="2">
        <v>45748</v>
      </c>
      <c r="L542" s="1">
        <v>2</v>
      </c>
      <c r="M542" s="1" t="s">
        <v>48</v>
      </c>
      <c r="N542" s="1" t="s">
        <v>57</v>
      </c>
      <c r="O542" s="1">
        <v>76280.36</v>
      </c>
      <c r="P542" s="1">
        <v>5</v>
      </c>
      <c r="Q542" s="1" t="s">
        <v>58</v>
      </c>
    </row>
    <row r="543" spans="1:17">
      <c r="A543" s="1" t="s">
        <v>1105</v>
      </c>
      <c r="B543" s="1" t="s">
        <v>381</v>
      </c>
      <c r="C543" s="1">
        <v>71</v>
      </c>
      <c r="D543" s="1" t="s">
        <v>43</v>
      </c>
      <c r="E543" s="1" t="s">
        <v>32</v>
      </c>
      <c r="F543" s="1" t="s">
        <v>75</v>
      </c>
      <c r="G543" s="1" t="s">
        <v>36</v>
      </c>
      <c r="H543" s="1" t="s">
        <v>23</v>
      </c>
      <c r="I543" s="1" t="s">
        <v>36</v>
      </c>
      <c r="J543" s="7" t="s">
        <v>582</v>
      </c>
      <c r="K543" s="1" t="s">
        <v>356</v>
      </c>
      <c r="L543" s="1">
        <v>1</v>
      </c>
      <c r="M543" s="1" t="s">
        <v>56</v>
      </c>
      <c r="N543" s="1" t="s">
        <v>85</v>
      </c>
      <c r="O543" s="1">
        <v>64997.599999999999</v>
      </c>
      <c r="P543" s="1">
        <v>5</v>
      </c>
      <c r="Q543" s="1" t="s">
        <v>40</v>
      </c>
    </row>
    <row r="544" spans="1:17">
      <c r="A544" s="1" t="s">
        <v>1106</v>
      </c>
      <c r="B544" s="1" t="s">
        <v>339</v>
      </c>
      <c r="C544" s="1">
        <v>65</v>
      </c>
      <c r="D544" s="1" t="s">
        <v>19</v>
      </c>
      <c r="E544" s="1" t="s">
        <v>159</v>
      </c>
      <c r="F544" s="1" t="s">
        <v>75</v>
      </c>
      <c r="G544" s="1" t="s">
        <v>36</v>
      </c>
      <c r="H544" s="1" t="s">
        <v>69</v>
      </c>
      <c r="I544" s="1" t="s">
        <v>62</v>
      </c>
      <c r="J544" s="7">
        <v>45669</v>
      </c>
      <c r="K544" s="2">
        <v>45700</v>
      </c>
      <c r="L544" s="1">
        <v>1</v>
      </c>
      <c r="M544" s="1" t="s">
        <v>56</v>
      </c>
      <c r="N544" s="1" t="s">
        <v>90</v>
      </c>
      <c r="O544" s="1">
        <v>65832.5</v>
      </c>
      <c r="P544" s="1">
        <v>4</v>
      </c>
      <c r="Q544" s="1" t="s">
        <v>29</v>
      </c>
    </row>
    <row r="545" spans="1:17">
      <c r="A545" s="1" t="s">
        <v>1107</v>
      </c>
      <c r="B545" s="1" t="s">
        <v>354</v>
      </c>
      <c r="C545" s="1">
        <v>66</v>
      </c>
      <c r="D545" s="1" t="s">
        <v>19</v>
      </c>
      <c r="E545" s="1" t="s">
        <v>20</v>
      </c>
      <c r="F545" s="1" t="s">
        <v>67</v>
      </c>
      <c r="G545" s="1" t="s">
        <v>132</v>
      </c>
      <c r="H545" s="1" t="s">
        <v>76</v>
      </c>
      <c r="I545" s="1" t="s">
        <v>24</v>
      </c>
      <c r="J545" s="7">
        <v>45635</v>
      </c>
      <c r="K545" s="1" t="s">
        <v>753</v>
      </c>
      <c r="L545" s="1">
        <v>8</v>
      </c>
      <c r="M545" s="1" t="s">
        <v>56</v>
      </c>
      <c r="N545" s="1" t="s">
        <v>85</v>
      </c>
      <c r="O545" s="1">
        <v>33105.14</v>
      </c>
      <c r="P545" s="1">
        <v>5</v>
      </c>
      <c r="Q545" s="1" t="s">
        <v>72</v>
      </c>
    </row>
    <row r="546" spans="1:17">
      <c r="A546" s="1" t="s">
        <v>1108</v>
      </c>
      <c r="B546" s="1" t="s">
        <v>391</v>
      </c>
      <c r="C546" s="1">
        <v>17</v>
      </c>
      <c r="D546" s="1" t="s">
        <v>43</v>
      </c>
      <c r="E546" s="1" t="s">
        <v>247</v>
      </c>
      <c r="F546" s="1" t="s">
        <v>33</v>
      </c>
      <c r="G546" s="1" t="s">
        <v>22</v>
      </c>
      <c r="H546" s="1" t="s">
        <v>99</v>
      </c>
      <c r="I546" s="1" t="s">
        <v>62</v>
      </c>
      <c r="J546" s="7">
        <v>45537</v>
      </c>
      <c r="K546" s="2">
        <v>45628</v>
      </c>
      <c r="L546" s="1">
        <v>3</v>
      </c>
      <c r="M546" s="1" t="s">
        <v>48</v>
      </c>
      <c r="N546" s="1" t="s">
        <v>90</v>
      </c>
      <c r="O546" s="1">
        <v>39765.74</v>
      </c>
      <c r="P546" s="1">
        <v>4</v>
      </c>
      <c r="Q546" s="1" t="s">
        <v>58</v>
      </c>
    </row>
    <row r="547" spans="1:17">
      <c r="A547" s="1" t="s">
        <v>1109</v>
      </c>
      <c r="B547" s="1" t="s">
        <v>593</v>
      </c>
      <c r="C547" s="1">
        <v>83</v>
      </c>
      <c r="D547" s="1" t="s">
        <v>19</v>
      </c>
      <c r="E547" s="1" t="s">
        <v>247</v>
      </c>
      <c r="F547" s="1" t="s">
        <v>21</v>
      </c>
      <c r="G547" s="1" t="s">
        <v>53</v>
      </c>
      <c r="H547" s="1" t="s">
        <v>76</v>
      </c>
      <c r="I547" s="1" t="s">
        <v>62</v>
      </c>
      <c r="J547" s="7">
        <v>45484</v>
      </c>
      <c r="K547" s="2">
        <v>45546</v>
      </c>
      <c r="L547" s="1">
        <v>2</v>
      </c>
      <c r="M547" s="1" t="s">
        <v>97</v>
      </c>
      <c r="N547" s="1" t="s">
        <v>82</v>
      </c>
      <c r="O547" s="1">
        <v>60225.45</v>
      </c>
      <c r="P547" s="1">
        <v>3</v>
      </c>
      <c r="Q547" s="1" t="s">
        <v>72</v>
      </c>
    </row>
    <row r="548" spans="1:17">
      <c r="A548" s="1" t="s">
        <v>1110</v>
      </c>
      <c r="B548" s="1" t="s">
        <v>1111</v>
      </c>
      <c r="C548" s="1">
        <v>56</v>
      </c>
      <c r="D548" s="1" t="s">
        <v>19</v>
      </c>
      <c r="E548" s="1" t="s">
        <v>247</v>
      </c>
      <c r="F548" s="1" t="s">
        <v>52</v>
      </c>
      <c r="G548" s="1" t="s">
        <v>22</v>
      </c>
      <c r="H548" s="1" t="s">
        <v>99</v>
      </c>
      <c r="I548" s="1" t="s">
        <v>62</v>
      </c>
      <c r="J548" s="7" t="s">
        <v>653</v>
      </c>
      <c r="K548" s="1" t="s">
        <v>286</v>
      </c>
      <c r="L548" s="1">
        <v>3</v>
      </c>
      <c r="M548" s="1" t="s">
        <v>27</v>
      </c>
      <c r="N548" s="1" t="s">
        <v>90</v>
      </c>
      <c r="O548" s="1">
        <v>61856.19</v>
      </c>
      <c r="P548" s="1">
        <v>5</v>
      </c>
      <c r="Q548" s="1" t="s">
        <v>40</v>
      </c>
    </row>
    <row r="549" spans="1:17">
      <c r="A549" s="1" t="s">
        <v>1112</v>
      </c>
      <c r="B549" s="1" t="s">
        <v>283</v>
      </c>
      <c r="C549" s="1">
        <v>31</v>
      </c>
      <c r="D549" s="1" t="s">
        <v>27</v>
      </c>
      <c r="E549" s="1" t="s">
        <v>20</v>
      </c>
      <c r="F549" s="1" t="s">
        <v>52</v>
      </c>
      <c r="G549" s="1" t="s">
        <v>22</v>
      </c>
      <c r="H549" s="1" t="s">
        <v>35</v>
      </c>
      <c r="I549" s="1" t="s">
        <v>62</v>
      </c>
      <c r="J549" s="7">
        <v>45545</v>
      </c>
      <c r="K549" s="1" t="s">
        <v>460</v>
      </c>
      <c r="L549" s="1">
        <v>5</v>
      </c>
      <c r="M549" s="1" t="s">
        <v>48</v>
      </c>
      <c r="N549" s="1" t="s">
        <v>28</v>
      </c>
      <c r="O549" s="1">
        <v>57957.78</v>
      </c>
      <c r="P549" s="1">
        <v>4</v>
      </c>
      <c r="Q549" s="1" t="s">
        <v>40</v>
      </c>
    </row>
    <row r="550" spans="1:17">
      <c r="A550" s="1" t="s">
        <v>1113</v>
      </c>
      <c r="B550" s="1" t="s">
        <v>384</v>
      </c>
      <c r="C550" s="1">
        <v>39</v>
      </c>
      <c r="D550" s="1" t="s">
        <v>27</v>
      </c>
      <c r="E550" s="1" t="s">
        <v>247</v>
      </c>
      <c r="F550" s="1" t="s">
        <v>33</v>
      </c>
      <c r="G550" s="1" t="s">
        <v>110</v>
      </c>
      <c r="H550" s="1" t="s">
        <v>61</v>
      </c>
      <c r="I550" s="1" t="s">
        <v>24</v>
      </c>
      <c r="J550" s="7" t="s">
        <v>1114</v>
      </c>
      <c r="K550" s="2">
        <v>45752</v>
      </c>
      <c r="L550" s="1">
        <v>4</v>
      </c>
      <c r="M550" s="1" t="s">
        <v>48</v>
      </c>
      <c r="N550" s="1" t="s">
        <v>57</v>
      </c>
      <c r="O550" s="1">
        <v>78273.14</v>
      </c>
      <c r="P550" s="1">
        <v>5</v>
      </c>
      <c r="Q550" s="1" t="s">
        <v>72</v>
      </c>
    </row>
    <row r="551" spans="1:17">
      <c r="A551" s="1" t="s">
        <v>1115</v>
      </c>
      <c r="B551" s="1" t="s">
        <v>830</v>
      </c>
      <c r="C551" s="1">
        <v>62</v>
      </c>
      <c r="D551" s="1" t="s">
        <v>43</v>
      </c>
      <c r="E551" s="1" t="s">
        <v>159</v>
      </c>
      <c r="F551" s="1" t="s">
        <v>52</v>
      </c>
      <c r="G551" s="1" t="s">
        <v>68</v>
      </c>
      <c r="H551" s="1" t="s">
        <v>99</v>
      </c>
      <c r="I551" s="1" t="s">
        <v>24</v>
      </c>
      <c r="J551" s="7" t="s">
        <v>467</v>
      </c>
      <c r="K551" s="1" t="s">
        <v>156</v>
      </c>
      <c r="L551" s="1">
        <v>2</v>
      </c>
      <c r="M551" s="1" t="s">
        <v>27</v>
      </c>
      <c r="N551" s="1" t="s">
        <v>28</v>
      </c>
      <c r="O551" s="1">
        <v>81773.61</v>
      </c>
      <c r="P551" s="1">
        <v>2</v>
      </c>
      <c r="Q551" s="1" t="s">
        <v>29</v>
      </c>
    </row>
    <row r="552" spans="1:17">
      <c r="A552" s="1" t="s">
        <v>1116</v>
      </c>
      <c r="B552" s="1" t="s">
        <v>954</v>
      </c>
      <c r="C552" s="1">
        <v>57</v>
      </c>
      <c r="D552" s="1" t="s">
        <v>27</v>
      </c>
      <c r="E552" s="1" t="s">
        <v>51</v>
      </c>
      <c r="F552" s="1" t="s">
        <v>33</v>
      </c>
      <c r="G552" s="1" t="s">
        <v>68</v>
      </c>
      <c r="H552" s="1" t="s">
        <v>61</v>
      </c>
      <c r="I552" s="1" t="s">
        <v>24</v>
      </c>
      <c r="J552" s="7" t="s">
        <v>601</v>
      </c>
      <c r="K552" s="2">
        <v>45779</v>
      </c>
      <c r="L552" s="1">
        <v>8</v>
      </c>
      <c r="M552" s="1" t="s">
        <v>27</v>
      </c>
      <c r="N552" s="1" t="s">
        <v>82</v>
      </c>
      <c r="O552" s="1">
        <v>31796.05</v>
      </c>
      <c r="P552" s="1">
        <v>3</v>
      </c>
      <c r="Q552" s="1" t="s">
        <v>40</v>
      </c>
    </row>
    <row r="553" spans="1:17">
      <c r="A553" s="1" t="s">
        <v>1117</v>
      </c>
      <c r="B553" s="1" t="s">
        <v>735</v>
      </c>
      <c r="C553" s="1">
        <v>29</v>
      </c>
      <c r="D553" s="1" t="s">
        <v>43</v>
      </c>
      <c r="E553" s="1" t="s">
        <v>117</v>
      </c>
      <c r="F553" s="1" t="s">
        <v>75</v>
      </c>
      <c r="G553" s="1" t="s">
        <v>34</v>
      </c>
      <c r="H553" s="1" t="s">
        <v>23</v>
      </c>
      <c r="I553" s="1" t="s">
        <v>24</v>
      </c>
      <c r="J553" s="7" t="s">
        <v>1118</v>
      </c>
      <c r="K553" s="1" t="s">
        <v>680</v>
      </c>
      <c r="L553" s="1">
        <v>4</v>
      </c>
      <c r="M553" s="1" t="s">
        <v>56</v>
      </c>
      <c r="N553" s="1" t="s">
        <v>39</v>
      </c>
      <c r="O553" s="1">
        <v>36301.769999999997</v>
      </c>
      <c r="P553" s="1">
        <v>3</v>
      </c>
      <c r="Q553" s="1" t="s">
        <v>29</v>
      </c>
    </row>
    <row r="554" spans="1:17">
      <c r="A554" s="1" t="s">
        <v>1119</v>
      </c>
      <c r="B554" s="1" t="s">
        <v>280</v>
      </c>
      <c r="C554" s="1">
        <v>69</v>
      </c>
      <c r="D554" s="1" t="s">
        <v>19</v>
      </c>
      <c r="E554" s="1" t="s">
        <v>44</v>
      </c>
      <c r="F554" s="1" t="s">
        <v>120</v>
      </c>
      <c r="G554" s="1" t="s">
        <v>53</v>
      </c>
      <c r="H554" s="1" t="s">
        <v>88</v>
      </c>
      <c r="I554" s="1" t="s">
        <v>62</v>
      </c>
      <c r="J554" s="7">
        <v>45323</v>
      </c>
      <c r="K554" s="2">
        <v>45413</v>
      </c>
      <c r="L554" s="1">
        <v>3</v>
      </c>
      <c r="M554" s="1" t="s">
        <v>48</v>
      </c>
      <c r="N554" s="1" t="s">
        <v>63</v>
      </c>
      <c r="O554" s="1">
        <v>33169.71</v>
      </c>
      <c r="P554" s="1">
        <v>4</v>
      </c>
      <c r="Q554" s="1" t="s">
        <v>72</v>
      </c>
    </row>
    <row r="555" spans="1:17">
      <c r="A555" s="1" t="s">
        <v>1120</v>
      </c>
      <c r="B555" s="1" t="s">
        <v>529</v>
      </c>
      <c r="C555" s="1">
        <v>46</v>
      </c>
      <c r="D555" s="1" t="s">
        <v>19</v>
      </c>
      <c r="E555" s="1" t="s">
        <v>159</v>
      </c>
      <c r="F555" s="1" t="s">
        <v>21</v>
      </c>
      <c r="G555" s="1" t="s">
        <v>22</v>
      </c>
      <c r="H555" s="1" t="s">
        <v>76</v>
      </c>
      <c r="I555" s="1" t="s">
        <v>62</v>
      </c>
      <c r="J555" s="7" t="s">
        <v>532</v>
      </c>
      <c r="K555" s="1" t="s">
        <v>359</v>
      </c>
      <c r="L555" s="1">
        <v>6</v>
      </c>
      <c r="M555" s="1" t="s">
        <v>38</v>
      </c>
      <c r="N555" s="1" t="s">
        <v>85</v>
      </c>
      <c r="O555" s="1">
        <v>81032.91</v>
      </c>
      <c r="P555" s="1">
        <v>3</v>
      </c>
      <c r="Q555" s="1" t="s">
        <v>58</v>
      </c>
    </row>
    <row r="556" spans="1:17">
      <c r="A556" s="1" t="s">
        <v>1121</v>
      </c>
      <c r="B556" s="1" t="s">
        <v>570</v>
      </c>
      <c r="C556" s="1">
        <v>20</v>
      </c>
      <c r="D556" s="1" t="s">
        <v>43</v>
      </c>
      <c r="E556" s="1" t="s">
        <v>44</v>
      </c>
      <c r="F556" s="1" t="s">
        <v>33</v>
      </c>
      <c r="G556" s="1" t="s">
        <v>104</v>
      </c>
      <c r="H556" s="1" t="s">
        <v>45</v>
      </c>
      <c r="I556" s="1" t="s">
        <v>24</v>
      </c>
      <c r="J556" s="7" t="s">
        <v>1122</v>
      </c>
      <c r="K556" s="2">
        <v>45300</v>
      </c>
      <c r="L556" s="1">
        <v>7</v>
      </c>
      <c r="M556" s="1" t="s">
        <v>56</v>
      </c>
      <c r="N556" s="1" t="s">
        <v>63</v>
      </c>
      <c r="O556" s="1">
        <v>48205.17</v>
      </c>
      <c r="P556" s="1">
        <v>4</v>
      </c>
      <c r="Q556" s="1" t="s">
        <v>40</v>
      </c>
    </row>
    <row r="557" spans="1:17">
      <c r="A557" s="1" t="s">
        <v>1123</v>
      </c>
      <c r="B557" s="1" t="s">
        <v>335</v>
      </c>
      <c r="C557" s="1">
        <v>3</v>
      </c>
      <c r="D557" s="1" t="s">
        <v>43</v>
      </c>
      <c r="E557" s="1" t="s">
        <v>32</v>
      </c>
      <c r="F557" s="1" t="s">
        <v>52</v>
      </c>
      <c r="G557" s="1" t="s">
        <v>132</v>
      </c>
      <c r="H557" s="1" t="s">
        <v>45</v>
      </c>
      <c r="I557" s="1" t="s">
        <v>24</v>
      </c>
      <c r="J557" s="7" t="s">
        <v>1124</v>
      </c>
      <c r="K557" s="1" t="s">
        <v>706</v>
      </c>
      <c r="L557" s="1">
        <v>9</v>
      </c>
      <c r="M557" s="1" t="s">
        <v>56</v>
      </c>
      <c r="N557" s="1" t="s">
        <v>63</v>
      </c>
      <c r="O557" s="1">
        <v>28096.42</v>
      </c>
      <c r="P557" s="1">
        <v>4</v>
      </c>
      <c r="Q557" s="1" t="s">
        <v>72</v>
      </c>
    </row>
    <row r="558" spans="1:17">
      <c r="A558" s="1" t="s">
        <v>1125</v>
      </c>
      <c r="B558" s="1" t="s">
        <v>259</v>
      </c>
      <c r="C558" s="1">
        <v>78</v>
      </c>
      <c r="D558" s="1" t="s">
        <v>19</v>
      </c>
      <c r="E558" s="1" t="s">
        <v>202</v>
      </c>
      <c r="F558" s="1" t="s">
        <v>75</v>
      </c>
      <c r="G558" s="1" t="s">
        <v>34</v>
      </c>
      <c r="H558" s="1" t="s">
        <v>35</v>
      </c>
      <c r="I558" s="1" t="s">
        <v>24</v>
      </c>
      <c r="J558" s="7" t="s">
        <v>854</v>
      </c>
      <c r="K558" s="1" t="s">
        <v>665</v>
      </c>
      <c r="L558" s="1">
        <v>1</v>
      </c>
      <c r="M558" s="1" t="s">
        <v>38</v>
      </c>
      <c r="N558" s="1" t="s">
        <v>39</v>
      </c>
      <c r="O558" s="1">
        <v>38421.629999999997</v>
      </c>
      <c r="P558" s="1">
        <v>3</v>
      </c>
      <c r="Q558" s="1" t="s">
        <v>72</v>
      </c>
    </row>
    <row r="559" spans="1:17">
      <c r="A559" s="1" t="s">
        <v>1126</v>
      </c>
      <c r="B559" s="1" t="s">
        <v>565</v>
      </c>
      <c r="C559" s="1">
        <v>26</v>
      </c>
      <c r="D559" s="1" t="s">
        <v>19</v>
      </c>
      <c r="E559" s="1" t="s">
        <v>51</v>
      </c>
      <c r="F559" s="1" t="s">
        <v>75</v>
      </c>
      <c r="G559" s="1" t="s">
        <v>68</v>
      </c>
      <c r="H559" s="1" t="s">
        <v>88</v>
      </c>
      <c r="I559" s="1" t="s">
        <v>36</v>
      </c>
      <c r="J559" s="7">
        <v>45813</v>
      </c>
      <c r="K559" s="1" t="s">
        <v>232</v>
      </c>
      <c r="L559" s="1">
        <v>13</v>
      </c>
      <c r="M559" s="1" t="s">
        <v>48</v>
      </c>
      <c r="N559" s="1" t="s">
        <v>28</v>
      </c>
      <c r="O559" s="1">
        <v>58700.39</v>
      </c>
      <c r="P559" s="1">
        <v>3</v>
      </c>
      <c r="Q559" s="1" t="s">
        <v>40</v>
      </c>
    </row>
    <row r="560" spans="1:17">
      <c r="A560" s="1" t="s">
        <v>1127</v>
      </c>
      <c r="B560" s="1" t="s">
        <v>221</v>
      </c>
      <c r="C560" s="1">
        <v>14</v>
      </c>
      <c r="D560" s="1" t="s">
        <v>27</v>
      </c>
      <c r="E560" s="1" t="s">
        <v>66</v>
      </c>
      <c r="F560" s="1" t="s">
        <v>75</v>
      </c>
      <c r="G560" s="1" t="s">
        <v>53</v>
      </c>
      <c r="H560" s="1" t="s">
        <v>105</v>
      </c>
      <c r="I560" s="1" t="s">
        <v>36</v>
      </c>
      <c r="J560" s="7">
        <v>45660</v>
      </c>
      <c r="K560" s="2">
        <v>45719</v>
      </c>
      <c r="L560" s="1">
        <v>2</v>
      </c>
      <c r="M560" s="1" t="s">
        <v>48</v>
      </c>
      <c r="N560" s="1" t="s">
        <v>82</v>
      </c>
      <c r="O560" s="1">
        <v>56725.31</v>
      </c>
      <c r="P560" s="1">
        <v>4</v>
      </c>
      <c r="Q560" s="1" t="s">
        <v>40</v>
      </c>
    </row>
    <row r="561" spans="1:17">
      <c r="A561" s="1" t="s">
        <v>1128</v>
      </c>
      <c r="B561" s="1" t="s">
        <v>644</v>
      </c>
      <c r="C561" s="1">
        <v>10</v>
      </c>
      <c r="D561" s="1" t="s">
        <v>27</v>
      </c>
      <c r="E561" s="1" t="s">
        <v>44</v>
      </c>
      <c r="F561" s="1" t="s">
        <v>21</v>
      </c>
      <c r="G561" s="1" t="s">
        <v>22</v>
      </c>
      <c r="H561" s="1" t="s">
        <v>99</v>
      </c>
      <c r="I561" s="1" t="s">
        <v>24</v>
      </c>
      <c r="J561" s="7">
        <v>45485</v>
      </c>
      <c r="K561" s="2">
        <v>45577</v>
      </c>
      <c r="L561" s="1">
        <v>3</v>
      </c>
      <c r="M561" s="1" t="s">
        <v>97</v>
      </c>
      <c r="N561" s="1" t="s">
        <v>85</v>
      </c>
      <c r="O561" s="1">
        <v>56128.97</v>
      </c>
      <c r="P561" s="1">
        <v>3</v>
      </c>
      <c r="Q561" s="1" t="s">
        <v>40</v>
      </c>
    </row>
    <row r="562" spans="1:17">
      <c r="A562" s="1" t="s">
        <v>1129</v>
      </c>
      <c r="B562" s="1" t="s">
        <v>190</v>
      </c>
      <c r="C562" s="1">
        <v>80</v>
      </c>
      <c r="D562" s="1" t="s">
        <v>43</v>
      </c>
      <c r="E562" s="1" t="s">
        <v>66</v>
      </c>
      <c r="F562" s="1" t="s">
        <v>120</v>
      </c>
      <c r="G562" s="1" t="s">
        <v>53</v>
      </c>
      <c r="H562" s="1" t="s">
        <v>105</v>
      </c>
      <c r="I562" s="1" t="s">
        <v>36</v>
      </c>
      <c r="J562" s="7" t="s">
        <v>217</v>
      </c>
      <c r="K562" s="1" t="s">
        <v>580</v>
      </c>
      <c r="L562" s="1">
        <v>2</v>
      </c>
      <c r="M562" s="1" t="s">
        <v>97</v>
      </c>
      <c r="N562" s="1" t="s">
        <v>57</v>
      </c>
      <c r="O562" s="1">
        <v>130988.36</v>
      </c>
      <c r="P562" s="1">
        <v>2</v>
      </c>
      <c r="Q562" s="1" t="s">
        <v>58</v>
      </c>
    </row>
    <row r="563" spans="1:17">
      <c r="A563" s="1" t="s">
        <v>1130</v>
      </c>
      <c r="B563" s="1" t="s">
        <v>275</v>
      </c>
      <c r="C563" s="1">
        <v>9</v>
      </c>
      <c r="D563" s="1" t="s">
        <v>19</v>
      </c>
      <c r="E563" s="1" t="s">
        <v>66</v>
      </c>
      <c r="F563" s="1" t="s">
        <v>52</v>
      </c>
      <c r="G563" s="1" t="s">
        <v>110</v>
      </c>
      <c r="H563" s="1" t="s">
        <v>76</v>
      </c>
      <c r="I563" s="1" t="s">
        <v>36</v>
      </c>
      <c r="J563" s="7" t="s">
        <v>277</v>
      </c>
      <c r="K563" s="1" t="s">
        <v>382</v>
      </c>
      <c r="L563" s="1">
        <v>1</v>
      </c>
      <c r="M563" s="1" t="s">
        <v>97</v>
      </c>
      <c r="N563" s="1" t="s">
        <v>57</v>
      </c>
      <c r="O563" s="1">
        <v>62074.94</v>
      </c>
      <c r="P563" s="1">
        <v>4</v>
      </c>
      <c r="Q563" s="1" t="s">
        <v>58</v>
      </c>
    </row>
    <row r="564" spans="1:17">
      <c r="A564" s="1" t="s">
        <v>1131</v>
      </c>
      <c r="B564" s="1" t="s">
        <v>674</v>
      </c>
      <c r="C564" s="1">
        <v>69</v>
      </c>
      <c r="D564" s="1" t="s">
        <v>27</v>
      </c>
      <c r="E564" s="1" t="s">
        <v>20</v>
      </c>
      <c r="F564" s="1" t="s">
        <v>120</v>
      </c>
      <c r="G564" s="1" t="s">
        <v>22</v>
      </c>
      <c r="H564" s="1" t="s">
        <v>69</v>
      </c>
      <c r="I564" s="1" t="s">
        <v>36</v>
      </c>
      <c r="J564" s="7" t="s">
        <v>232</v>
      </c>
      <c r="K564" s="1" t="s">
        <v>577</v>
      </c>
      <c r="L564" s="1">
        <v>4</v>
      </c>
      <c r="M564" s="1" t="s">
        <v>56</v>
      </c>
      <c r="N564" s="1" t="s">
        <v>39</v>
      </c>
      <c r="O564" s="1">
        <v>64189.24</v>
      </c>
      <c r="P564" s="1">
        <v>4</v>
      </c>
      <c r="Q564" s="1" t="s">
        <v>72</v>
      </c>
    </row>
    <row r="565" spans="1:17">
      <c r="A565" s="1" t="s">
        <v>1132</v>
      </c>
      <c r="B565" s="1" t="s">
        <v>128</v>
      </c>
      <c r="C565" s="1">
        <v>47</v>
      </c>
      <c r="D565" s="1" t="s">
        <v>27</v>
      </c>
      <c r="E565" s="1" t="s">
        <v>20</v>
      </c>
      <c r="F565" s="1" t="s">
        <v>21</v>
      </c>
      <c r="G565" s="1" t="s">
        <v>110</v>
      </c>
      <c r="H565" s="1" t="s">
        <v>105</v>
      </c>
      <c r="I565" s="1" t="s">
        <v>36</v>
      </c>
      <c r="J565" s="7" t="s">
        <v>1114</v>
      </c>
      <c r="K565" s="2">
        <v>45721</v>
      </c>
      <c r="L565" s="1">
        <v>3</v>
      </c>
      <c r="M565" s="1" t="s">
        <v>56</v>
      </c>
      <c r="N565" s="1" t="s">
        <v>28</v>
      </c>
      <c r="O565" s="1">
        <v>89015.06</v>
      </c>
      <c r="P565" s="1">
        <v>4</v>
      </c>
      <c r="Q565" s="1" t="s">
        <v>29</v>
      </c>
    </row>
    <row r="566" spans="1:17">
      <c r="A566" s="1" t="s">
        <v>1133</v>
      </c>
      <c r="B566" s="1" t="s">
        <v>190</v>
      </c>
      <c r="C566" s="1">
        <v>49</v>
      </c>
      <c r="D566" s="1" t="s">
        <v>27</v>
      </c>
      <c r="E566" s="1" t="s">
        <v>247</v>
      </c>
      <c r="F566" s="1" t="s">
        <v>21</v>
      </c>
      <c r="G566" s="1" t="s">
        <v>22</v>
      </c>
      <c r="H566" s="1" t="s">
        <v>93</v>
      </c>
      <c r="I566" s="1" t="s">
        <v>36</v>
      </c>
      <c r="J566" s="7" t="s">
        <v>351</v>
      </c>
      <c r="K566" s="2">
        <v>45324</v>
      </c>
      <c r="L566" s="1">
        <v>6</v>
      </c>
      <c r="M566" s="1" t="s">
        <v>56</v>
      </c>
      <c r="N566" s="1" t="s">
        <v>28</v>
      </c>
      <c r="O566" s="1">
        <v>73132.92</v>
      </c>
      <c r="P566" s="1">
        <v>5</v>
      </c>
      <c r="Q566" s="1" t="s">
        <v>72</v>
      </c>
    </row>
    <row r="567" spans="1:17">
      <c r="A567" s="1" t="s">
        <v>1134</v>
      </c>
      <c r="B567" s="1" t="s">
        <v>324</v>
      </c>
      <c r="C567" s="1">
        <v>73</v>
      </c>
      <c r="D567" s="1" t="s">
        <v>43</v>
      </c>
      <c r="E567" s="1" t="s">
        <v>32</v>
      </c>
      <c r="F567" s="1" t="s">
        <v>21</v>
      </c>
      <c r="G567" s="1" t="s">
        <v>68</v>
      </c>
      <c r="H567" s="1" t="s">
        <v>93</v>
      </c>
      <c r="I567" s="1" t="s">
        <v>36</v>
      </c>
      <c r="J567" s="7">
        <v>45328</v>
      </c>
      <c r="K567" s="2">
        <v>45449</v>
      </c>
      <c r="L567" s="1">
        <v>4</v>
      </c>
      <c r="M567" s="1" t="s">
        <v>48</v>
      </c>
      <c r="N567" s="1" t="s">
        <v>90</v>
      </c>
      <c r="O567" s="1">
        <v>42041.14</v>
      </c>
      <c r="P567" s="1">
        <v>4</v>
      </c>
      <c r="Q567" s="1" t="s">
        <v>29</v>
      </c>
    </row>
    <row r="568" spans="1:17">
      <c r="A568" s="1" t="s">
        <v>1135</v>
      </c>
      <c r="B568" s="1" t="s">
        <v>659</v>
      </c>
      <c r="C568" s="1">
        <v>65</v>
      </c>
      <c r="D568" s="1" t="s">
        <v>19</v>
      </c>
      <c r="E568" s="1" t="s">
        <v>20</v>
      </c>
      <c r="F568" s="1" t="s">
        <v>33</v>
      </c>
      <c r="G568" s="1" t="s">
        <v>104</v>
      </c>
      <c r="H568" s="1" t="s">
        <v>23</v>
      </c>
      <c r="I568" s="1" t="s">
        <v>36</v>
      </c>
      <c r="J568" s="7">
        <v>45627</v>
      </c>
      <c r="K568" s="1" t="s">
        <v>445</v>
      </c>
      <c r="L568" s="1">
        <v>10</v>
      </c>
      <c r="M568" s="1" t="s">
        <v>38</v>
      </c>
      <c r="N568" s="1" t="s">
        <v>28</v>
      </c>
      <c r="O568" s="1">
        <v>79915.87</v>
      </c>
      <c r="P568" s="1">
        <v>3</v>
      </c>
      <c r="Q568" s="1" t="s">
        <v>58</v>
      </c>
    </row>
    <row r="569" spans="1:17">
      <c r="A569" s="1" t="s">
        <v>1136</v>
      </c>
      <c r="B569" s="1" t="s">
        <v>519</v>
      </c>
      <c r="C569" s="1">
        <v>17</v>
      </c>
      <c r="D569" s="1" t="s">
        <v>27</v>
      </c>
      <c r="E569" s="1" t="s">
        <v>137</v>
      </c>
      <c r="F569" s="1" t="s">
        <v>33</v>
      </c>
      <c r="G569" s="1" t="s">
        <v>110</v>
      </c>
      <c r="H569" s="1" t="s">
        <v>23</v>
      </c>
      <c r="I569" s="1" t="s">
        <v>36</v>
      </c>
      <c r="J569" s="7">
        <v>45390</v>
      </c>
      <c r="K569" s="2">
        <v>45543</v>
      </c>
      <c r="L569" s="1">
        <v>5</v>
      </c>
      <c r="M569" s="1" t="s">
        <v>48</v>
      </c>
      <c r="N569" s="1" t="s">
        <v>39</v>
      </c>
      <c r="O569" s="1">
        <v>71308.539999999994</v>
      </c>
      <c r="P569" s="1">
        <v>4</v>
      </c>
      <c r="Q569" s="1" t="s">
        <v>40</v>
      </c>
    </row>
    <row r="570" spans="1:17">
      <c r="A570" s="1" t="s">
        <v>1137</v>
      </c>
      <c r="B570" s="1" t="s">
        <v>954</v>
      </c>
      <c r="C570" s="1">
        <v>83</v>
      </c>
      <c r="D570" s="1" t="s">
        <v>43</v>
      </c>
      <c r="E570" s="1" t="s">
        <v>117</v>
      </c>
      <c r="F570" s="1" t="s">
        <v>21</v>
      </c>
      <c r="G570" s="1" t="s">
        <v>53</v>
      </c>
      <c r="H570" s="1" t="s">
        <v>99</v>
      </c>
      <c r="I570" s="1" t="s">
        <v>24</v>
      </c>
      <c r="J570" s="7" t="s">
        <v>415</v>
      </c>
      <c r="K570" s="1" t="s">
        <v>1138</v>
      </c>
      <c r="L570" s="1">
        <v>1</v>
      </c>
      <c r="M570" s="1" t="s">
        <v>56</v>
      </c>
      <c r="N570" s="1" t="s">
        <v>63</v>
      </c>
      <c r="O570" s="1">
        <v>39702.01</v>
      </c>
      <c r="P570" s="1">
        <v>2</v>
      </c>
      <c r="Q570" s="1" t="s">
        <v>72</v>
      </c>
    </row>
    <row r="571" spans="1:17">
      <c r="A571" s="1" t="s">
        <v>1139</v>
      </c>
      <c r="B571" s="1" t="s">
        <v>396</v>
      </c>
      <c r="C571" s="1">
        <v>31</v>
      </c>
      <c r="D571" s="1" t="s">
        <v>43</v>
      </c>
      <c r="E571" s="1" t="s">
        <v>247</v>
      </c>
      <c r="F571" s="1" t="s">
        <v>120</v>
      </c>
      <c r="G571" s="1" t="s">
        <v>104</v>
      </c>
      <c r="H571" s="1" t="s">
        <v>99</v>
      </c>
      <c r="I571" s="1" t="s">
        <v>62</v>
      </c>
      <c r="J571" s="7" t="s">
        <v>1140</v>
      </c>
      <c r="K571" s="2">
        <v>45326</v>
      </c>
      <c r="L571" s="1">
        <v>5</v>
      </c>
      <c r="M571" s="1" t="s">
        <v>27</v>
      </c>
      <c r="N571" s="1" t="s">
        <v>85</v>
      </c>
      <c r="O571" s="1">
        <v>15507.57</v>
      </c>
      <c r="P571" s="1">
        <v>2</v>
      </c>
      <c r="Q571" s="1" t="s">
        <v>40</v>
      </c>
    </row>
    <row r="572" spans="1:17">
      <c r="A572" s="1" t="s">
        <v>1141</v>
      </c>
      <c r="B572" s="1" t="s">
        <v>636</v>
      </c>
      <c r="C572" s="1">
        <v>51</v>
      </c>
      <c r="D572" s="1" t="s">
        <v>27</v>
      </c>
      <c r="E572" s="1" t="s">
        <v>44</v>
      </c>
      <c r="F572" s="1" t="s">
        <v>33</v>
      </c>
      <c r="G572" s="1" t="s">
        <v>36</v>
      </c>
      <c r="H572" s="1" t="s">
        <v>23</v>
      </c>
      <c r="I572" s="1" t="s">
        <v>62</v>
      </c>
      <c r="J572" s="7" t="s">
        <v>449</v>
      </c>
      <c r="K572" s="2">
        <v>45809</v>
      </c>
      <c r="L572" s="1">
        <v>7</v>
      </c>
      <c r="M572" s="1" t="s">
        <v>27</v>
      </c>
      <c r="N572" s="1" t="s">
        <v>39</v>
      </c>
      <c r="O572" s="1">
        <v>19373.21</v>
      </c>
      <c r="P572" s="1">
        <v>5</v>
      </c>
      <c r="Q572" s="1" t="s">
        <v>72</v>
      </c>
    </row>
    <row r="573" spans="1:17">
      <c r="A573" s="1" t="s">
        <v>1142</v>
      </c>
      <c r="B573" s="1" t="s">
        <v>261</v>
      </c>
      <c r="C573" s="1">
        <v>38</v>
      </c>
      <c r="D573" s="1" t="s">
        <v>19</v>
      </c>
      <c r="E573" s="1" t="s">
        <v>51</v>
      </c>
      <c r="F573" s="1" t="s">
        <v>67</v>
      </c>
      <c r="G573" s="1" t="s">
        <v>22</v>
      </c>
      <c r="H573" s="1" t="s">
        <v>61</v>
      </c>
      <c r="I573" s="1" t="s">
        <v>24</v>
      </c>
      <c r="J573" s="7">
        <v>45388</v>
      </c>
      <c r="K573" s="2">
        <v>45510</v>
      </c>
      <c r="L573" s="1">
        <v>4</v>
      </c>
      <c r="M573" s="1" t="s">
        <v>27</v>
      </c>
      <c r="N573" s="1" t="s">
        <v>63</v>
      </c>
      <c r="O573" s="1">
        <v>76561.350000000006</v>
      </c>
      <c r="P573" s="1">
        <v>5</v>
      </c>
      <c r="Q573" s="1" t="s">
        <v>40</v>
      </c>
    </row>
    <row r="574" spans="1:17">
      <c r="A574" s="1" t="s">
        <v>1143</v>
      </c>
      <c r="B574" s="1" t="s">
        <v>172</v>
      </c>
      <c r="C574" s="1">
        <v>58</v>
      </c>
      <c r="D574" s="1" t="s">
        <v>19</v>
      </c>
      <c r="E574" s="1" t="s">
        <v>20</v>
      </c>
      <c r="F574" s="1" t="s">
        <v>67</v>
      </c>
      <c r="G574" s="1" t="s">
        <v>36</v>
      </c>
      <c r="H574" s="1" t="s">
        <v>99</v>
      </c>
      <c r="I574" s="1" t="s">
        <v>24</v>
      </c>
      <c r="J574" s="7" t="s">
        <v>1144</v>
      </c>
      <c r="K574" s="1" t="s">
        <v>888</v>
      </c>
      <c r="L574" s="1">
        <v>3</v>
      </c>
      <c r="M574" s="1" t="s">
        <v>48</v>
      </c>
      <c r="N574" s="1" t="s">
        <v>85</v>
      </c>
      <c r="O574" s="1">
        <v>77019.63</v>
      </c>
      <c r="P574" s="1">
        <v>5</v>
      </c>
      <c r="Q574" s="1" t="s">
        <v>58</v>
      </c>
    </row>
    <row r="575" spans="1:17">
      <c r="A575" s="1" t="s">
        <v>1145</v>
      </c>
      <c r="B575" s="1" t="s">
        <v>310</v>
      </c>
      <c r="C575" s="1">
        <v>13</v>
      </c>
      <c r="D575" s="1" t="s">
        <v>19</v>
      </c>
      <c r="E575" s="1" t="s">
        <v>32</v>
      </c>
      <c r="F575" s="1" t="s">
        <v>120</v>
      </c>
      <c r="G575" s="1" t="s">
        <v>22</v>
      </c>
      <c r="H575" s="1" t="s">
        <v>93</v>
      </c>
      <c r="I575" s="1" t="s">
        <v>24</v>
      </c>
      <c r="J575" s="7" t="s">
        <v>1146</v>
      </c>
      <c r="K575" s="1" t="s">
        <v>1019</v>
      </c>
      <c r="L575" s="1">
        <v>4</v>
      </c>
      <c r="M575" s="1" t="s">
        <v>38</v>
      </c>
      <c r="N575" s="1" t="s">
        <v>82</v>
      </c>
      <c r="O575" s="1">
        <v>18870.32</v>
      </c>
      <c r="P575" s="1">
        <v>3</v>
      </c>
      <c r="Q575" s="1" t="s">
        <v>72</v>
      </c>
    </row>
    <row r="576" spans="1:17">
      <c r="A576" s="1" t="s">
        <v>1147</v>
      </c>
      <c r="B576" s="1" t="s">
        <v>221</v>
      </c>
      <c r="C576" s="1">
        <v>10</v>
      </c>
      <c r="D576" s="1" t="s">
        <v>19</v>
      </c>
      <c r="E576" s="1" t="s">
        <v>202</v>
      </c>
      <c r="F576" s="1" t="s">
        <v>120</v>
      </c>
      <c r="G576" s="1" t="s">
        <v>68</v>
      </c>
      <c r="H576" s="1" t="s">
        <v>93</v>
      </c>
      <c r="I576" s="1" t="s">
        <v>62</v>
      </c>
      <c r="J576" s="7" t="s">
        <v>634</v>
      </c>
      <c r="K576" s="1" t="s">
        <v>680</v>
      </c>
      <c r="L576" s="1">
        <v>2</v>
      </c>
      <c r="M576" s="1" t="s">
        <v>97</v>
      </c>
      <c r="N576" s="1" t="s">
        <v>57</v>
      </c>
      <c r="O576" s="1">
        <v>59471.32</v>
      </c>
      <c r="P576" s="1">
        <v>3</v>
      </c>
      <c r="Q576" s="1" t="s">
        <v>29</v>
      </c>
    </row>
    <row r="577" spans="1:17">
      <c r="A577" s="1" t="s">
        <v>1148</v>
      </c>
      <c r="B577" s="1" t="s">
        <v>574</v>
      </c>
      <c r="C577" s="1">
        <v>57</v>
      </c>
      <c r="D577" s="1" t="s">
        <v>43</v>
      </c>
      <c r="E577" s="1" t="s">
        <v>66</v>
      </c>
      <c r="F577" s="1" t="s">
        <v>75</v>
      </c>
      <c r="G577" s="1" t="s">
        <v>68</v>
      </c>
      <c r="H577" s="1" t="s">
        <v>99</v>
      </c>
      <c r="I577" s="1" t="s">
        <v>62</v>
      </c>
      <c r="J577" s="7">
        <v>45875</v>
      </c>
      <c r="K577" s="1" t="s">
        <v>346</v>
      </c>
      <c r="L577" s="1">
        <v>6</v>
      </c>
      <c r="M577" s="1" t="s">
        <v>97</v>
      </c>
      <c r="N577" s="1" t="s">
        <v>85</v>
      </c>
      <c r="O577" s="1">
        <v>57304.800000000003</v>
      </c>
      <c r="P577" s="1">
        <v>4</v>
      </c>
      <c r="Q577" s="1" t="s">
        <v>58</v>
      </c>
    </row>
    <row r="578" spans="1:17">
      <c r="A578" s="1" t="s">
        <v>1149</v>
      </c>
      <c r="B578" s="1" t="s">
        <v>50</v>
      </c>
      <c r="C578" s="1">
        <v>10</v>
      </c>
      <c r="D578" s="1" t="s">
        <v>19</v>
      </c>
      <c r="E578" s="1" t="s">
        <v>32</v>
      </c>
      <c r="F578" s="1" t="s">
        <v>33</v>
      </c>
      <c r="G578" s="1" t="s">
        <v>104</v>
      </c>
      <c r="H578" s="1" t="s">
        <v>23</v>
      </c>
      <c r="I578" s="1" t="s">
        <v>62</v>
      </c>
      <c r="J578" s="7">
        <v>45659</v>
      </c>
      <c r="K578" s="2">
        <v>45840</v>
      </c>
      <c r="L578" s="1">
        <v>6</v>
      </c>
      <c r="M578" s="1" t="s">
        <v>56</v>
      </c>
      <c r="N578" s="1" t="s">
        <v>57</v>
      </c>
      <c r="O578" s="1">
        <v>77709.240000000005</v>
      </c>
      <c r="P578" s="1">
        <v>4</v>
      </c>
      <c r="Q578" s="1" t="s">
        <v>40</v>
      </c>
    </row>
    <row r="579" spans="1:17">
      <c r="A579" s="1" t="s">
        <v>1150</v>
      </c>
      <c r="B579" s="1" t="s">
        <v>169</v>
      </c>
      <c r="C579" s="1">
        <v>9</v>
      </c>
      <c r="D579" s="1" t="s">
        <v>43</v>
      </c>
      <c r="E579" s="1" t="s">
        <v>66</v>
      </c>
      <c r="F579" s="1" t="s">
        <v>52</v>
      </c>
      <c r="G579" s="1" t="s">
        <v>104</v>
      </c>
      <c r="H579" s="1" t="s">
        <v>45</v>
      </c>
      <c r="I579" s="1" t="s">
        <v>36</v>
      </c>
      <c r="J579" s="7" t="s">
        <v>888</v>
      </c>
      <c r="K579" s="1" t="s">
        <v>447</v>
      </c>
      <c r="L579" s="1">
        <v>4</v>
      </c>
      <c r="M579" s="1" t="s">
        <v>38</v>
      </c>
      <c r="N579" s="1" t="s">
        <v>90</v>
      </c>
      <c r="O579" s="1">
        <v>32321.38</v>
      </c>
      <c r="P579" s="1">
        <v>1</v>
      </c>
      <c r="Q579" s="1" t="s">
        <v>72</v>
      </c>
    </row>
    <row r="580" spans="1:17">
      <c r="A580" s="1" t="s">
        <v>1151</v>
      </c>
      <c r="B580" s="1" t="s">
        <v>709</v>
      </c>
      <c r="C580" s="1">
        <v>77</v>
      </c>
      <c r="D580" s="1" t="s">
        <v>43</v>
      </c>
      <c r="E580" s="1" t="s">
        <v>117</v>
      </c>
      <c r="F580" s="1" t="s">
        <v>52</v>
      </c>
      <c r="G580" s="1" t="s">
        <v>132</v>
      </c>
      <c r="H580" s="1" t="s">
        <v>99</v>
      </c>
      <c r="I580" s="1" t="s">
        <v>36</v>
      </c>
      <c r="J580" s="7">
        <v>45385</v>
      </c>
      <c r="K580" s="1" t="s">
        <v>300</v>
      </c>
      <c r="L580" s="1">
        <v>9</v>
      </c>
      <c r="M580" s="1" t="s">
        <v>48</v>
      </c>
      <c r="N580" s="1" t="s">
        <v>85</v>
      </c>
      <c r="O580" s="1">
        <v>34298.730000000003</v>
      </c>
      <c r="P580" s="1">
        <v>1</v>
      </c>
      <c r="Q580" s="1" t="s">
        <v>72</v>
      </c>
    </row>
    <row r="581" spans="1:17">
      <c r="A581" s="1" t="s">
        <v>1152</v>
      </c>
      <c r="B581" s="1" t="s">
        <v>275</v>
      </c>
      <c r="C581" s="1">
        <v>36</v>
      </c>
      <c r="D581" s="1" t="s">
        <v>43</v>
      </c>
      <c r="E581" s="1" t="s">
        <v>117</v>
      </c>
      <c r="F581" s="1" t="s">
        <v>21</v>
      </c>
      <c r="G581" s="1" t="s">
        <v>68</v>
      </c>
      <c r="H581" s="1" t="s">
        <v>35</v>
      </c>
      <c r="I581" s="1" t="s">
        <v>36</v>
      </c>
      <c r="J581" s="7" t="s">
        <v>1153</v>
      </c>
      <c r="K581" s="1" t="s">
        <v>929</v>
      </c>
      <c r="L581" s="1">
        <v>3</v>
      </c>
      <c r="M581" s="1" t="s">
        <v>38</v>
      </c>
      <c r="N581" s="1" t="s">
        <v>57</v>
      </c>
      <c r="O581" s="1">
        <v>72630.080000000002</v>
      </c>
      <c r="P581" s="1">
        <v>2</v>
      </c>
      <c r="Q581" s="1" t="s">
        <v>58</v>
      </c>
    </row>
    <row r="582" spans="1:17">
      <c r="A582" s="1" t="s">
        <v>1154</v>
      </c>
      <c r="B582" s="1" t="s">
        <v>1111</v>
      </c>
      <c r="C582" s="1">
        <v>61</v>
      </c>
      <c r="D582" s="1" t="s">
        <v>27</v>
      </c>
      <c r="E582" s="1" t="s">
        <v>247</v>
      </c>
      <c r="F582" s="1" t="s">
        <v>75</v>
      </c>
      <c r="G582" s="1" t="s">
        <v>132</v>
      </c>
      <c r="H582" s="1" t="s">
        <v>45</v>
      </c>
      <c r="I582" s="1" t="s">
        <v>36</v>
      </c>
      <c r="J582" s="7">
        <v>45820</v>
      </c>
      <c r="K582" s="1" t="s">
        <v>1155</v>
      </c>
      <c r="L582" s="1">
        <v>10</v>
      </c>
      <c r="M582" s="1" t="s">
        <v>97</v>
      </c>
      <c r="N582" s="1" t="s">
        <v>85</v>
      </c>
      <c r="O582" s="1">
        <v>80948.539999999994</v>
      </c>
      <c r="P582" s="1">
        <v>4</v>
      </c>
      <c r="Q582" s="1" t="s">
        <v>58</v>
      </c>
    </row>
    <row r="583" spans="1:17">
      <c r="A583" s="1" t="s">
        <v>1156</v>
      </c>
      <c r="B583" s="1" t="s">
        <v>521</v>
      </c>
      <c r="C583" s="1">
        <v>41</v>
      </c>
      <c r="D583" s="1" t="s">
        <v>19</v>
      </c>
      <c r="E583" s="1" t="s">
        <v>202</v>
      </c>
      <c r="F583" s="1" t="s">
        <v>21</v>
      </c>
      <c r="G583" s="1" t="s">
        <v>104</v>
      </c>
      <c r="H583" s="1" t="s">
        <v>35</v>
      </c>
      <c r="I583" s="1" t="s">
        <v>24</v>
      </c>
      <c r="J583" s="7" t="s">
        <v>250</v>
      </c>
      <c r="K583" s="1" t="s">
        <v>1157</v>
      </c>
      <c r="L583" s="1">
        <v>2</v>
      </c>
      <c r="M583" s="1" t="s">
        <v>56</v>
      </c>
      <c r="N583" s="1" t="s">
        <v>57</v>
      </c>
      <c r="O583" s="1">
        <v>58303.39</v>
      </c>
      <c r="P583" s="1">
        <v>4</v>
      </c>
      <c r="Q583" s="1" t="s">
        <v>29</v>
      </c>
    </row>
    <row r="584" spans="1:17">
      <c r="A584" s="1" t="s">
        <v>1158</v>
      </c>
      <c r="B584" s="1" t="s">
        <v>492</v>
      </c>
      <c r="C584" s="1">
        <v>77</v>
      </c>
      <c r="D584" s="1" t="s">
        <v>43</v>
      </c>
      <c r="E584" s="1" t="s">
        <v>159</v>
      </c>
      <c r="F584" s="1" t="s">
        <v>52</v>
      </c>
      <c r="G584" s="1" t="s">
        <v>34</v>
      </c>
      <c r="H584" s="1" t="s">
        <v>88</v>
      </c>
      <c r="I584" s="1" t="s">
        <v>62</v>
      </c>
      <c r="J584" s="7">
        <v>45543</v>
      </c>
      <c r="K584" s="2">
        <v>45604</v>
      </c>
      <c r="L584" s="1">
        <v>2</v>
      </c>
      <c r="M584" s="1" t="s">
        <v>97</v>
      </c>
      <c r="N584" s="1" t="s">
        <v>57</v>
      </c>
      <c r="O584" s="1">
        <v>86727.61</v>
      </c>
      <c r="P584" s="1">
        <v>5</v>
      </c>
      <c r="Q584" s="1" t="s">
        <v>40</v>
      </c>
    </row>
    <row r="585" spans="1:17">
      <c r="A585" s="1" t="s">
        <v>1159</v>
      </c>
      <c r="B585" s="1" t="s">
        <v>709</v>
      </c>
      <c r="C585" s="1">
        <v>46</v>
      </c>
      <c r="D585" s="1" t="s">
        <v>27</v>
      </c>
      <c r="E585" s="1" t="s">
        <v>44</v>
      </c>
      <c r="F585" s="1" t="s">
        <v>75</v>
      </c>
      <c r="G585" s="1" t="s">
        <v>110</v>
      </c>
      <c r="H585" s="1" t="s">
        <v>23</v>
      </c>
      <c r="I585" s="1" t="s">
        <v>36</v>
      </c>
      <c r="J585" s="7">
        <v>45994</v>
      </c>
      <c r="K585" s="1" t="s">
        <v>89</v>
      </c>
      <c r="L585" s="1">
        <v>3</v>
      </c>
      <c r="M585" s="1" t="s">
        <v>48</v>
      </c>
      <c r="N585" s="1" t="s">
        <v>28</v>
      </c>
      <c r="O585" s="1">
        <v>63823.42</v>
      </c>
      <c r="P585" s="1">
        <v>4</v>
      </c>
      <c r="Q585" s="1" t="s">
        <v>72</v>
      </c>
    </row>
    <row r="586" spans="1:17">
      <c r="A586" s="1" t="s">
        <v>1160</v>
      </c>
      <c r="B586" s="1" t="s">
        <v>308</v>
      </c>
      <c r="C586" s="1">
        <v>79</v>
      </c>
      <c r="D586" s="1" t="s">
        <v>43</v>
      </c>
      <c r="E586" s="1" t="s">
        <v>20</v>
      </c>
      <c r="F586" s="1" t="s">
        <v>21</v>
      </c>
      <c r="G586" s="1" t="s">
        <v>22</v>
      </c>
      <c r="H586" s="1" t="s">
        <v>93</v>
      </c>
      <c r="I586" s="1" t="s">
        <v>62</v>
      </c>
      <c r="J586" s="7" t="s">
        <v>558</v>
      </c>
      <c r="K586" s="1" t="s">
        <v>897</v>
      </c>
      <c r="L586" s="1">
        <v>7</v>
      </c>
      <c r="M586" s="1" t="s">
        <v>27</v>
      </c>
      <c r="N586" s="1" t="s">
        <v>57</v>
      </c>
      <c r="O586" s="1">
        <v>48745.39</v>
      </c>
      <c r="P586" s="1">
        <v>5</v>
      </c>
      <c r="Q586" s="1" t="s">
        <v>72</v>
      </c>
    </row>
    <row r="587" spans="1:17">
      <c r="A587" s="1" t="s">
        <v>1161</v>
      </c>
      <c r="B587" s="1" t="s">
        <v>74</v>
      </c>
      <c r="C587" s="1">
        <v>26</v>
      </c>
      <c r="D587" s="1" t="s">
        <v>43</v>
      </c>
      <c r="E587" s="1" t="s">
        <v>117</v>
      </c>
      <c r="F587" s="1" t="s">
        <v>52</v>
      </c>
      <c r="G587" s="1" t="s">
        <v>36</v>
      </c>
      <c r="H587" s="1" t="s">
        <v>99</v>
      </c>
      <c r="I587" s="1" t="s">
        <v>62</v>
      </c>
      <c r="J587" s="7">
        <v>45478</v>
      </c>
      <c r="K587" s="2">
        <v>45570</v>
      </c>
      <c r="L587" s="1">
        <v>3</v>
      </c>
      <c r="M587" s="1" t="s">
        <v>38</v>
      </c>
      <c r="N587" s="1" t="s">
        <v>39</v>
      </c>
      <c r="O587" s="1">
        <v>80592.03</v>
      </c>
      <c r="P587" s="1">
        <v>5</v>
      </c>
      <c r="Q587" s="1" t="s">
        <v>58</v>
      </c>
    </row>
    <row r="588" spans="1:17">
      <c r="A588" s="1" t="s">
        <v>1162</v>
      </c>
      <c r="B588" s="1" t="s">
        <v>226</v>
      </c>
      <c r="C588" s="1">
        <v>87</v>
      </c>
      <c r="D588" s="1" t="s">
        <v>19</v>
      </c>
      <c r="E588" s="1" t="s">
        <v>20</v>
      </c>
      <c r="F588" s="1" t="s">
        <v>67</v>
      </c>
      <c r="G588" s="1" t="s">
        <v>53</v>
      </c>
      <c r="H588" s="1" t="s">
        <v>88</v>
      </c>
      <c r="I588" s="1" t="s">
        <v>24</v>
      </c>
      <c r="J588" s="7">
        <v>45413</v>
      </c>
      <c r="K588" s="1" t="s">
        <v>1163</v>
      </c>
      <c r="L588" s="1">
        <v>9</v>
      </c>
      <c r="M588" s="1" t="s">
        <v>97</v>
      </c>
      <c r="N588" s="1" t="s">
        <v>39</v>
      </c>
      <c r="O588" s="1">
        <v>52392.26</v>
      </c>
      <c r="P588" s="1">
        <v>4</v>
      </c>
      <c r="Q588" s="1" t="s">
        <v>72</v>
      </c>
    </row>
    <row r="589" spans="1:17">
      <c r="A589" s="1" t="s">
        <v>1164</v>
      </c>
      <c r="B589" s="1" t="s">
        <v>354</v>
      </c>
      <c r="C589" s="1">
        <v>74</v>
      </c>
      <c r="D589" s="1" t="s">
        <v>43</v>
      </c>
      <c r="E589" s="1" t="s">
        <v>51</v>
      </c>
      <c r="F589" s="1" t="s">
        <v>75</v>
      </c>
      <c r="G589" s="1" t="s">
        <v>36</v>
      </c>
      <c r="H589" s="1" t="s">
        <v>88</v>
      </c>
      <c r="I589" s="1" t="s">
        <v>24</v>
      </c>
      <c r="J589" s="7">
        <v>45601</v>
      </c>
      <c r="K589" s="1" t="s">
        <v>1165</v>
      </c>
      <c r="L589" s="1">
        <v>3</v>
      </c>
      <c r="M589" s="1" t="s">
        <v>27</v>
      </c>
      <c r="N589" s="1" t="s">
        <v>39</v>
      </c>
      <c r="O589" s="1">
        <v>49761.23</v>
      </c>
      <c r="P589" s="1">
        <v>4</v>
      </c>
      <c r="Q589" s="1" t="s">
        <v>58</v>
      </c>
    </row>
    <row r="590" spans="1:17">
      <c r="A590" s="1" t="s">
        <v>1166</v>
      </c>
      <c r="B590" s="1" t="s">
        <v>443</v>
      </c>
      <c r="C590" s="1">
        <v>81</v>
      </c>
      <c r="D590" s="1" t="s">
        <v>43</v>
      </c>
      <c r="E590" s="1" t="s">
        <v>202</v>
      </c>
      <c r="F590" s="1" t="s">
        <v>52</v>
      </c>
      <c r="G590" s="1" t="s">
        <v>110</v>
      </c>
      <c r="H590" s="1" t="s">
        <v>99</v>
      </c>
      <c r="I590" s="1" t="s">
        <v>24</v>
      </c>
      <c r="J590" s="7" t="s">
        <v>1167</v>
      </c>
      <c r="K590" s="1" t="s">
        <v>1168</v>
      </c>
      <c r="L590" s="1">
        <v>1</v>
      </c>
      <c r="M590" s="1" t="s">
        <v>56</v>
      </c>
      <c r="N590" s="1" t="s">
        <v>57</v>
      </c>
      <c r="O590" s="1">
        <v>96495.27</v>
      </c>
      <c r="P590" s="1">
        <v>5</v>
      </c>
      <c r="Q590" s="1" t="s">
        <v>40</v>
      </c>
    </row>
    <row r="591" spans="1:17">
      <c r="A591" s="1" t="s">
        <v>1169</v>
      </c>
      <c r="B591" s="1" t="s">
        <v>780</v>
      </c>
      <c r="C591" s="1">
        <v>24</v>
      </c>
      <c r="D591" s="1" t="s">
        <v>19</v>
      </c>
      <c r="E591" s="1" t="s">
        <v>66</v>
      </c>
      <c r="F591" s="1" t="s">
        <v>52</v>
      </c>
      <c r="G591" s="1" t="s">
        <v>132</v>
      </c>
      <c r="H591" s="1" t="s">
        <v>76</v>
      </c>
      <c r="I591" s="1" t="s">
        <v>36</v>
      </c>
      <c r="J591" s="7" t="s">
        <v>824</v>
      </c>
      <c r="K591" s="2">
        <v>45668</v>
      </c>
      <c r="L591" s="1">
        <v>2</v>
      </c>
      <c r="M591" s="1" t="s">
        <v>27</v>
      </c>
      <c r="N591" s="1" t="s">
        <v>39</v>
      </c>
      <c r="O591" s="1">
        <v>68238.59</v>
      </c>
      <c r="P591" s="1">
        <v>4</v>
      </c>
      <c r="Q591" s="1" t="s">
        <v>72</v>
      </c>
    </row>
    <row r="592" spans="1:17">
      <c r="A592" s="1" t="s">
        <v>1170</v>
      </c>
      <c r="B592" s="1" t="s">
        <v>830</v>
      </c>
      <c r="C592" s="1">
        <v>15</v>
      </c>
      <c r="D592" s="1" t="s">
        <v>43</v>
      </c>
      <c r="E592" s="1" t="s">
        <v>32</v>
      </c>
      <c r="F592" s="1" t="s">
        <v>33</v>
      </c>
      <c r="G592" s="1" t="s">
        <v>110</v>
      </c>
      <c r="H592" s="1" t="s">
        <v>45</v>
      </c>
      <c r="I592" s="1" t="s">
        <v>36</v>
      </c>
      <c r="J592" s="7">
        <v>45697</v>
      </c>
      <c r="K592" s="2">
        <v>45725</v>
      </c>
      <c r="L592" s="1">
        <v>1</v>
      </c>
      <c r="M592" s="1" t="s">
        <v>97</v>
      </c>
      <c r="N592" s="1" t="s">
        <v>28</v>
      </c>
      <c r="O592" s="1">
        <v>34594.58</v>
      </c>
      <c r="P592" s="1">
        <v>5</v>
      </c>
      <c r="Q592" s="1" t="s">
        <v>58</v>
      </c>
    </row>
    <row r="593" spans="1:17">
      <c r="A593" s="1" t="s">
        <v>1171</v>
      </c>
      <c r="B593" s="1" t="s">
        <v>909</v>
      </c>
      <c r="C593" s="1">
        <v>81</v>
      </c>
      <c r="D593" s="1" t="s">
        <v>19</v>
      </c>
      <c r="E593" s="1" t="s">
        <v>32</v>
      </c>
      <c r="F593" s="1" t="s">
        <v>120</v>
      </c>
      <c r="G593" s="1" t="s">
        <v>104</v>
      </c>
      <c r="H593" s="1" t="s">
        <v>35</v>
      </c>
      <c r="I593" s="1" t="s">
        <v>62</v>
      </c>
      <c r="J593" s="7">
        <v>45359</v>
      </c>
      <c r="K593" s="2">
        <v>45451</v>
      </c>
      <c r="L593" s="1">
        <v>3</v>
      </c>
      <c r="M593" s="1" t="s">
        <v>97</v>
      </c>
      <c r="N593" s="1" t="s">
        <v>90</v>
      </c>
      <c r="O593" s="1">
        <v>25125.87</v>
      </c>
      <c r="P593" s="1">
        <v>1</v>
      </c>
      <c r="Q593" s="1" t="s">
        <v>72</v>
      </c>
    </row>
    <row r="594" spans="1:17">
      <c r="A594" s="1" t="s">
        <v>1172</v>
      </c>
      <c r="B594" s="1" t="s">
        <v>123</v>
      </c>
      <c r="C594" s="1">
        <v>21</v>
      </c>
      <c r="D594" s="1" t="s">
        <v>27</v>
      </c>
      <c r="E594" s="1" t="s">
        <v>20</v>
      </c>
      <c r="F594" s="1" t="s">
        <v>75</v>
      </c>
      <c r="G594" s="1" t="s">
        <v>110</v>
      </c>
      <c r="H594" s="1" t="s">
        <v>61</v>
      </c>
      <c r="I594" s="1" t="s">
        <v>24</v>
      </c>
      <c r="J594" s="7" t="s">
        <v>890</v>
      </c>
      <c r="K594" s="1" t="s">
        <v>286</v>
      </c>
      <c r="L594" s="1">
        <v>1</v>
      </c>
      <c r="M594" s="1" t="s">
        <v>56</v>
      </c>
      <c r="N594" s="1" t="s">
        <v>82</v>
      </c>
      <c r="O594" s="1">
        <v>98115.520000000004</v>
      </c>
      <c r="P594" s="1">
        <v>3</v>
      </c>
      <c r="Q594" s="1" t="s">
        <v>40</v>
      </c>
    </row>
    <row r="595" spans="1:17">
      <c r="A595" s="1" t="s">
        <v>1173</v>
      </c>
      <c r="B595" s="1" t="s">
        <v>688</v>
      </c>
      <c r="C595" s="1">
        <v>62</v>
      </c>
      <c r="D595" s="1" t="s">
        <v>19</v>
      </c>
      <c r="E595" s="1" t="s">
        <v>66</v>
      </c>
      <c r="F595" s="1" t="s">
        <v>21</v>
      </c>
      <c r="G595" s="1" t="s">
        <v>104</v>
      </c>
      <c r="H595" s="1" t="s">
        <v>93</v>
      </c>
      <c r="I595" s="1" t="s">
        <v>24</v>
      </c>
      <c r="J595" s="7">
        <v>45386</v>
      </c>
      <c r="K595" s="2">
        <v>45600</v>
      </c>
      <c r="L595" s="1">
        <v>7</v>
      </c>
      <c r="M595" s="1" t="s">
        <v>38</v>
      </c>
      <c r="N595" s="1" t="s">
        <v>57</v>
      </c>
      <c r="O595" s="1">
        <v>43832.53</v>
      </c>
      <c r="P595" s="1">
        <v>5</v>
      </c>
      <c r="Q595" s="1" t="s">
        <v>72</v>
      </c>
    </row>
    <row r="596" spans="1:17">
      <c r="A596" s="1" t="s">
        <v>1174</v>
      </c>
      <c r="B596" s="1" t="s">
        <v>176</v>
      </c>
      <c r="C596" s="1">
        <v>75</v>
      </c>
      <c r="D596" s="1" t="s">
        <v>27</v>
      </c>
      <c r="E596" s="1" t="s">
        <v>44</v>
      </c>
      <c r="F596" s="1" t="s">
        <v>75</v>
      </c>
      <c r="G596" s="1" t="s">
        <v>104</v>
      </c>
      <c r="H596" s="1" t="s">
        <v>76</v>
      </c>
      <c r="I596" s="1" t="s">
        <v>24</v>
      </c>
      <c r="J596" s="7" t="s">
        <v>789</v>
      </c>
      <c r="K596" s="1" t="s">
        <v>627</v>
      </c>
      <c r="L596" s="1">
        <v>9</v>
      </c>
      <c r="M596" s="1" t="s">
        <v>97</v>
      </c>
      <c r="N596" s="1" t="s">
        <v>57</v>
      </c>
      <c r="O596" s="1">
        <v>95560.73</v>
      </c>
      <c r="P596" s="1">
        <v>4</v>
      </c>
      <c r="Q596" s="1" t="s">
        <v>29</v>
      </c>
    </row>
    <row r="597" spans="1:17">
      <c r="A597" s="1" t="s">
        <v>1175</v>
      </c>
      <c r="B597" s="1" t="s">
        <v>644</v>
      </c>
      <c r="C597" s="1">
        <v>73</v>
      </c>
      <c r="D597" s="1" t="s">
        <v>43</v>
      </c>
      <c r="E597" s="1" t="s">
        <v>137</v>
      </c>
      <c r="F597" s="1" t="s">
        <v>75</v>
      </c>
      <c r="G597" s="1" t="s">
        <v>34</v>
      </c>
      <c r="H597" s="1" t="s">
        <v>23</v>
      </c>
      <c r="I597" s="1" t="s">
        <v>36</v>
      </c>
      <c r="J597" s="7" t="s">
        <v>853</v>
      </c>
      <c r="K597" s="1" t="s">
        <v>785</v>
      </c>
      <c r="L597" s="1">
        <v>9</v>
      </c>
      <c r="M597" s="1" t="s">
        <v>56</v>
      </c>
      <c r="N597" s="1" t="s">
        <v>39</v>
      </c>
      <c r="O597" s="1">
        <v>59759.87</v>
      </c>
      <c r="P597" s="1">
        <v>4</v>
      </c>
      <c r="Q597" s="1" t="s">
        <v>40</v>
      </c>
    </row>
    <row r="598" spans="1:17">
      <c r="A598" s="1" t="s">
        <v>1176</v>
      </c>
      <c r="B598" s="1" t="s">
        <v>510</v>
      </c>
      <c r="C598" s="1">
        <v>55</v>
      </c>
      <c r="D598" s="1" t="s">
        <v>19</v>
      </c>
      <c r="E598" s="1" t="s">
        <v>20</v>
      </c>
      <c r="F598" s="1" t="s">
        <v>33</v>
      </c>
      <c r="G598" s="1" t="s">
        <v>53</v>
      </c>
      <c r="H598" s="1" t="s">
        <v>35</v>
      </c>
      <c r="I598" s="1" t="s">
        <v>24</v>
      </c>
      <c r="J598" s="7">
        <v>45658</v>
      </c>
      <c r="K598" s="2">
        <v>45689</v>
      </c>
      <c r="L598" s="1">
        <v>1</v>
      </c>
      <c r="M598" s="1" t="s">
        <v>38</v>
      </c>
      <c r="N598" s="1" t="s">
        <v>85</v>
      </c>
      <c r="O598" s="1">
        <v>90270.02</v>
      </c>
      <c r="P598" s="1">
        <v>3</v>
      </c>
      <c r="Q598" s="1" t="s">
        <v>72</v>
      </c>
    </row>
    <row r="599" spans="1:17">
      <c r="A599" s="1" t="s">
        <v>1177</v>
      </c>
      <c r="B599" s="1" t="s">
        <v>766</v>
      </c>
      <c r="C599" s="1">
        <v>50</v>
      </c>
      <c r="D599" s="1" t="s">
        <v>43</v>
      </c>
      <c r="E599" s="1" t="s">
        <v>137</v>
      </c>
      <c r="F599" s="1" t="s">
        <v>120</v>
      </c>
      <c r="G599" s="1" t="s">
        <v>68</v>
      </c>
      <c r="H599" s="1" t="s">
        <v>69</v>
      </c>
      <c r="I599" s="1" t="s">
        <v>62</v>
      </c>
      <c r="J599" s="7">
        <v>45878</v>
      </c>
      <c r="K599" s="2">
        <v>46000</v>
      </c>
      <c r="L599" s="1">
        <v>4</v>
      </c>
      <c r="M599" s="1" t="s">
        <v>56</v>
      </c>
      <c r="N599" s="1" t="s">
        <v>85</v>
      </c>
      <c r="O599" s="1">
        <v>81077.789999999994</v>
      </c>
      <c r="P599" s="1">
        <v>5</v>
      </c>
      <c r="Q599" s="1" t="s">
        <v>72</v>
      </c>
    </row>
    <row r="600" spans="1:17">
      <c r="A600" s="1" t="s">
        <v>1178</v>
      </c>
      <c r="B600" s="1" t="s">
        <v>396</v>
      </c>
      <c r="C600" s="1">
        <v>64</v>
      </c>
      <c r="D600" s="1" t="s">
        <v>43</v>
      </c>
      <c r="E600" s="1" t="s">
        <v>44</v>
      </c>
      <c r="F600" s="1" t="s">
        <v>75</v>
      </c>
      <c r="G600" s="1" t="s">
        <v>110</v>
      </c>
      <c r="H600" s="1" t="s">
        <v>69</v>
      </c>
      <c r="I600" s="1" t="s">
        <v>62</v>
      </c>
      <c r="J600" s="7" t="s">
        <v>1179</v>
      </c>
      <c r="K600" s="1" t="s">
        <v>772</v>
      </c>
      <c r="L600" s="1">
        <v>3</v>
      </c>
      <c r="M600" s="1" t="s">
        <v>38</v>
      </c>
      <c r="N600" s="1" t="s">
        <v>85</v>
      </c>
      <c r="O600" s="1">
        <v>55391.21</v>
      </c>
      <c r="P600" s="1">
        <v>4</v>
      </c>
      <c r="Q600" s="1" t="s">
        <v>58</v>
      </c>
    </row>
    <row r="601" spans="1:17">
      <c r="A601" s="1" t="s">
        <v>1180</v>
      </c>
      <c r="B601" s="1" t="s">
        <v>321</v>
      </c>
      <c r="C601" s="1">
        <v>5</v>
      </c>
      <c r="D601" s="1" t="s">
        <v>27</v>
      </c>
      <c r="E601" s="1" t="s">
        <v>51</v>
      </c>
      <c r="F601" s="1" t="s">
        <v>120</v>
      </c>
      <c r="G601" s="1" t="s">
        <v>36</v>
      </c>
      <c r="H601" s="1" t="s">
        <v>105</v>
      </c>
      <c r="I601" s="1" t="s">
        <v>62</v>
      </c>
      <c r="J601" s="7" t="s">
        <v>318</v>
      </c>
      <c r="K601" s="1" t="s">
        <v>1181</v>
      </c>
      <c r="L601" s="1">
        <v>4</v>
      </c>
      <c r="M601" s="1" t="s">
        <v>27</v>
      </c>
      <c r="N601" s="1" t="s">
        <v>28</v>
      </c>
      <c r="O601" s="1">
        <v>32051.17</v>
      </c>
      <c r="P601" s="1">
        <v>5</v>
      </c>
      <c r="Q601" s="1" t="s">
        <v>58</v>
      </c>
    </row>
    <row r="602" spans="1:17">
      <c r="A602" s="1" t="s">
        <v>1182</v>
      </c>
      <c r="B602" s="1" t="s">
        <v>574</v>
      </c>
      <c r="C602" s="1">
        <v>39</v>
      </c>
      <c r="D602" s="1" t="s">
        <v>27</v>
      </c>
      <c r="E602" s="1" t="s">
        <v>202</v>
      </c>
      <c r="F602" s="1" t="s">
        <v>21</v>
      </c>
      <c r="G602" s="1" t="s">
        <v>22</v>
      </c>
      <c r="H602" s="1" t="s">
        <v>88</v>
      </c>
      <c r="I602" s="1" t="s">
        <v>36</v>
      </c>
      <c r="J602" s="7">
        <v>45934</v>
      </c>
      <c r="K602" s="1" t="s">
        <v>1183</v>
      </c>
      <c r="L602" s="1">
        <v>11</v>
      </c>
      <c r="M602" s="1" t="s">
        <v>38</v>
      </c>
      <c r="N602" s="1" t="s">
        <v>39</v>
      </c>
      <c r="O602" s="1">
        <v>100565.47</v>
      </c>
      <c r="P602" s="1">
        <v>2</v>
      </c>
      <c r="Q602" s="1" t="s">
        <v>58</v>
      </c>
    </row>
    <row r="603" spans="1:17">
      <c r="A603" s="1" t="s">
        <v>1184</v>
      </c>
      <c r="B603" s="1" t="s">
        <v>403</v>
      </c>
      <c r="C603" s="1">
        <v>29</v>
      </c>
      <c r="D603" s="1" t="s">
        <v>19</v>
      </c>
      <c r="E603" s="1" t="s">
        <v>117</v>
      </c>
      <c r="F603" s="1" t="s">
        <v>120</v>
      </c>
      <c r="G603" s="1" t="s">
        <v>34</v>
      </c>
      <c r="H603" s="1" t="s">
        <v>99</v>
      </c>
      <c r="I603" s="1" t="s">
        <v>24</v>
      </c>
      <c r="J603" s="7" t="s">
        <v>1185</v>
      </c>
      <c r="K603" s="2">
        <v>45477</v>
      </c>
      <c r="L603" s="1">
        <v>7</v>
      </c>
      <c r="M603" s="1" t="s">
        <v>27</v>
      </c>
      <c r="N603" s="1" t="s">
        <v>39</v>
      </c>
      <c r="O603" s="1">
        <v>59018.35</v>
      </c>
      <c r="P603" s="1">
        <v>2</v>
      </c>
      <c r="Q603" s="1" t="s">
        <v>58</v>
      </c>
    </row>
    <row r="604" spans="1:17">
      <c r="A604" s="1" t="s">
        <v>1186</v>
      </c>
      <c r="B604" s="1" t="s">
        <v>806</v>
      </c>
      <c r="C604" s="1">
        <v>35</v>
      </c>
      <c r="D604" s="1" t="s">
        <v>27</v>
      </c>
      <c r="E604" s="1" t="s">
        <v>32</v>
      </c>
      <c r="F604" s="1" t="s">
        <v>67</v>
      </c>
      <c r="G604" s="1" t="s">
        <v>53</v>
      </c>
      <c r="H604" s="1" t="s">
        <v>35</v>
      </c>
      <c r="I604" s="1" t="s">
        <v>24</v>
      </c>
      <c r="J604" s="7" t="s">
        <v>705</v>
      </c>
      <c r="K604" s="1" t="s">
        <v>420</v>
      </c>
      <c r="L604" s="1">
        <v>5</v>
      </c>
      <c r="M604" s="1" t="s">
        <v>56</v>
      </c>
      <c r="N604" s="1" t="s">
        <v>90</v>
      </c>
      <c r="O604" s="1">
        <v>133877.35999999999</v>
      </c>
      <c r="P604" s="1">
        <v>5</v>
      </c>
      <c r="Q604" s="1" t="s">
        <v>58</v>
      </c>
    </row>
    <row r="605" spans="1:17">
      <c r="A605" s="1" t="s">
        <v>1187</v>
      </c>
      <c r="B605" s="1" t="s">
        <v>65</v>
      </c>
      <c r="C605" s="1">
        <v>85</v>
      </c>
      <c r="D605" s="1" t="s">
        <v>43</v>
      </c>
      <c r="E605" s="1" t="s">
        <v>20</v>
      </c>
      <c r="F605" s="1" t="s">
        <v>52</v>
      </c>
      <c r="G605" s="1" t="s">
        <v>22</v>
      </c>
      <c r="H605" s="1" t="s">
        <v>105</v>
      </c>
      <c r="I605" s="1" t="s">
        <v>36</v>
      </c>
      <c r="J605" s="7" t="s">
        <v>460</v>
      </c>
      <c r="K605" s="1" t="s">
        <v>205</v>
      </c>
      <c r="L605" s="1">
        <v>8</v>
      </c>
      <c r="M605" s="1" t="s">
        <v>48</v>
      </c>
      <c r="N605" s="1" t="s">
        <v>57</v>
      </c>
      <c r="O605" s="1">
        <v>84915.93</v>
      </c>
      <c r="P605" s="1">
        <v>5</v>
      </c>
      <c r="Q605" s="1" t="s">
        <v>72</v>
      </c>
    </row>
    <row r="606" spans="1:17">
      <c r="A606" s="1" t="s">
        <v>1188</v>
      </c>
      <c r="B606" s="1" t="s">
        <v>644</v>
      </c>
      <c r="C606" s="1">
        <v>28</v>
      </c>
      <c r="D606" s="1" t="s">
        <v>19</v>
      </c>
      <c r="E606" s="1" t="s">
        <v>117</v>
      </c>
      <c r="F606" s="1" t="s">
        <v>52</v>
      </c>
      <c r="G606" s="1" t="s">
        <v>104</v>
      </c>
      <c r="H606" s="1" t="s">
        <v>45</v>
      </c>
      <c r="I606" s="1" t="s">
        <v>62</v>
      </c>
      <c r="J606" s="7" t="s">
        <v>476</v>
      </c>
      <c r="K606" s="1" t="s">
        <v>250</v>
      </c>
      <c r="L606" s="1">
        <v>4</v>
      </c>
      <c r="M606" s="1" t="s">
        <v>56</v>
      </c>
      <c r="N606" s="1" t="s">
        <v>39</v>
      </c>
      <c r="O606" s="1">
        <v>36852.86</v>
      </c>
      <c r="P606" s="1">
        <v>5</v>
      </c>
      <c r="Q606" s="1" t="s">
        <v>72</v>
      </c>
    </row>
    <row r="607" spans="1:17">
      <c r="A607" s="1" t="s">
        <v>1189</v>
      </c>
      <c r="B607" s="1" t="s">
        <v>403</v>
      </c>
      <c r="C607" s="1">
        <v>17</v>
      </c>
      <c r="D607" s="1" t="s">
        <v>19</v>
      </c>
      <c r="E607" s="1" t="s">
        <v>66</v>
      </c>
      <c r="F607" s="1" t="s">
        <v>33</v>
      </c>
      <c r="G607" s="1" t="s">
        <v>132</v>
      </c>
      <c r="H607" s="1" t="s">
        <v>45</v>
      </c>
      <c r="I607" s="1" t="s">
        <v>36</v>
      </c>
      <c r="J607" s="7">
        <v>45839</v>
      </c>
      <c r="K607" s="2">
        <v>45962</v>
      </c>
      <c r="L607" s="1">
        <v>4</v>
      </c>
      <c r="M607" s="1" t="s">
        <v>48</v>
      </c>
      <c r="N607" s="1" t="s">
        <v>85</v>
      </c>
      <c r="O607" s="1">
        <v>32282.21</v>
      </c>
      <c r="P607" s="1">
        <v>3</v>
      </c>
      <c r="Q607" s="1" t="s">
        <v>72</v>
      </c>
    </row>
    <row r="608" spans="1:17">
      <c r="A608" s="1" t="s">
        <v>1190</v>
      </c>
      <c r="B608" s="1" t="s">
        <v>837</v>
      </c>
      <c r="C608" s="1">
        <v>59</v>
      </c>
      <c r="D608" s="1" t="s">
        <v>19</v>
      </c>
      <c r="E608" s="1" t="s">
        <v>137</v>
      </c>
      <c r="F608" s="1" t="s">
        <v>67</v>
      </c>
      <c r="G608" s="1" t="s">
        <v>53</v>
      </c>
      <c r="H608" s="1" t="s">
        <v>105</v>
      </c>
      <c r="I608" s="1" t="s">
        <v>62</v>
      </c>
      <c r="J608" s="7" t="s">
        <v>716</v>
      </c>
      <c r="K608" s="2">
        <v>45392</v>
      </c>
      <c r="L608" s="1">
        <v>4</v>
      </c>
      <c r="M608" s="1" t="s">
        <v>27</v>
      </c>
      <c r="N608" s="1" t="s">
        <v>82</v>
      </c>
      <c r="O608" s="1">
        <v>34986.74</v>
      </c>
      <c r="P608" s="1">
        <v>4</v>
      </c>
      <c r="Q608" s="1" t="s">
        <v>72</v>
      </c>
    </row>
    <row r="609" spans="1:17">
      <c r="A609" s="1" t="s">
        <v>1191</v>
      </c>
      <c r="B609" s="1" t="s">
        <v>437</v>
      </c>
      <c r="C609" s="1">
        <v>57</v>
      </c>
      <c r="D609" s="1" t="s">
        <v>43</v>
      </c>
      <c r="E609" s="1" t="s">
        <v>51</v>
      </c>
      <c r="F609" s="1" t="s">
        <v>67</v>
      </c>
      <c r="G609" s="1" t="s">
        <v>36</v>
      </c>
      <c r="H609" s="1" t="s">
        <v>61</v>
      </c>
      <c r="I609" s="1" t="s">
        <v>62</v>
      </c>
      <c r="J609" s="7" t="s">
        <v>525</v>
      </c>
      <c r="K609" s="1" t="s">
        <v>256</v>
      </c>
      <c r="L609" s="1">
        <v>1</v>
      </c>
      <c r="M609" s="1" t="s">
        <v>27</v>
      </c>
      <c r="N609" s="1" t="s">
        <v>57</v>
      </c>
      <c r="O609" s="1">
        <v>33462.43</v>
      </c>
      <c r="P609" s="1">
        <v>4</v>
      </c>
      <c r="Q609" s="1" t="s">
        <v>72</v>
      </c>
    </row>
    <row r="610" spans="1:17">
      <c r="A610" s="1" t="s">
        <v>1192</v>
      </c>
      <c r="B610" s="1" t="s">
        <v>412</v>
      </c>
      <c r="C610" s="1">
        <v>88</v>
      </c>
      <c r="D610" s="1" t="s">
        <v>19</v>
      </c>
      <c r="E610" s="1" t="s">
        <v>137</v>
      </c>
      <c r="F610" s="1" t="s">
        <v>75</v>
      </c>
      <c r="G610" s="1" t="s">
        <v>22</v>
      </c>
      <c r="H610" s="1" t="s">
        <v>105</v>
      </c>
      <c r="I610" s="1" t="s">
        <v>36</v>
      </c>
      <c r="J610" s="7" t="s">
        <v>305</v>
      </c>
      <c r="K610" s="1" t="s">
        <v>471</v>
      </c>
      <c r="L610" s="1">
        <v>2</v>
      </c>
      <c r="M610" s="1" t="s">
        <v>38</v>
      </c>
      <c r="N610" s="1" t="s">
        <v>57</v>
      </c>
      <c r="O610" s="1">
        <v>28531.95</v>
      </c>
      <c r="P610" s="1">
        <v>4</v>
      </c>
      <c r="Q610" s="1" t="s">
        <v>29</v>
      </c>
    </row>
    <row r="611" spans="1:17">
      <c r="A611" s="1" t="s">
        <v>1193</v>
      </c>
      <c r="B611" s="1" t="s">
        <v>507</v>
      </c>
      <c r="C611" s="1">
        <v>22</v>
      </c>
      <c r="D611" s="1" t="s">
        <v>19</v>
      </c>
      <c r="E611" s="1" t="s">
        <v>66</v>
      </c>
      <c r="F611" s="1" t="s">
        <v>120</v>
      </c>
      <c r="G611" s="1" t="s">
        <v>34</v>
      </c>
      <c r="H611" s="1" t="s">
        <v>45</v>
      </c>
      <c r="I611" s="1" t="s">
        <v>24</v>
      </c>
      <c r="J611" s="7" t="s">
        <v>188</v>
      </c>
      <c r="K611" s="1" t="s">
        <v>389</v>
      </c>
      <c r="L611" s="1">
        <v>2</v>
      </c>
      <c r="M611" s="1" t="s">
        <v>48</v>
      </c>
      <c r="N611" s="1" t="s">
        <v>85</v>
      </c>
      <c r="O611" s="1">
        <v>51455.3</v>
      </c>
      <c r="P611" s="1">
        <v>4</v>
      </c>
      <c r="Q611" s="1" t="s">
        <v>29</v>
      </c>
    </row>
    <row r="612" spans="1:17">
      <c r="A612" s="1" t="s">
        <v>1194</v>
      </c>
      <c r="B612" s="1" t="s">
        <v>510</v>
      </c>
      <c r="C612" s="1">
        <v>43</v>
      </c>
      <c r="D612" s="1" t="s">
        <v>43</v>
      </c>
      <c r="E612" s="1" t="s">
        <v>159</v>
      </c>
      <c r="F612" s="1" t="s">
        <v>67</v>
      </c>
      <c r="G612" s="1" t="s">
        <v>34</v>
      </c>
      <c r="H612" s="1" t="s">
        <v>35</v>
      </c>
      <c r="I612" s="1" t="s">
        <v>36</v>
      </c>
      <c r="J612" s="7" t="s">
        <v>469</v>
      </c>
      <c r="K612" s="1" t="s">
        <v>297</v>
      </c>
      <c r="L612" s="1">
        <v>6</v>
      </c>
      <c r="M612" s="1" t="s">
        <v>97</v>
      </c>
      <c r="N612" s="1" t="s">
        <v>39</v>
      </c>
      <c r="O612" s="1">
        <v>165687.20000000001</v>
      </c>
      <c r="P612" s="1">
        <v>3</v>
      </c>
      <c r="Q612" s="1" t="s">
        <v>29</v>
      </c>
    </row>
    <row r="613" spans="1:17">
      <c r="A613" s="1" t="s">
        <v>1195</v>
      </c>
      <c r="B613" s="1" t="s">
        <v>264</v>
      </c>
      <c r="C613" s="1">
        <v>61</v>
      </c>
      <c r="D613" s="1" t="s">
        <v>19</v>
      </c>
      <c r="E613" s="1" t="s">
        <v>117</v>
      </c>
      <c r="F613" s="1" t="s">
        <v>52</v>
      </c>
      <c r="G613" s="1" t="s">
        <v>132</v>
      </c>
      <c r="H613" s="1" t="s">
        <v>23</v>
      </c>
      <c r="I613" s="1" t="s">
        <v>62</v>
      </c>
      <c r="J613" s="7" t="s">
        <v>1196</v>
      </c>
      <c r="K613" s="1" t="s">
        <v>111</v>
      </c>
      <c r="L613" s="1">
        <v>5</v>
      </c>
      <c r="M613" s="1" t="s">
        <v>97</v>
      </c>
      <c r="N613" s="1" t="s">
        <v>57</v>
      </c>
      <c r="O613" s="1">
        <v>48729.69</v>
      </c>
      <c r="P613" s="1">
        <v>5</v>
      </c>
      <c r="Q613" s="1" t="s">
        <v>40</v>
      </c>
    </row>
    <row r="614" spans="1:17">
      <c r="A614" s="1" t="s">
        <v>1197</v>
      </c>
      <c r="B614" s="1" t="s">
        <v>302</v>
      </c>
      <c r="C614" s="1">
        <v>70</v>
      </c>
      <c r="D614" s="1" t="s">
        <v>43</v>
      </c>
      <c r="E614" s="1" t="s">
        <v>32</v>
      </c>
      <c r="F614" s="1" t="s">
        <v>120</v>
      </c>
      <c r="G614" s="1" t="s">
        <v>53</v>
      </c>
      <c r="H614" s="1" t="s">
        <v>105</v>
      </c>
      <c r="I614" s="1" t="s">
        <v>24</v>
      </c>
      <c r="J614" s="7">
        <v>45941</v>
      </c>
      <c r="K614" s="2">
        <v>46002</v>
      </c>
      <c r="L614" s="1">
        <v>2</v>
      </c>
      <c r="M614" s="1" t="s">
        <v>27</v>
      </c>
      <c r="N614" s="1" t="s">
        <v>63</v>
      </c>
      <c r="O614" s="1">
        <v>127825.64</v>
      </c>
      <c r="P614" s="1">
        <v>5</v>
      </c>
      <c r="Q614" s="1" t="s">
        <v>72</v>
      </c>
    </row>
    <row r="615" spans="1:17">
      <c r="A615" s="1" t="s">
        <v>1198</v>
      </c>
      <c r="B615" s="1" t="s">
        <v>321</v>
      </c>
      <c r="C615" s="1">
        <v>19</v>
      </c>
      <c r="D615" s="1" t="s">
        <v>43</v>
      </c>
      <c r="E615" s="1" t="s">
        <v>117</v>
      </c>
      <c r="F615" s="1" t="s">
        <v>52</v>
      </c>
      <c r="G615" s="1" t="s">
        <v>36</v>
      </c>
      <c r="H615" s="1" t="s">
        <v>88</v>
      </c>
      <c r="I615" s="1" t="s">
        <v>24</v>
      </c>
      <c r="J615" s="7" t="s">
        <v>720</v>
      </c>
      <c r="K615" s="1" t="s">
        <v>267</v>
      </c>
      <c r="L615" s="1">
        <v>1</v>
      </c>
      <c r="M615" s="1" t="s">
        <v>27</v>
      </c>
      <c r="N615" s="1" t="s">
        <v>57</v>
      </c>
      <c r="O615" s="1">
        <v>27060.45</v>
      </c>
      <c r="P615" s="1">
        <v>2</v>
      </c>
      <c r="Q615" s="1" t="s">
        <v>29</v>
      </c>
    </row>
    <row r="616" spans="1:17">
      <c r="A616" s="1" t="s">
        <v>1199</v>
      </c>
      <c r="B616" s="1" t="s">
        <v>31</v>
      </c>
      <c r="C616" s="1">
        <v>34</v>
      </c>
      <c r="D616" s="1" t="s">
        <v>27</v>
      </c>
      <c r="E616" s="1" t="s">
        <v>137</v>
      </c>
      <c r="F616" s="1" t="s">
        <v>33</v>
      </c>
      <c r="G616" s="1" t="s">
        <v>68</v>
      </c>
      <c r="H616" s="1" t="s">
        <v>105</v>
      </c>
      <c r="I616" s="1" t="s">
        <v>24</v>
      </c>
      <c r="J616" s="7" t="s">
        <v>389</v>
      </c>
      <c r="K616" s="1" t="s">
        <v>893</v>
      </c>
      <c r="L616" s="1">
        <v>3</v>
      </c>
      <c r="M616" s="1" t="s">
        <v>38</v>
      </c>
      <c r="N616" s="1" t="s">
        <v>82</v>
      </c>
      <c r="O616" s="1">
        <v>25911.8</v>
      </c>
      <c r="P616" s="1">
        <v>4</v>
      </c>
      <c r="Q616" s="1" t="s">
        <v>72</v>
      </c>
    </row>
    <row r="617" spans="1:17">
      <c r="A617" s="1" t="s">
        <v>1200</v>
      </c>
      <c r="B617" s="1" t="s">
        <v>246</v>
      </c>
      <c r="C617" s="1">
        <v>2</v>
      </c>
      <c r="D617" s="1" t="s">
        <v>43</v>
      </c>
      <c r="E617" s="1" t="s">
        <v>32</v>
      </c>
      <c r="F617" s="1" t="s">
        <v>120</v>
      </c>
      <c r="G617" s="1" t="s">
        <v>68</v>
      </c>
      <c r="H617" s="1" t="s">
        <v>69</v>
      </c>
      <c r="I617" s="1" t="s">
        <v>36</v>
      </c>
      <c r="J617" s="7">
        <v>45700</v>
      </c>
      <c r="K617" s="2">
        <v>45820</v>
      </c>
      <c r="L617" s="1">
        <v>4</v>
      </c>
      <c r="M617" s="1" t="s">
        <v>97</v>
      </c>
      <c r="N617" s="1" t="s">
        <v>28</v>
      </c>
      <c r="O617" s="1">
        <v>52744.28</v>
      </c>
      <c r="P617" s="1">
        <v>3</v>
      </c>
      <c r="Q617" s="1" t="s">
        <v>29</v>
      </c>
    </row>
    <row r="618" spans="1:17">
      <c r="A618" s="1" t="s">
        <v>1201</v>
      </c>
      <c r="B618" s="1" t="s">
        <v>378</v>
      </c>
      <c r="C618" s="1">
        <v>37</v>
      </c>
      <c r="D618" s="1" t="s">
        <v>27</v>
      </c>
      <c r="E618" s="1" t="s">
        <v>32</v>
      </c>
      <c r="F618" s="1" t="s">
        <v>52</v>
      </c>
      <c r="G618" s="1" t="s">
        <v>53</v>
      </c>
      <c r="H618" s="1" t="s">
        <v>99</v>
      </c>
      <c r="I618" s="1" t="s">
        <v>62</v>
      </c>
      <c r="J618" s="7">
        <v>45448</v>
      </c>
      <c r="K618" s="2">
        <v>45570</v>
      </c>
      <c r="L618" s="1">
        <v>4</v>
      </c>
      <c r="M618" s="1" t="s">
        <v>56</v>
      </c>
      <c r="N618" s="1" t="s">
        <v>63</v>
      </c>
      <c r="O618" s="1">
        <v>20710.3</v>
      </c>
      <c r="P618" s="1">
        <v>5</v>
      </c>
      <c r="Q618" s="1" t="s">
        <v>29</v>
      </c>
    </row>
    <row r="619" spans="1:17">
      <c r="A619" s="1" t="s">
        <v>1202</v>
      </c>
      <c r="B619" s="1" t="s">
        <v>79</v>
      </c>
      <c r="C619" s="1">
        <v>56</v>
      </c>
      <c r="D619" s="1" t="s">
        <v>27</v>
      </c>
      <c r="E619" s="1" t="s">
        <v>117</v>
      </c>
      <c r="F619" s="1" t="s">
        <v>67</v>
      </c>
      <c r="G619" s="1" t="s">
        <v>53</v>
      </c>
      <c r="H619" s="1" t="s">
        <v>61</v>
      </c>
      <c r="I619" s="1" t="s">
        <v>62</v>
      </c>
      <c r="J619" s="7" t="s">
        <v>1203</v>
      </c>
      <c r="K619" s="1" t="s">
        <v>926</v>
      </c>
      <c r="L619" s="1">
        <v>2</v>
      </c>
      <c r="M619" s="1" t="s">
        <v>56</v>
      </c>
      <c r="N619" s="1" t="s">
        <v>90</v>
      </c>
      <c r="O619" s="1">
        <v>126358.94</v>
      </c>
      <c r="P619" s="1">
        <v>4</v>
      </c>
      <c r="Q619" s="1" t="s">
        <v>58</v>
      </c>
    </row>
    <row r="620" spans="1:17">
      <c r="A620" s="1" t="s">
        <v>1204</v>
      </c>
      <c r="B620" s="1" t="s">
        <v>92</v>
      </c>
      <c r="C620" s="1">
        <v>87</v>
      </c>
      <c r="D620" s="1" t="s">
        <v>43</v>
      </c>
      <c r="E620" s="1" t="s">
        <v>51</v>
      </c>
      <c r="F620" s="1" t="s">
        <v>21</v>
      </c>
      <c r="G620" s="1" t="s">
        <v>110</v>
      </c>
      <c r="H620" s="1" t="s">
        <v>76</v>
      </c>
      <c r="I620" s="1" t="s">
        <v>62</v>
      </c>
      <c r="J620" s="7" t="s">
        <v>382</v>
      </c>
      <c r="K620" s="1" t="s">
        <v>738</v>
      </c>
      <c r="L620" s="1">
        <v>6</v>
      </c>
      <c r="M620" s="1" t="s">
        <v>97</v>
      </c>
      <c r="N620" s="1" t="s">
        <v>28</v>
      </c>
      <c r="O620" s="1">
        <v>77170.350000000006</v>
      </c>
      <c r="P620" s="1">
        <v>2</v>
      </c>
      <c r="Q620" s="1" t="s">
        <v>29</v>
      </c>
    </row>
    <row r="621" spans="1:17">
      <c r="A621" s="1" t="s">
        <v>1205</v>
      </c>
      <c r="B621" s="1" t="s">
        <v>502</v>
      </c>
      <c r="C621" s="1">
        <v>68</v>
      </c>
      <c r="D621" s="1" t="s">
        <v>43</v>
      </c>
      <c r="E621" s="1" t="s">
        <v>51</v>
      </c>
      <c r="F621" s="1" t="s">
        <v>75</v>
      </c>
      <c r="G621" s="1" t="s">
        <v>53</v>
      </c>
      <c r="H621" s="1" t="s">
        <v>93</v>
      </c>
      <c r="I621" s="1" t="s">
        <v>62</v>
      </c>
      <c r="J621" s="7">
        <v>45973</v>
      </c>
      <c r="K621" s="1" t="s">
        <v>438</v>
      </c>
      <c r="L621" s="1">
        <v>4</v>
      </c>
      <c r="M621" s="1" t="s">
        <v>48</v>
      </c>
      <c r="N621" s="1" t="s">
        <v>39</v>
      </c>
      <c r="O621" s="1">
        <v>61323.08</v>
      </c>
      <c r="P621" s="1">
        <v>5</v>
      </c>
      <c r="Q621" s="1" t="s">
        <v>29</v>
      </c>
    </row>
    <row r="622" spans="1:17">
      <c r="A622" s="1" t="s">
        <v>1206</v>
      </c>
      <c r="B622" s="1" t="s">
        <v>216</v>
      </c>
      <c r="C622" s="1">
        <v>79</v>
      </c>
      <c r="D622" s="1" t="s">
        <v>43</v>
      </c>
      <c r="E622" s="1" t="s">
        <v>159</v>
      </c>
      <c r="F622" s="1" t="s">
        <v>67</v>
      </c>
      <c r="G622" s="1" t="s">
        <v>68</v>
      </c>
      <c r="H622" s="1" t="s">
        <v>99</v>
      </c>
      <c r="I622" s="1" t="s">
        <v>62</v>
      </c>
      <c r="J622" s="7">
        <v>45421</v>
      </c>
      <c r="K622" s="2">
        <v>45544</v>
      </c>
      <c r="L622" s="1">
        <v>4</v>
      </c>
      <c r="M622" s="1" t="s">
        <v>48</v>
      </c>
      <c r="N622" s="1" t="s">
        <v>28</v>
      </c>
      <c r="O622" s="1">
        <v>67139.47</v>
      </c>
      <c r="P622" s="1">
        <v>4</v>
      </c>
      <c r="Q622" s="1" t="s">
        <v>72</v>
      </c>
    </row>
    <row r="623" spans="1:17">
      <c r="A623" s="1" t="s">
        <v>1207</v>
      </c>
      <c r="B623" s="1" t="s">
        <v>892</v>
      </c>
      <c r="C623" s="1">
        <v>35</v>
      </c>
      <c r="D623" s="1" t="s">
        <v>27</v>
      </c>
      <c r="E623" s="1" t="s">
        <v>20</v>
      </c>
      <c r="F623" s="1" t="s">
        <v>67</v>
      </c>
      <c r="G623" s="1" t="s">
        <v>104</v>
      </c>
      <c r="H623" s="1" t="s">
        <v>88</v>
      </c>
      <c r="I623" s="1" t="s">
        <v>36</v>
      </c>
      <c r="J623" s="7" t="s">
        <v>451</v>
      </c>
      <c r="K623" s="1" t="s">
        <v>80</v>
      </c>
      <c r="L623" s="1">
        <v>5</v>
      </c>
      <c r="M623" s="1" t="s">
        <v>27</v>
      </c>
      <c r="N623" s="1" t="s">
        <v>63</v>
      </c>
      <c r="O623" s="1">
        <v>75094.929999999993</v>
      </c>
      <c r="P623" s="1">
        <v>3</v>
      </c>
      <c r="Q623" s="1" t="s">
        <v>58</v>
      </c>
    </row>
    <row r="624" spans="1:17">
      <c r="A624" s="1" t="s">
        <v>1208</v>
      </c>
      <c r="B624" s="1" t="s">
        <v>1209</v>
      </c>
      <c r="C624" s="1">
        <v>18</v>
      </c>
      <c r="D624" s="1" t="s">
        <v>19</v>
      </c>
      <c r="E624" s="1" t="s">
        <v>51</v>
      </c>
      <c r="F624" s="1" t="s">
        <v>75</v>
      </c>
      <c r="G624" s="1" t="s">
        <v>34</v>
      </c>
      <c r="H624" s="1" t="s">
        <v>93</v>
      </c>
      <c r="I624" s="1" t="s">
        <v>36</v>
      </c>
      <c r="J624" s="7" t="s">
        <v>401</v>
      </c>
      <c r="K624" s="1" t="s">
        <v>251</v>
      </c>
      <c r="L624" s="1">
        <v>2</v>
      </c>
      <c r="M624" s="1" t="s">
        <v>56</v>
      </c>
      <c r="N624" s="1" t="s">
        <v>28</v>
      </c>
      <c r="O624" s="1">
        <v>79424.14</v>
      </c>
      <c r="P624" s="1">
        <v>2</v>
      </c>
      <c r="Q624" s="1" t="s">
        <v>58</v>
      </c>
    </row>
    <row r="625" spans="1:17">
      <c r="A625" s="1" t="s">
        <v>1210</v>
      </c>
      <c r="B625" s="1" t="s">
        <v>565</v>
      </c>
      <c r="C625" s="1">
        <v>4</v>
      </c>
      <c r="D625" s="1" t="s">
        <v>27</v>
      </c>
      <c r="E625" s="1" t="s">
        <v>44</v>
      </c>
      <c r="F625" s="1" t="s">
        <v>52</v>
      </c>
      <c r="G625" s="1" t="s">
        <v>36</v>
      </c>
      <c r="H625" s="1" t="s">
        <v>93</v>
      </c>
      <c r="I625" s="1" t="s">
        <v>62</v>
      </c>
      <c r="J625" s="7" t="s">
        <v>148</v>
      </c>
      <c r="K625" s="1" t="s">
        <v>998</v>
      </c>
      <c r="L625" s="1">
        <v>1</v>
      </c>
      <c r="M625" s="1" t="s">
        <v>27</v>
      </c>
      <c r="N625" s="1" t="s">
        <v>28</v>
      </c>
      <c r="O625" s="1">
        <v>83736.83</v>
      </c>
      <c r="P625" s="1">
        <v>5</v>
      </c>
      <c r="Q625" s="1" t="s">
        <v>58</v>
      </c>
    </row>
    <row r="626" spans="1:17">
      <c r="A626" s="1" t="s">
        <v>1211</v>
      </c>
      <c r="B626" s="1" t="s">
        <v>548</v>
      </c>
      <c r="C626" s="1">
        <v>19</v>
      </c>
      <c r="D626" s="1" t="s">
        <v>27</v>
      </c>
      <c r="E626" s="1" t="s">
        <v>159</v>
      </c>
      <c r="F626" s="1" t="s">
        <v>120</v>
      </c>
      <c r="G626" s="1" t="s">
        <v>132</v>
      </c>
      <c r="H626" s="1" t="s">
        <v>35</v>
      </c>
      <c r="I626" s="1" t="s">
        <v>62</v>
      </c>
      <c r="J626" s="7" t="s">
        <v>1212</v>
      </c>
      <c r="K626" s="1" t="s">
        <v>807</v>
      </c>
      <c r="L626" s="1">
        <v>1</v>
      </c>
      <c r="M626" s="1" t="s">
        <v>48</v>
      </c>
      <c r="N626" s="1" t="s">
        <v>90</v>
      </c>
      <c r="O626" s="1">
        <v>49340.59</v>
      </c>
      <c r="P626" s="1">
        <v>4</v>
      </c>
      <c r="Q626" s="1" t="s">
        <v>58</v>
      </c>
    </row>
    <row r="627" spans="1:17">
      <c r="A627" s="1" t="s">
        <v>1213</v>
      </c>
      <c r="B627" s="1" t="s">
        <v>299</v>
      </c>
      <c r="C627" s="1">
        <v>48</v>
      </c>
      <c r="D627" s="1" t="s">
        <v>27</v>
      </c>
      <c r="E627" s="1" t="s">
        <v>32</v>
      </c>
      <c r="F627" s="1" t="s">
        <v>67</v>
      </c>
      <c r="G627" s="1" t="s">
        <v>104</v>
      </c>
      <c r="H627" s="1" t="s">
        <v>76</v>
      </c>
      <c r="I627" s="1" t="s">
        <v>62</v>
      </c>
      <c r="J627" s="7">
        <v>45514</v>
      </c>
      <c r="K627" s="2">
        <v>45606</v>
      </c>
      <c r="L627" s="1">
        <v>3</v>
      </c>
      <c r="M627" s="1" t="s">
        <v>48</v>
      </c>
      <c r="N627" s="1" t="s">
        <v>90</v>
      </c>
      <c r="O627" s="1">
        <v>71385.03</v>
      </c>
      <c r="P627" s="1">
        <v>3</v>
      </c>
      <c r="Q627" s="1" t="s">
        <v>40</v>
      </c>
    </row>
    <row r="628" spans="1:17">
      <c r="A628" s="1" t="s">
        <v>1214</v>
      </c>
      <c r="B628" s="1" t="s">
        <v>348</v>
      </c>
      <c r="C628" s="1">
        <v>5</v>
      </c>
      <c r="D628" s="1" t="s">
        <v>27</v>
      </c>
      <c r="E628" s="1" t="s">
        <v>51</v>
      </c>
      <c r="F628" s="1" t="s">
        <v>67</v>
      </c>
      <c r="G628" s="1" t="s">
        <v>53</v>
      </c>
      <c r="H628" s="1" t="s">
        <v>35</v>
      </c>
      <c r="I628" s="1" t="s">
        <v>36</v>
      </c>
      <c r="J628" s="7" t="s">
        <v>500</v>
      </c>
      <c r="K628" s="2">
        <v>45699</v>
      </c>
      <c r="L628" s="1">
        <v>5</v>
      </c>
      <c r="M628" s="1" t="s">
        <v>38</v>
      </c>
      <c r="N628" s="1" t="s">
        <v>63</v>
      </c>
      <c r="O628" s="1">
        <v>85425.88</v>
      </c>
      <c r="P628" s="1">
        <v>3</v>
      </c>
      <c r="Q628" s="1" t="s">
        <v>58</v>
      </c>
    </row>
    <row r="629" spans="1:17">
      <c r="A629" s="1" t="s">
        <v>1215</v>
      </c>
      <c r="B629" s="1" t="s">
        <v>308</v>
      </c>
      <c r="C629" s="1">
        <v>66</v>
      </c>
      <c r="D629" s="1" t="s">
        <v>19</v>
      </c>
      <c r="E629" s="1" t="s">
        <v>32</v>
      </c>
      <c r="F629" s="1" t="s">
        <v>52</v>
      </c>
      <c r="G629" s="1" t="s">
        <v>53</v>
      </c>
      <c r="H629" s="1" t="s">
        <v>93</v>
      </c>
      <c r="I629" s="1" t="s">
        <v>62</v>
      </c>
      <c r="J629" s="7" t="s">
        <v>513</v>
      </c>
      <c r="K629" s="1" t="s">
        <v>420</v>
      </c>
      <c r="L629" s="1">
        <v>1</v>
      </c>
      <c r="M629" s="1" t="s">
        <v>97</v>
      </c>
      <c r="N629" s="1" t="s">
        <v>57</v>
      </c>
      <c r="O629" s="1">
        <v>122511.2</v>
      </c>
      <c r="P629" s="1">
        <v>3</v>
      </c>
      <c r="Q629" s="1" t="s">
        <v>29</v>
      </c>
    </row>
    <row r="630" spans="1:17">
      <c r="A630" s="1" t="s">
        <v>1216</v>
      </c>
      <c r="B630" s="1" t="s">
        <v>321</v>
      </c>
      <c r="C630" s="1">
        <v>74</v>
      </c>
      <c r="D630" s="1" t="s">
        <v>27</v>
      </c>
      <c r="E630" s="1" t="s">
        <v>202</v>
      </c>
      <c r="F630" s="1" t="s">
        <v>75</v>
      </c>
      <c r="G630" s="1" t="s">
        <v>53</v>
      </c>
      <c r="H630" s="1" t="s">
        <v>69</v>
      </c>
      <c r="I630" s="1" t="s">
        <v>24</v>
      </c>
      <c r="J630" s="7">
        <v>45722</v>
      </c>
      <c r="K630" s="2">
        <v>45844</v>
      </c>
      <c r="L630" s="1">
        <v>4</v>
      </c>
      <c r="M630" s="1" t="s">
        <v>56</v>
      </c>
      <c r="N630" s="1" t="s">
        <v>85</v>
      </c>
      <c r="O630" s="1">
        <v>123679.64</v>
      </c>
      <c r="P630" s="1">
        <v>4</v>
      </c>
      <c r="Q630" s="1" t="s">
        <v>72</v>
      </c>
    </row>
    <row r="631" spans="1:17">
      <c r="A631" s="1" t="s">
        <v>1217</v>
      </c>
      <c r="B631" s="1" t="s">
        <v>412</v>
      </c>
      <c r="C631" s="1">
        <v>86</v>
      </c>
      <c r="D631" s="1" t="s">
        <v>19</v>
      </c>
      <c r="E631" s="1" t="s">
        <v>32</v>
      </c>
      <c r="F631" s="1" t="s">
        <v>75</v>
      </c>
      <c r="G631" s="1" t="s">
        <v>132</v>
      </c>
      <c r="H631" s="1" t="s">
        <v>45</v>
      </c>
      <c r="I631" s="1" t="s">
        <v>24</v>
      </c>
      <c r="J631" s="7" t="s">
        <v>488</v>
      </c>
      <c r="K631" s="1" t="s">
        <v>820</v>
      </c>
      <c r="L631" s="1">
        <v>4</v>
      </c>
      <c r="M631" s="1" t="s">
        <v>38</v>
      </c>
      <c r="N631" s="1" t="s">
        <v>28</v>
      </c>
      <c r="O631" s="1">
        <v>77684.98</v>
      </c>
      <c r="P631" s="1">
        <v>3</v>
      </c>
      <c r="Q631" s="1" t="s">
        <v>72</v>
      </c>
    </row>
    <row r="632" spans="1:17">
      <c r="A632" s="1" t="s">
        <v>1218</v>
      </c>
      <c r="B632" s="1" t="s">
        <v>423</v>
      </c>
      <c r="C632" s="1">
        <v>10</v>
      </c>
      <c r="D632" s="1" t="s">
        <v>43</v>
      </c>
      <c r="E632" s="1" t="s">
        <v>20</v>
      </c>
      <c r="F632" s="1" t="s">
        <v>120</v>
      </c>
      <c r="G632" s="1" t="s">
        <v>104</v>
      </c>
      <c r="H632" s="1" t="s">
        <v>76</v>
      </c>
      <c r="I632" s="1" t="s">
        <v>62</v>
      </c>
      <c r="J632" s="7" t="s">
        <v>257</v>
      </c>
      <c r="K632" s="1" t="s">
        <v>1219</v>
      </c>
      <c r="L632" s="1">
        <v>1</v>
      </c>
      <c r="M632" s="1" t="s">
        <v>97</v>
      </c>
      <c r="N632" s="1" t="s">
        <v>63</v>
      </c>
      <c r="O632" s="1">
        <v>21724.81</v>
      </c>
      <c r="P632" s="1">
        <v>4</v>
      </c>
      <c r="Q632" s="1" t="s">
        <v>40</v>
      </c>
    </row>
    <row r="633" spans="1:17">
      <c r="A633" s="1" t="s">
        <v>1220</v>
      </c>
      <c r="B633" s="1" t="s">
        <v>87</v>
      </c>
      <c r="C633" s="1">
        <v>29</v>
      </c>
      <c r="D633" s="1" t="s">
        <v>19</v>
      </c>
      <c r="E633" s="1" t="s">
        <v>202</v>
      </c>
      <c r="F633" s="1" t="s">
        <v>21</v>
      </c>
      <c r="G633" s="1" t="s">
        <v>132</v>
      </c>
      <c r="H633" s="1" t="s">
        <v>45</v>
      </c>
      <c r="I633" s="1" t="s">
        <v>36</v>
      </c>
      <c r="J633" s="7" t="s">
        <v>1221</v>
      </c>
      <c r="K633" s="1" t="s">
        <v>705</v>
      </c>
      <c r="L633" s="1">
        <v>9</v>
      </c>
      <c r="M633" s="1" t="s">
        <v>38</v>
      </c>
      <c r="N633" s="1" t="s">
        <v>39</v>
      </c>
      <c r="O633" s="1">
        <v>68117.350000000006</v>
      </c>
      <c r="P633" s="1">
        <v>4</v>
      </c>
      <c r="Q633" s="1" t="s">
        <v>58</v>
      </c>
    </row>
    <row r="634" spans="1:17">
      <c r="A634" s="1" t="s">
        <v>1222</v>
      </c>
      <c r="B634" s="1" t="s">
        <v>519</v>
      </c>
      <c r="C634" s="1">
        <v>73</v>
      </c>
      <c r="D634" s="1" t="s">
        <v>27</v>
      </c>
      <c r="E634" s="1" t="s">
        <v>247</v>
      </c>
      <c r="F634" s="1" t="s">
        <v>67</v>
      </c>
      <c r="G634" s="1" t="s">
        <v>104</v>
      </c>
      <c r="H634" s="1" t="s">
        <v>61</v>
      </c>
      <c r="I634" s="1" t="s">
        <v>24</v>
      </c>
      <c r="J634" s="7" t="s">
        <v>209</v>
      </c>
      <c r="K634" s="1" t="s">
        <v>210</v>
      </c>
      <c r="L634" s="1">
        <v>1</v>
      </c>
      <c r="M634" s="1" t="s">
        <v>56</v>
      </c>
      <c r="N634" s="1" t="s">
        <v>39</v>
      </c>
      <c r="O634" s="1">
        <v>72765.41</v>
      </c>
      <c r="P634" s="1">
        <v>4</v>
      </c>
      <c r="Q634" s="1" t="s">
        <v>72</v>
      </c>
    </row>
    <row r="635" spans="1:17">
      <c r="A635" s="1" t="s">
        <v>1223</v>
      </c>
      <c r="B635" s="1" t="s">
        <v>384</v>
      </c>
      <c r="C635" s="1">
        <v>57</v>
      </c>
      <c r="D635" s="1" t="s">
        <v>43</v>
      </c>
      <c r="E635" s="1" t="s">
        <v>202</v>
      </c>
      <c r="F635" s="1" t="s">
        <v>21</v>
      </c>
      <c r="G635" s="1" t="s">
        <v>22</v>
      </c>
      <c r="H635" s="1" t="s">
        <v>45</v>
      </c>
      <c r="I635" s="1" t="s">
        <v>62</v>
      </c>
      <c r="J635" s="7">
        <v>45698</v>
      </c>
      <c r="K635" s="2">
        <v>45726</v>
      </c>
      <c r="L635" s="1">
        <v>1</v>
      </c>
      <c r="M635" s="1" t="s">
        <v>38</v>
      </c>
      <c r="N635" s="1" t="s">
        <v>57</v>
      </c>
      <c r="O635" s="1">
        <v>48405.99</v>
      </c>
      <c r="P635" s="1">
        <v>2</v>
      </c>
      <c r="Q635" s="1" t="s">
        <v>40</v>
      </c>
    </row>
    <row r="636" spans="1:17">
      <c r="A636" s="1" t="s">
        <v>1224</v>
      </c>
      <c r="B636" s="1" t="s">
        <v>221</v>
      </c>
      <c r="C636" s="1">
        <v>9</v>
      </c>
      <c r="D636" s="1" t="s">
        <v>19</v>
      </c>
      <c r="E636" s="1" t="s">
        <v>117</v>
      </c>
      <c r="F636" s="1" t="s">
        <v>52</v>
      </c>
      <c r="G636" s="1" t="s">
        <v>68</v>
      </c>
      <c r="H636" s="1" t="s">
        <v>76</v>
      </c>
      <c r="I636" s="1" t="s">
        <v>36</v>
      </c>
      <c r="J636" s="7" t="s">
        <v>959</v>
      </c>
      <c r="K636" s="1" t="s">
        <v>376</v>
      </c>
      <c r="L636" s="1">
        <v>4</v>
      </c>
      <c r="M636" s="1" t="s">
        <v>48</v>
      </c>
      <c r="N636" s="1" t="s">
        <v>82</v>
      </c>
      <c r="O636" s="1">
        <v>57161.08</v>
      </c>
      <c r="P636" s="1">
        <v>4</v>
      </c>
      <c r="Q636" s="1" t="s">
        <v>58</v>
      </c>
    </row>
    <row r="637" spans="1:17">
      <c r="A637" s="1" t="s">
        <v>1225</v>
      </c>
      <c r="B637" s="1" t="s">
        <v>259</v>
      </c>
      <c r="C637" s="1">
        <v>34</v>
      </c>
      <c r="D637" s="1" t="s">
        <v>19</v>
      </c>
      <c r="E637" s="1" t="s">
        <v>247</v>
      </c>
      <c r="F637" s="1" t="s">
        <v>75</v>
      </c>
      <c r="G637" s="1" t="s">
        <v>53</v>
      </c>
      <c r="H637" s="1" t="s">
        <v>99</v>
      </c>
      <c r="I637" s="1" t="s">
        <v>62</v>
      </c>
      <c r="J637" s="7">
        <v>45516</v>
      </c>
      <c r="K637" s="2">
        <v>45547</v>
      </c>
      <c r="L637" s="1">
        <v>1</v>
      </c>
      <c r="M637" s="1" t="s">
        <v>27</v>
      </c>
      <c r="N637" s="1" t="s">
        <v>63</v>
      </c>
      <c r="O637" s="1">
        <v>36956.199999999997</v>
      </c>
      <c r="P637" s="1">
        <v>5</v>
      </c>
      <c r="Q637" s="1" t="s">
        <v>72</v>
      </c>
    </row>
    <row r="638" spans="1:17">
      <c r="A638" s="1" t="s">
        <v>1226</v>
      </c>
      <c r="B638" s="1" t="s">
        <v>574</v>
      </c>
      <c r="C638" s="1">
        <v>71</v>
      </c>
      <c r="D638" s="1" t="s">
        <v>43</v>
      </c>
      <c r="E638" s="1" t="s">
        <v>202</v>
      </c>
      <c r="F638" s="1" t="s">
        <v>75</v>
      </c>
      <c r="G638" s="1" t="s">
        <v>53</v>
      </c>
      <c r="H638" s="1" t="s">
        <v>76</v>
      </c>
      <c r="I638" s="1" t="s">
        <v>36</v>
      </c>
      <c r="J638" s="7">
        <v>45631</v>
      </c>
      <c r="K638" s="1" t="s">
        <v>938</v>
      </c>
      <c r="L638" s="1">
        <v>4</v>
      </c>
      <c r="M638" s="1" t="s">
        <v>27</v>
      </c>
      <c r="N638" s="1" t="s">
        <v>90</v>
      </c>
      <c r="O638" s="1">
        <v>89200.85</v>
      </c>
      <c r="P638" s="1">
        <v>5</v>
      </c>
      <c r="Q638" s="1" t="s">
        <v>58</v>
      </c>
    </row>
    <row r="639" spans="1:17">
      <c r="A639" s="1" t="s">
        <v>1227</v>
      </c>
      <c r="B639" s="1" t="s">
        <v>1209</v>
      </c>
      <c r="C639" s="1">
        <v>88</v>
      </c>
      <c r="D639" s="1" t="s">
        <v>27</v>
      </c>
      <c r="E639" s="1" t="s">
        <v>159</v>
      </c>
      <c r="F639" s="1" t="s">
        <v>75</v>
      </c>
      <c r="G639" s="1" t="s">
        <v>36</v>
      </c>
      <c r="H639" s="1" t="s">
        <v>35</v>
      </c>
      <c r="I639" s="1" t="s">
        <v>24</v>
      </c>
      <c r="J639" s="7" t="s">
        <v>595</v>
      </c>
      <c r="K639" s="1" t="s">
        <v>1212</v>
      </c>
      <c r="L639" s="1">
        <v>4</v>
      </c>
      <c r="M639" s="1" t="s">
        <v>38</v>
      </c>
      <c r="N639" s="1" t="s">
        <v>82</v>
      </c>
      <c r="O639" s="1">
        <v>43369.46</v>
      </c>
      <c r="P639" s="1">
        <v>4</v>
      </c>
      <c r="Q639" s="1" t="s">
        <v>29</v>
      </c>
    </row>
    <row r="640" spans="1:17">
      <c r="A640" s="1" t="s">
        <v>1228</v>
      </c>
      <c r="B640" s="1" t="s">
        <v>143</v>
      </c>
      <c r="C640" s="1">
        <v>44</v>
      </c>
      <c r="D640" s="1" t="s">
        <v>43</v>
      </c>
      <c r="E640" s="1" t="s">
        <v>202</v>
      </c>
      <c r="F640" s="1" t="s">
        <v>52</v>
      </c>
      <c r="G640" s="1" t="s">
        <v>132</v>
      </c>
      <c r="H640" s="1" t="s">
        <v>76</v>
      </c>
      <c r="I640" s="1" t="s">
        <v>36</v>
      </c>
      <c r="J640" s="7" t="s">
        <v>410</v>
      </c>
      <c r="K640" s="2">
        <v>45325</v>
      </c>
      <c r="L640" s="1">
        <v>2</v>
      </c>
      <c r="M640" s="1" t="s">
        <v>48</v>
      </c>
      <c r="N640" s="1" t="s">
        <v>28</v>
      </c>
      <c r="O640" s="1">
        <v>66565.73</v>
      </c>
      <c r="P640" s="1">
        <v>5</v>
      </c>
      <c r="Q640" s="1" t="s">
        <v>72</v>
      </c>
    </row>
    <row r="641" spans="1:17">
      <c r="A641" s="1" t="s">
        <v>1229</v>
      </c>
      <c r="B641" s="1" t="s">
        <v>264</v>
      </c>
      <c r="C641" s="1">
        <v>17</v>
      </c>
      <c r="D641" s="1" t="s">
        <v>43</v>
      </c>
      <c r="E641" s="1" t="s">
        <v>32</v>
      </c>
      <c r="F641" s="1" t="s">
        <v>120</v>
      </c>
      <c r="G641" s="1" t="s">
        <v>132</v>
      </c>
      <c r="H641" s="1" t="s">
        <v>105</v>
      </c>
      <c r="I641" s="1" t="s">
        <v>24</v>
      </c>
      <c r="J641" s="7">
        <v>45358</v>
      </c>
      <c r="K641" s="2">
        <v>45389</v>
      </c>
      <c r="L641" s="1">
        <v>1</v>
      </c>
      <c r="M641" s="1" t="s">
        <v>56</v>
      </c>
      <c r="N641" s="1" t="s">
        <v>57</v>
      </c>
      <c r="O641" s="1">
        <v>21469.29</v>
      </c>
      <c r="P641" s="1">
        <v>4</v>
      </c>
      <c r="Q641" s="1" t="s">
        <v>40</v>
      </c>
    </row>
    <row r="642" spans="1:17">
      <c r="A642" s="1" t="s">
        <v>1230</v>
      </c>
      <c r="B642" s="1" t="s">
        <v>126</v>
      </c>
      <c r="C642" s="1">
        <v>29</v>
      </c>
      <c r="D642" s="1" t="s">
        <v>43</v>
      </c>
      <c r="E642" s="1" t="s">
        <v>137</v>
      </c>
      <c r="F642" s="1" t="s">
        <v>52</v>
      </c>
      <c r="G642" s="1" t="s">
        <v>68</v>
      </c>
      <c r="H642" s="1" t="s">
        <v>88</v>
      </c>
      <c r="I642" s="1" t="s">
        <v>24</v>
      </c>
      <c r="J642" s="7" t="s">
        <v>1231</v>
      </c>
      <c r="K642" s="2">
        <v>46054</v>
      </c>
      <c r="L642" s="1">
        <v>2</v>
      </c>
      <c r="M642" s="1" t="s">
        <v>97</v>
      </c>
      <c r="N642" s="1" t="s">
        <v>82</v>
      </c>
      <c r="O642" s="1">
        <v>62937.33</v>
      </c>
      <c r="P642" s="1">
        <v>4</v>
      </c>
      <c r="Q642" s="1" t="s">
        <v>72</v>
      </c>
    </row>
    <row r="643" spans="1:17">
      <c r="A643" s="1" t="s">
        <v>1232</v>
      </c>
      <c r="B643" s="1" t="s">
        <v>283</v>
      </c>
      <c r="C643" s="1">
        <v>27</v>
      </c>
      <c r="D643" s="1" t="s">
        <v>19</v>
      </c>
      <c r="E643" s="1" t="s">
        <v>159</v>
      </c>
      <c r="F643" s="1" t="s">
        <v>52</v>
      </c>
      <c r="G643" s="1" t="s">
        <v>22</v>
      </c>
      <c r="H643" s="1" t="s">
        <v>88</v>
      </c>
      <c r="I643" s="1" t="s">
        <v>62</v>
      </c>
      <c r="J643" s="7" t="s">
        <v>155</v>
      </c>
      <c r="K643" s="1" t="s">
        <v>710</v>
      </c>
      <c r="L643" s="1">
        <v>2</v>
      </c>
      <c r="M643" s="1" t="s">
        <v>48</v>
      </c>
      <c r="N643" s="1" t="s">
        <v>28</v>
      </c>
      <c r="O643" s="1">
        <v>64918.49</v>
      </c>
      <c r="P643" s="1">
        <v>5</v>
      </c>
      <c r="Q643" s="1" t="s">
        <v>58</v>
      </c>
    </row>
    <row r="644" spans="1:17">
      <c r="A644" s="1" t="s">
        <v>1233</v>
      </c>
      <c r="B644" s="1" t="s">
        <v>857</v>
      </c>
      <c r="C644" s="1">
        <v>5</v>
      </c>
      <c r="D644" s="1" t="s">
        <v>43</v>
      </c>
      <c r="E644" s="1" t="s">
        <v>137</v>
      </c>
      <c r="F644" s="1" t="s">
        <v>33</v>
      </c>
      <c r="G644" s="1" t="s">
        <v>22</v>
      </c>
      <c r="H644" s="1" t="s">
        <v>99</v>
      </c>
      <c r="I644" s="1" t="s">
        <v>62</v>
      </c>
      <c r="J644" s="7">
        <v>45606</v>
      </c>
      <c r="K644" s="1" t="s">
        <v>460</v>
      </c>
      <c r="L644" s="1">
        <v>3</v>
      </c>
      <c r="M644" s="1" t="s">
        <v>48</v>
      </c>
      <c r="N644" s="1" t="s">
        <v>85</v>
      </c>
      <c r="O644" s="1">
        <v>32373.75</v>
      </c>
      <c r="P644" s="1">
        <v>4</v>
      </c>
      <c r="Q644" s="1" t="s">
        <v>29</v>
      </c>
    </row>
    <row r="645" spans="1:17">
      <c r="A645" s="1" t="s">
        <v>1234</v>
      </c>
      <c r="B645" s="1" t="s">
        <v>131</v>
      </c>
      <c r="C645" s="1">
        <v>49</v>
      </c>
      <c r="D645" s="1" t="s">
        <v>19</v>
      </c>
      <c r="E645" s="1" t="s">
        <v>44</v>
      </c>
      <c r="F645" s="1" t="s">
        <v>21</v>
      </c>
      <c r="G645" s="1" t="s">
        <v>34</v>
      </c>
      <c r="H645" s="1" t="s">
        <v>23</v>
      </c>
      <c r="I645" s="1" t="s">
        <v>36</v>
      </c>
      <c r="J645" s="7">
        <v>45819</v>
      </c>
      <c r="K645" s="2">
        <v>45941</v>
      </c>
      <c r="L645" s="1">
        <v>4</v>
      </c>
      <c r="M645" s="1" t="s">
        <v>38</v>
      </c>
      <c r="N645" s="1" t="s">
        <v>63</v>
      </c>
      <c r="O645" s="1">
        <v>138342.46</v>
      </c>
      <c r="P645" s="1">
        <v>5</v>
      </c>
      <c r="Q645" s="1" t="s">
        <v>58</v>
      </c>
    </row>
    <row r="646" spans="1:17">
      <c r="A646" s="1" t="s">
        <v>1235</v>
      </c>
      <c r="B646" s="1" t="s">
        <v>659</v>
      </c>
      <c r="C646" s="1">
        <v>55</v>
      </c>
      <c r="D646" s="1" t="s">
        <v>27</v>
      </c>
      <c r="E646" s="1" t="s">
        <v>66</v>
      </c>
      <c r="F646" s="1" t="s">
        <v>33</v>
      </c>
      <c r="G646" s="1" t="s">
        <v>68</v>
      </c>
      <c r="H646" s="1" t="s">
        <v>23</v>
      </c>
      <c r="I646" s="1" t="s">
        <v>62</v>
      </c>
      <c r="J646" s="7" t="s">
        <v>1236</v>
      </c>
      <c r="K646" s="2">
        <v>45354</v>
      </c>
      <c r="L646" s="1">
        <v>4</v>
      </c>
      <c r="M646" s="1" t="s">
        <v>56</v>
      </c>
      <c r="N646" s="1" t="s">
        <v>85</v>
      </c>
      <c r="O646" s="1">
        <v>45835.69</v>
      </c>
      <c r="P646" s="1">
        <v>4</v>
      </c>
      <c r="Q646" s="1" t="s">
        <v>72</v>
      </c>
    </row>
    <row r="647" spans="1:17">
      <c r="A647" s="1" t="s">
        <v>1237</v>
      </c>
      <c r="B647" s="1" t="s">
        <v>259</v>
      </c>
      <c r="C647" s="1">
        <v>36</v>
      </c>
      <c r="D647" s="1" t="s">
        <v>27</v>
      </c>
      <c r="E647" s="1" t="s">
        <v>32</v>
      </c>
      <c r="F647" s="1" t="s">
        <v>120</v>
      </c>
      <c r="G647" s="1" t="s">
        <v>34</v>
      </c>
      <c r="H647" s="1" t="s">
        <v>69</v>
      </c>
      <c r="I647" s="1" t="s">
        <v>24</v>
      </c>
      <c r="J647" s="7">
        <v>45483</v>
      </c>
      <c r="K647" s="2">
        <v>45545</v>
      </c>
      <c r="L647" s="1">
        <v>2</v>
      </c>
      <c r="M647" s="1" t="s">
        <v>38</v>
      </c>
      <c r="N647" s="1" t="s">
        <v>39</v>
      </c>
      <c r="O647" s="1">
        <v>46171.21</v>
      </c>
      <c r="P647" s="1">
        <v>3</v>
      </c>
      <c r="Q647" s="1" t="s">
        <v>40</v>
      </c>
    </row>
    <row r="648" spans="1:17">
      <c r="A648" s="1" t="s">
        <v>1238</v>
      </c>
      <c r="B648" s="1" t="s">
        <v>521</v>
      </c>
      <c r="C648" s="1">
        <v>23</v>
      </c>
      <c r="D648" s="1" t="s">
        <v>43</v>
      </c>
      <c r="E648" s="1" t="s">
        <v>117</v>
      </c>
      <c r="F648" s="1" t="s">
        <v>67</v>
      </c>
      <c r="G648" s="1" t="s">
        <v>53</v>
      </c>
      <c r="H648" s="1" t="s">
        <v>93</v>
      </c>
      <c r="I648" s="1" t="s">
        <v>24</v>
      </c>
      <c r="J648" s="7" t="s">
        <v>100</v>
      </c>
      <c r="K648" s="1" t="s">
        <v>1183</v>
      </c>
      <c r="L648" s="1">
        <v>3</v>
      </c>
      <c r="M648" s="1" t="s">
        <v>38</v>
      </c>
      <c r="N648" s="1" t="s">
        <v>28</v>
      </c>
      <c r="O648" s="1">
        <v>99599.4</v>
      </c>
      <c r="P648" s="1">
        <v>4</v>
      </c>
      <c r="Q648" s="1" t="s">
        <v>58</v>
      </c>
    </row>
    <row r="649" spans="1:17">
      <c r="A649" s="1" t="s">
        <v>1239</v>
      </c>
      <c r="B649" s="1" t="s">
        <v>236</v>
      </c>
      <c r="C649" s="1">
        <v>24</v>
      </c>
      <c r="D649" s="1" t="s">
        <v>43</v>
      </c>
      <c r="E649" s="1" t="s">
        <v>202</v>
      </c>
      <c r="F649" s="1" t="s">
        <v>67</v>
      </c>
      <c r="G649" s="1" t="s">
        <v>34</v>
      </c>
      <c r="H649" s="1" t="s">
        <v>61</v>
      </c>
      <c r="I649" s="1" t="s">
        <v>24</v>
      </c>
      <c r="J649" s="7">
        <v>45545</v>
      </c>
      <c r="K649" s="1" t="s">
        <v>460</v>
      </c>
      <c r="L649" s="1">
        <v>5</v>
      </c>
      <c r="M649" s="1" t="s">
        <v>56</v>
      </c>
      <c r="N649" s="1" t="s">
        <v>28</v>
      </c>
      <c r="O649" s="1">
        <v>25130.84</v>
      </c>
      <c r="P649" s="1">
        <v>4</v>
      </c>
      <c r="Q649" s="1" t="s">
        <v>40</v>
      </c>
    </row>
    <row r="650" spans="1:17">
      <c r="A650" s="1" t="s">
        <v>1240</v>
      </c>
      <c r="B650" s="1" t="s">
        <v>264</v>
      </c>
      <c r="C650" s="1">
        <v>33</v>
      </c>
      <c r="D650" s="1" t="s">
        <v>19</v>
      </c>
      <c r="E650" s="1" t="s">
        <v>20</v>
      </c>
      <c r="F650" s="1" t="s">
        <v>21</v>
      </c>
      <c r="G650" s="1" t="s">
        <v>132</v>
      </c>
      <c r="H650" s="1" t="s">
        <v>88</v>
      </c>
      <c r="I650" s="1" t="s">
        <v>62</v>
      </c>
      <c r="J650" s="7" t="s">
        <v>827</v>
      </c>
      <c r="K650" s="1" t="s">
        <v>582</v>
      </c>
      <c r="L650" s="1">
        <v>4</v>
      </c>
      <c r="M650" s="1" t="s">
        <v>27</v>
      </c>
      <c r="N650" s="1" t="s">
        <v>82</v>
      </c>
      <c r="O650" s="1">
        <v>19968.93</v>
      </c>
      <c r="P650" s="1">
        <v>4</v>
      </c>
      <c r="Q650" s="1" t="s">
        <v>58</v>
      </c>
    </row>
    <row r="651" spans="1:17">
      <c r="A651" s="1" t="s">
        <v>1241</v>
      </c>
      <c r="B651" s="1" t="s">
        <v>396</v>
      </c>
      <c r="C651" s="1">
        <v>10</v>
      </c>
      <c r="D651" s="1" t="s">
        <v>27</v>
      </c>
      <c r="E651" s="1" t="s">
        <v>66</v>
      </c>
      <c r="F651" s="1" t="s">
        <v>120</v>
      </c>
      <c r="G651" s="1" t="s">
        <v>53</v>
      </c>
      <c r="H651" s="1" t="s">
        <v>88</v>
      </c>
      <c r="I651" s="1" t="s">
        <v>36</v>
      </c>
      <c r="J651" s="7">
        <v>45994</v>
      </c>
      <c r="K651" s="1" t="s">
        <v>340</v>
      </c>
      <c r="L651" s="1">
        <v>1</v>
      </c>
      <c r="M651" s="1" t="s">
        <v>38</v>
      </c>
      <c r="N651" s="1" t="s">
        <v>85</v>
      </c>
      <c r="O651" s="1">
        <v>167001.01999999999</v>
      </c>
      <c r="P651" s="1">
        <v>4</v>
      </c>
      <c r="Q651" s="1" t="s">
        <v>72</v>
      </c>
    </row>
    <row r="652" spans="1:17">
      <c r="A652" s="1" t="s">
        <v>1242</v>
      </c>
      <c r="B652" s="1" t="s">
        <v>280</v>
      </c>
      <c r="C652" s="1">
        <v>14</v>
      </c>
      <c r="D652" s="1" t="s">
        <v>27</v>
      </c>
      <c r="E652" s="1" t="s">
        <v>32</v>
      </c>
      <c r="F652" s="1" t="s">
        <v>75</v>
      </c>
      <c r="G652" s="1" t="s">
        <v>53</v>
      </c>
      <c r="H652" s="1" t="s">
        <v>61</v>
      </c>
      <c r="I652" s="1" t="s">
        <v>36</v>
      </c>
      <c r="J652" s="7">
        <v>45390</v>
      </c>
      <c r="K652" s="2">
        <v>45512</v>
      </c>
      <c r="L652" s="1">
        <v>4</v>
      </c>
      <c r="M652" s="1" t="s">
        <v>27</v>
      </c>
      <c r="N652" s="1" t="s">
        <v>90</v>
      </c>
      <c r="O652" s="1">
        <v>68382.289999999994</v>
      </c>
      <c r="P652" s="1">
        <v>4</v>
      </c>
      <c r="Q652" s="1" t="s">
        <v>58</v>
      </c>
    </row>
    <row r="653" spans="1:17">
      <c r="A653" s="1" t="s">
        <v>1243</v>
      </c>
      <c r="B653" s="1" t="s">
        <v>507</v>
      </c>
      <c r="C653" s="1">
        <v>69</v>
      </c>
      <c r="D653" s="1" t="s">
        <v>27</v>
      </c>
      <c r="E653" s="1" t="s">
        <v>247</v>
      </c>
      <c r="F653" s="1" t="s">
        <v>21</v>
      </c>
      <c r="G653" s="1" t="s">
        <v>104</v>
      </c>
      <c r="H653" s="1" t="s">
        <v>88</v>
      </c>
      <c r="I653" s="1" t="s">
        <v>62</v>
      </c>
      <c r="J653" s="7">
        <v>45387</v>
      </c>
      <c r="K653" s="1" t="s">
        <v>534</v>
      </c>
      <c r="L653" s="1">
        <v>9</v>
      </c>
      <c r="M653" s="1" t="s">
        <v>56</v>
      </c>
      <c r="N653" s="1" t="s">
        <v>57</v>
      </c>
      <c r="O653" s="1">
        <v>39562.92</v>
      </c>
      <c r="P653" s="1">
        <v>5</v>
      </c>
      <c r="Q653" s="1" t="s">
        <v>40</v>
      </c>
    </row>
    <row r="654" spans="1:17">
      <c r="A654" s="1" t="s">
        <v>1244</v>
      </c>
      <c r="B654" s="1" t="s">
        <v>315</v>
      </c>
      <c r="C654" s="1">
        <v>15</v>
      </c>
      <c r="D654" s="1" t="s">
        <v>27</v>
      </c>
      <c r="E654" s="1" t="s">
        <v>159</v>
      </c>
      <c r="F654" s="1" t="s">
        <v>33</v>
      </c>
      <c r="G654" s="1" t="s">
        <v>53</v>
      </c>
      <c r="H654" s="1" t="s">
        <v>45</v>
      </c>
      <c r="I654" s="1" t="s">
        <v>36</v>
      </c>
      <c r="J654" s="7">
        <v>45360</v>
      </c>
      <c r="K654" s="2">
        <v>45574</v>
      </c>
      <c r="L654" s="1">
        <v>7</v>
      </c>
      <c r="M654" s="1" t="s">
        <v>27</v>
      </c>
      <c r="N654" s="1" t="s">
        <v>39</v>
      </c>
      <c r="O654" s="1">
        <v>62388</v>
      </c>
      <c r="P654" s="1">
        <v>5</v>
      </c>
      <c r="Q654" s="1" t="s">
        <v>29</v>
      </c>
    </row>
    <row r="655" spans="1:17">
      <c r="A655" s="1" t="s">
        <v>1245</v>
      </c>
      <c r="B655" s="1" t="s">
        <v>494</v>
      </c>
      <c r="C655" s="1">
        <v>69</v>
      </c>
      <c r="D655" s="1" t="s">
        <v>19</v>
      </c>
      <c r="E655" s="1" t="s">
        <v>51</v>
      </c>
      <c r="F655" s="1" t="s">
        <v>21</v>
      </c>
      <c r="G655" s="1" t="s">
        <v>68</v>
      </c>
      <c r="H655" s="1" t="s">
        <v>105</v>
      </c>
      <c r="I655" s="1" t="s">
        <v>24</v>
      </c>
      <c r="J655" s="7" t="s">
        <v>990</v>
      </c>
      <c r="K655" s="1" t="s">
        <v>463</v>
      </c>
      <c r="L655" s="1">
        <v>5</v>
      </c>
      <c r="M655" s="1" t="s">
        <v>97</v>
      </c>
      <c r="N655" s="1" t="s">
        <v>63</v>
      </c>
      <c r="O655" s="1">
        <v>36934.74</v>
      </c>
      <c r="P655" s="1">
        <v>2</v>
      </c>
      <c r="Q655" s="1" t="s">
        <v>29</v>
      </c>
    </row>
    <row r="656" spans="1:17">
      <c r="A656" s="1" t="s">
        <v>1246</v>
      </c>
      <c r="B656" s="1" t="s">
        <v>428</v>
      </c>
      <c r="C656" s="1">
        <v>24</v>
      </c>
      <c r="D656" s="1" t="s">
        <v>43</v>
      </c>
      <c r="E656" s="1" t="s">
        <v>66</v>
      </c>
      <c r="F656" s="1" t="s">
        <v>75</v>
      </c>
      <c r="G656" s="1" t="s">
        <v>104</v>
      </c>
      <c r="H656" s="1" t="s">
        <v>45</v>
      </c>
      <c r="I656" s="1" t="s">
        <v>36</v>
      </c>
      <c r="J656" s="7" t="s">
        <v>818</v>
      </c>
      <c r="K656" s="1" t="s">
        <v>444</v>
      </c>
      <c r="L656" s="1">
        <v>1</v>
      </c>
      <c r="M656" s="1" t="s">
        <v>27</v>
      </c>
      <c r="N656" s="1" t="s">
        <v>39</v>
      </c>
      <c r="O656" s="1">
        <v>21227.05</v>
      </c>
      <c r="P656" s="1">
        <v>1</v>
      </c>
      <c r="Q656" s="1" t="s">
        <v>58</v>
      </c>
    </row>
    <row r="657" spans="1:17">
      <c r="A657" s="1" t="s">
        <v>1247</v>
      </c>
      <c r="B657" s="1" t="s">
        <v>31</v>
      </c>
      <c r="C657" s="1">
        <v>55</v>
      </c>
      <c r="D657" s="1" t="s">
        <v>43</v>
      </c>
      <c r="E657" s="1" t="s">
        <v>202</v>
      </c>
      <c r="F657" s="1" t="s">
        <v>75</v>
      </c>
      <c r="G657" s="1" t="s">
        <v>68</v>
      </c>
      <c r="H657" s="1" t="s">
        <v>45</v>
      </c>
      <c r="I657" s="1" t="s">
        <v>24</v>
      </c>
      <c r="J657" s="7">
        <v>45570</v>
      </c>
      <c r="K657" s="1" t="s">
        <v>938</v>
      </c>
      <c r="L657" s="1">
        <v>6</v>
      </c>
      <c r="M657" s="1" t="s">
        <v>38</v>
      </c>
      <c r="N657" s="1" t="s">
        <v>57</v>
      </c>
      <c r="O657" s="1">
        <v>36587.01</v>
      </c>
      <c r="P657" s="1">
        <v>5</v>
      </c>
      <c r="Q657" s="1" t="s">
        <v>58</v>
      </c>
    </row>
    <row r="658" spans="1:17">
      <c r="A658" s="1" t="s">
        <v>1248</v>
      </c>
      <c r="B658" s="1" t="s">
        <v>510</v>
      </c>
      <c r="C658" s="1">
        <v>81</v>
      </c>
      <c r="D658" s="1" t="s">
        <v>43</v>
      </c>
      <c r="E658" s="1" t="s">
        <v>159</v>
      </c>
      <c r="F658" s="1" t="s">
        <v>33</v>
      </c>
      <c r="G658" s="1" t="s">
        <v>110</v>
      </c>
      <c r="H658" s="1" t="s">
        <v>69</v>
      </c>
      <c r="I658" s="1" t="s">
        <v>62</v>
      </c>
      <c r="J658" s="7" t="s">
        <v>292</v>
      </c>
      <c r="K658" s="1" t="s">
        <v>148</v>
      </c>
      <c r="L658" s="1">
        <v>8</v>
      </c>
      <c r="M658" s="1" t="s">
        <v>97</v>
      </c>
      <c r="N658" s="1" t="s">
        <v>85</v>
      </c>
      <c r="O658" s="1">
        <v>201468.87</v>
      </c>
      <c r="P658" s="1">
        <v>2</v>
      </c>
      <c r="Q658" s="1" t="s">
        <v>40</v>
      </c>
    </row>
    <row r="659" spans="1:17">
      <c r="A659" s="1" t="s">
        <v>1249</v>
      </c>
      <c r="B659" s="1" t="s">
        <v>762</v>
      </c>
      <c r="C659" s="1">
        <v>13</v>
      </c>
      <c r="D659" s="1" t="s">
        <v>19</v>
      </c>
      <c r="E659" s="1" t="s">
        <v>202</v>
      </c>
      <c r="F659" s="1" t="s">
        <v>52</v>
      </c>
      <c r="G659" s="1" t="s">
        <v>36</v>
      </c>
      <c r="H659" s="1" t="s">
        <v>105</v>
      </c>
      <c r="I659" s="1" t="s">
        <v>24</v>
      </c>
      <c r="J659" s="7" t="s">
        <v>364</v>
      </c>
      <c r="K659" s="2">
        <v>45362</v>
      </c>
      <c r="L659" s="1">
        <v>3</v>
      </c>
      <c r="M659" s="1" t="s">
        <v>56</v>
      </c>
      <c r="N659" s="1" t="s">
        <v>57</v>
      </c>
      <c r="O659" s="1">
        <v>35564.410000000003</v>
      </c>
      <c r="P659" s="1">
        <v>3</v>
      </c>
      <c r="Q659" s="1" t="s">
        <v>40</v>
      </c>
    </row>
    <row r="660" spans="1:17">
      <c r="A660" s="1" t="s">
        <v>1250</v>
      </c>
      <c r="B660" s="1" t="s">
        <v>699</v>
      </c>
      <c r="C660" s="1">
        <v>74</v>
      </c>
      <c r="D660" s="1" t="s">
        <v>27</v>
      </c>
      <c r="E660" s="1" t="s">
        <v>117</v>
      </c>
      <c r="F660" s="1" t="s">
        <v>67</v>
      </c>
      <c r="G660" s="1" t="s">
        <v>68</v>
      </c>
      <c r="H660" s="1" t="s">
        <v>105</v>
      </c>
      <c r="I660" s="1" t="s">
        <v>36</v>
      </c>
      <c r="J660" s="7" t="s">
        <v>517</v>
      </c>
      <c r="K660" s="1" t="s">
        <v>869</v>
      </c>
      <c r="L660" s="1">
        <v>3</v>
      </c>
      <c r="M660" s="1" t="s">
        <v>56</v>
      </c>
      <c r="N660" s="1" t="s">
        <v>63</v>
      </c>
      <c r="O660" s="1">
        <v>47524.41</v>
      </c>
      <c r="P660" s="1">
        <v>3</v>
      </c>
      <c r="Q660" s="1" t="s">
        <v>40</v>
      </c>
    </row>
    <row r="661" spans="1:17">
      <c r="A661" s="1" t="s">
        <v>1251</v>
      </c>
      <c r="B661" s="1" t="s">
        <v>954</v>
      </c>
      <c r="C661" s="1">
        <v>19</v>
      </c>
      <c r="D661" s="1" t="s">
        <v>19</v>
      </c>
      <c r="E661" s="1" t="s">
        <v>159</v>
      </c>
      <c r="F661" s="1" t="s">
        <v>75</v>
      </c>
      <c r="G661" s="1" t="s">
        <v>34</v>
      </c>
      <c r="H661" s="1" t="s">
        <v>69</v>
      </c>
      <c r="I661" s="1" t="s">
        <v>62</v>
      </c>
      <c r="J661" s="7" t="s">
        <v>1086</v>
      </c>
      <c r="K661" s="2">
        <v>45543</v>
      </c>
      <c r="L661" s="1">
        <v>10</v>
      </c>
      <c r="M661" s="1" t="s">
        <v>56</v>
      </c>
      <c r="N661" s="1" t="s">
        <v>82</v>
      </c>
      <c r="O661" s="1">
        <v>200932.07</v>
      </c>
      <c r="P661" s="1">
        <v>4</v>
      </c>
      <c r="Q661" s="1" t="s">
        <v>58</v>
      </c>
    </row>
    <row r="662" spans="1:17">
      <c r="A662" s="1" t="s">
        <v>1252</v>
      </c>
      <c r="B662" s="1" t="s">
        <v>50</v>
      </c>
      <c r="C662" s="1">
        <v>57</v>
      </c>
      <c r="D662" s="1" t="s">
        <v>27</v>
      </c>
      <c r="E662" s="1" t="s">
        <v>117</v>
      </c>
      <c r="F662" s="1" t="s">
        <v>52</v>
      </c>
      <c r="G662" s="1" t="s">
        <v>22</v>
      </c>
      <c r="H662" s="1" t="s">
        <v>93</v>
      </c>
      <c r="I662" s="1" t="s">
        <v>24</v>
      </c>
      <c r="J662" s="7">
        <v>45540</v>
      </c>
      <c r="K662" s="2">
        <v>45601</v>
      </c>
      <c r="L662" s="1">
        <v>2</v>
      </c>
      <c r="M662" s="1" t="s">
        <v>48</v>
      </c>
      <c r="N662" s="1" t="s">
        <v>82</v>
      </c>
      <c r="O662" s="1">
        <v>76888.22</v>
      </c>
      <c r="P662" s="1">
        <v>4</v>
      </c>
      <c r="Q662" s="1" t="s">
        <v>72</v>
      </c>
    </row>
    <row r="663" spans="1:17">
      <c r="A663" s="1" t="s">
        <v>1253</v>
      </c>
      <c r="B663" s="1" t="s">
        <v>551</v>
      </c>
      <c r="C663" s="1">
        <v>29</v>
      </c>
      <c r="D663" s="1" t="s">
        <v>27</v>
      </c>
      <c r="E663" s="1" t="s">
        <v>137</v>
      </c>
      <c r="F663" s="1" t="s">
        <v>75</v>
      </c>
      <c r="G663" s="1" t="s">
        <v>104</v>
      </c>
      <c r="H663" s="1" t="s">
        <v>23</v>
      </c>
      <c r="I663" s="1" t="s">
        <v>24</v>
      </c>
      <c r="J663" s="7" t="s">
        <v>1254</v>
      </c>
      <c r="K663" s="1" t="s">
        <v>1255</v>
      </c>
      <c r="L663" s="1">
        <v>1</v>
      </c>
      <c r="M663" s="1" t="s">
        <v>27</v>
      </c>
      <c r="N663" s="1" t="s">
        <v>82</v>
      </c>
      <c r="O663" s="1">
        <v>61061.95</v>
      </c>
      <c r="P663" s="1">
        <v>2</v>
      </c>
      <c r="Q663" s="1" t="s">
        <v>29</v>
      </c>
    </row>
    <row r="664" spans="1:17">
      <c r="A664" s="1" t="s">
        <v>1256</v>
      </c>
      <c r="B664" s="1" t="s">
        <v>162</v>
      </c>
      <c r="C664" s="1">
        <v>72</v>
      </c>
      <c r="D664" s="1" t="s">
        <v>27</v>
      </c>
      <c r="E664" s="1" t="s">
        <v>117</v>
      </c>
      <c r="F664" s="1" t="s">
        <v>21</v>
      </c>
      <c r="G664" s="1" t="s">
        <v>132</v>
      </c>
      <c r="H664" s="1" t="s">
        <v>61</v>
      </c>
      <c r="I664" s="1" t="s">
        <v>36</v>
      </c>
      <c r="J664" s="7">
        <v>45726</v>
      </c>
      <c r="K664" s="2">
        <v>45787</v>
      </c>
      <c r="L664" s="1">
        <v>2</v>
      </c>
      <c r="M664" s="1" t="s">
        <v>48</v>
      </c>
      <c r="N664" s="1" t="s">
        <v>90</v>
      </c>
      <c r="O664" s="1">
        <v>31365.88</v>
      </c>
      <c r="P664" s="1">
        <v>3</v>
      </c>
      <c r="Q664" s="1" t="s">
        <v>29</v>
      </c>
    </row>
    <row r="665" spans="1:17">
      <c r="A665" s="1" t="s">
        <v>1257</v>
      </c>
      <c r="B665" s="1" t="s">
        <v>204</v>
      </c>
      <c r="C665" s="1">
        <v>1</v>
      </c>
      <c r="D665" s="1" t="s">
        <v>43</v>
      </c>
      <c r="E665" s="1" t="s">
        <v>247</v>
      </c>
      <c r="F665" s="1" t="s">
        <v>33</v>
      </c>
      <c r="G665" s="1" t="s">
        <v>110</v>
      </c>
      <c r="H665" s="1" t="s">
        <v>99</v>
      </c>
      <c r="I665" s="1" t="s">
        <v>24</v>
      </c>
      <c r="J665" s="7">
        <v>45538</v>
      </c>
      <c r="K665" s="1" t="s">
        <v>300</v>
      </c>
      <c r="L665" s="1">
        <v>4</v>
      </c>
      <c r="M665" s="1" t="s">
        <v>56</v>
      </c>
      <c r="N665" s="1" t="s">
        <v>82</v>
      </c>
      <c r="O665" s="1">
        <v>61099.4</v>
      </c>
      <c r="P665" s="1">
        <v>4</v>
      </c>
      <c r="Q665" s="1" t="s">
        <v>29</v>
      </c>
    </row>
    <row r="666" spans="1:17">
      <c r="A666" s="1" t="s">
        <v>1258</v>
      </c>
      <c r="B666" s="1" t="s">
        <v>308</v>
      </c>
      <c r="C666" s="1">
        <v>38</v>
      </c>
      <c r="D666" s="1" t="s">
        <v>27</v>
      </c>
      <c r="E666" s="1" t="s">
        <v>159</v>
      </c>
      <c r="F666" s="1" t="s">
        <v>120</v>
      </c>
      <c r="G666" s="1" t="s">
        <v>53</v>
      </c>
      <c r="H666" s="1" t="s">
        <v>23</v>
      </c>
      <c r="I666" s="1" t="s">
        <v>36</v>
      </c>
      <c r="J666" s="7">
        <v>45966</v>
      </c>
      <c r="K666" s="1" t="s">
        <v>835</v>
      </c>
      <c r="L666" s="1">
        <v>9</v>
      </c>
      <c r="M666" s="1" t="s">
        <v>97</v>
      </c>
      <c r="N666" s="1" t="s">
        <v>28</v>
      </c>
      <c r="O666" s="1">
        <v>75781.16</v>
      </c>
      <c r="P666" s="1">
        <v>2</v>
      </c>
      <c r="Q666" s="1" t="s">
        <v>29</v>
      </c>
    </row>
    <row r="667" spans="1:17">
      <c r="A667" s="1" t="s">
        <v>1259</v>
      </c>
      <c r="B667" s="1" t="s">
        <v>574</v>
      </c>
      <c r="C667" s="1">
        <v>60</v>
      </c>
      <c r="D667" s="1" t="s">
        <v>43</v>
      </c>
      <c r="E667" s="1" t="s">
        <v>117</v>
      </c>
      <c r="F667" s="1" t="s">
        <v>120</v>
      </c>
      <c r="G667" s="1" t="s">
        <v>110</v>
      </c>
      <c r="H667" s="1" t="s">
        <v>93</v>
      </c>
      <c r="I667" s="1" t="s">
        <v>24</v>
      </c>
      <c r="J667" s="7">
        <v>45849</v>
      </c>
      <c r="K667" s="2">
        <v>45941</v>
      </c>
      <c r="L667" s="1">
        <v>3</v>
      </c>
      <c r="M667" s="1" t="s">
        <v>56</v>
      </c>
      <c r="N667" s="1" t="s">
        <v>39</v>
      </c>
      <c r="O667" s="1">
        <v>145015.67999999999</v>
      </c>
      <c r="P667" s="1">
        <v>4</v>
      </c>
      <c r="Q667" s="1" t="s">
        <v>58</v>
      </c>
    </row>
    <row r="668" spans="1:17">
      <c r="A668" s="1" t="s">
        <v>1260</v>
      </c>
      <c r="B668" s="1" t="s">
        <v>920</v>
      </c>
      <c r="C668" s="1">
        <v>8</v>
      </c>
      <c r="D668" s="1" t="s">
        <v>27</v>
      </c>
      <c r="E668" s="1" t="s">
        <v>20</v>
      </c>
      <c r="F668" s="1" t="s">
        <v>120</v>
      </c>
      <c r="G668" s="1" t="s">
        <v>104</v>
      </c>
      <c r="H668" s="1" t="s">
        <v>76</v>
      </c>
      <c r="I668" s="1" t="s">
        <v>24</v>
      </c>
      <c r="J668" s="7" t="s">
        <v>213</v>
      </c>
      <c r="K668" s="2">
        <v>45334</v>
      </c>
      <c r="L668" s="1">
        <v>6</v>
      </c>
      <c r="M668" s="1" t="s">
        <v>48</v>
      </c>
      <c r="N668" s="1" t="s">
        <v>82</v>
      </c>
      <c r="O668" s="1">
        <v>41103.599999999999</v>
      </c>
      <c r="P668" s="1">
        <v>5</v>
      </c>
      <c r="Q668" s="1" t="s">
        <v>58</v>
      </c>
    </row>
    <row r="669" spans="1:17">
      <c r="A669" s="1" t="s">
        <v>1261</v>
      </c>
      <c r="B669" s="1" t="s">
        <v>143</v>
      </c>
      <c r="C669" s="1">
        <v>53</v>
      </c>
      <c r="D669" s="1" t="s">
        <v>19</v>
      </c>
      <c r="E669" s="1" t="s">
        <v>202</v>
      </c>
      <c r="F669" s="1" t="s">
        <v>33</v>
      </c>
      <c r="G669" s="1" t="s">
        <v>22</v>
      </c>
      <c r="H669" s="1" t="s">
        <v>69</v>
      </c>
      <c r="I669" s="1" t="s">
        <v>36</v>
      </c>
      <c r="J669" s="7">
        <v>45908</v>
      </c>
      <c r="K669" s="1" t="s">
        <v>1262</v>
      </c>
      <c r="L669" s="1">
        <v>4</v>
      </c>
      <c r="M669" s="1" t="s">
        <v>38</v>
      </c>
      <c r="N669" s="1" t="s">
        <v>82</v>
      </c>
      <c r="O669" s="1">
        <v>56584.85</v>
      </c>
      <c r="P669" s="1">
        <v>3</v>
      </c>
      <c r="Q669" s="1" t="s">
        <v>72</v>
      </c>
    </row>
    <row r="670" spans="1:17">
      <c r="A670" s="1" t="s">
        <v>1263</v>
      </c>
      <c r="B670" s="1" t="s">
        <v>348</v>
      </c>
      <c r="C670" s="1">
        <v>84</v>
      </c>
      <c r="D670" s="1" t="s">
        <v>19</v>
      </c>
      <c r="E670" s="1" t="s">
        <v>247</v>
      </c>
      <c r="F670" s="1" t="s">
        <v>33</v>
      </c>
      <c r="G670" s="1" t="s">
        <v>110</v>
      </c>
      <c r="H670" s="1" t="s">
        <v>23</v>
      </c>
      <c r="I670" s="1" t="s">
        <v>36</v>
      </c>
      <c r="J670" s="7" t="s">
        <v>466</v>
      </c>
      <c r="K670" s="1" t="s">
        <v>1264</v>
      </c>
      <c r="L670" s="1">
        <v>3</v>
      </c>
      <c r="M670" s="1" t="s">
        <v>27</v>
      </c>
      <c r="N670" s="1" t="s">
        <v>63</v>
      </c>
      <c r="O670" s="1">
        <v>75453.899999999994</v>
      </c>
      <c r="P670" s="1">
        <v>3</v>
      </c>
      <c r="Q670" s="1" t="s">
        <v>29</v>
      </c>
    </row>
    <row r="671" spans="1:17">
      <c r="A671" s="1" t="s">
        <v>1265</v>
      </c>
      <c r="B671" s="1" t="s">
        <v>391</v>
      </c>
      <c r="C671" s="1">
        <v>2</v>
      </c>
      <c r="D671" s="1" t="s">
        <v>19</v>
      </c>
      <c r="E671" s="1" t="s">
        <v>202</v>
      </c>
      <c r="F671" s="1" t="s">
        <v>120</v>
      </c>
      <c r="G671" s="1" t="s">
        <v>104</v>
      </c>
      <c r="H671" s="1" t="s">
        <v>99</v>
      </c>
      <c r="I671" s="1" t="s">
        <v>24</v>
      </c>
      <c r="J671" s="7" t="s">
        <v>1053</v>
      </c>
      <c r="K671" s="1" t="s">
        <v>445</v>
      </c>
      <c r="L671" s="1">
        <v>1</v>
      </c>
      <c r="M671" s="1" t="s">
        <v>48</v>
      </c>
      <c r="N671" s="1" t="s">
        <v>39</v>
      </c>
      <c r="O671" s="1">
        <v>23457.02</v>
      </c>
      <c r="P671" s="1">
        <v>3</v>
      </c>
      <c r="Q671" s="1" t="s">
        <v>58</v>
      </c>
    </row>
    <row r="672" spans="1:17">
      <c r="A672" s="1" t="s">
        <v>1266</v>
      </c>
      <c r="B672" s="1" t="s">
        <v>428</v>
      </c>
      <c r="C672" s="1">
        <v>84</v>
      </c>
      <c r="D672" s="1" t="s">
        <v>43</v>
      </c>
      <c r="E672" s="1" t="s">
        <v>202</v>
      </c>
      <c r="F672" s="1" t="s">
        <v>52</v>
      </c>
      <c r="G672" s="1" t="s">
        <v>22</v>
      </c>
      <c r="H672" s="1" t="s">
        <v>45</v>
      </c>
      <c r="I672" s="1" t="s">
        <v>24</v>
      </c>
      <c r="J672" s="7" t="s">
        <v>1165</v>
      </c>
      <c r="K672" s="1" t="s">
        <v>1146</v>
      </c>
      <c r="L672" s="1">
        <v>12</v>
      </c>
      <c r="M672" s="1" t="s">
        <v>27</v>
      </c>
      <c r="N672" s="1" t="s">
        <v>85</v>
      </c>
      <c r="O672" s="1">
        <v>61036.51</v>
      </c>
      <c r="P672" s="1">
        <v>5</v>
      </c>
      <c r="Q672" s="1" t="s">
        <v>72</v>
      </c>
    </row>
    <row r="673" spans="1:17">
      <c r="A673" s="1" t="s">
        <v>1267</v>
      </c>
      <c r="B673" s="1" t="s">
        <v>369</v>
      </c>
      <c r="C673" s="1">
        <v>76</v>
      </c>
      <c r="D673" s="1" t="s">
        <v>43</v>
      </c>
      <c r="E673" s="1" t="s">
        <v>32</v>
      </c>
      <c r="F673" s="1" t="s">
        <v>120</v>
      </c>
      <c r="G673" s="1" t="s">
        <v>36</v>
      </c>
      <c r="H673" s="1" t="s">
        <v>23</v>
      </c>
      <c r="I673" s="1" t="s">
        <v>24</v>
      </c>
      <c r="J673" s="7" t="s">
        <v>337</v>
      </c>
      <c r="K673" s="1" t="s">
        <v>1268</v>
      </c>
      <c r="L673" s="1">
        <v>11</v>
      </c>
      <c r="M673" s="1" t="s">
        <v>27</v>
      </c>
      <c r="N673" s="1" t="s">
        <v>57</v>
      </c>
      <c r="O673" s="1">
        <v>82842.86</v>
      </c>
      <c r="P673" s="1">
        <v>3</v>
      </c>
      <c r="Q673" s="1" t="s">
        <v>58</v>
      </c>
    </row>
    <row r="674" spans="1:17">
      <c r="A674" s="1" t="s">
        <v>1269</v>
      </c>
      <c r="B674" s="1" t="s">
        <v>992</v>
      </c>
      <c r="C674" s="1">
        <v>38</v>
      </c>
      <c r="D674" s="1" t="s">
        <v>43</v>
      </c>
      <c r="E674" s="1" t="s">
        <v>51</v>
      </c>
      <c r="F674" s="1" t="s">
        <v>52</v>
      </c>
      <c r="G674" s="1" t="s">
        <v>132</v>
      </c>
      <c r="H674" s="1" t="s">
        <v>76</v>
      </c>
      <c r="I674" s="1" t="s">
        <v>36</v>
      </c>
      <c r="J674" s="7">
        <v>45416</v>
      </c>
      <c r="K674" s="2">
        <v>45539</v>
      </c>
      <c r="L674" s="1">
        <v>4</v>
      </c>
      <c r="M674" s="1" t="s">
        <v>97</v>
      </c>
      <c r="N674" s="1" t="s">
        <v>85</v>
      </c>
      <c r="O674" s="1">
        <v>13256.51</v>
      </c>
      <c r="P674" s="1">
        <v>4</v>
      </c>
      <c r="Q674" s="1" t="s">
        <v>72</v>
      </c>
    </row>
    <row r="675" spans="1:17">
      <c r="A675" s="1" t="s">
        <v>1270</v>
      </c>
      <c r="B675" s="1" t="s">
        <v>291</v>
      </c>
      <c r="C675" s="1">
        <v>51</v>
      </c>
      <c r="D675" s="1" t="s">
        <v>19</v>
      </c>
      <c r="E675" s="1" t="s">
        <v>51</v>
      </c>
      <c r="F675" s="1" t="s">
        <v>21</v>
      </c>
      <c r="G675" s="1" t="s">
        <v>68</v>
      </c>
      <c r="H675" s="1" t="s">
        <v>88</v>
      </c>
      <c r="I675" s="1" t="s">
        <v>36</v>
      </c>
      <c r="J675" s="7">
        <v>45692</v>
      </c>
      <c r="K675" s="2">
        <v>45812</v>
      </c>
      <c r="L675" s="1">
        <v>4</v>
      </c>
      <c r="M675" s="1" t="s">
        <v>97</v>
      </c>
      <c r="N675" s="1" t="s">
        <v>90</v>
      </c>
      <c r="O675" s="1">
        <v>22495.3</v>
      </c>
      <c r="P675" s="1">
        <v>4</v>
      </c>
      <c r="Q675" s="1" t="s">
        <v>29</v>
      </c>
    </row>
    <row r="676" spans="1:17">
      <c r="A676" s="1" t="s">
        <v>1271</v>
      </c>
      <c r="B676" s="1" t="s">
        <v>393</v>
      </c>
      <c r="C676" s="1">
        <v>11</v>
      </c>
      <c r="D676" s="1" t="s">
        <v>19</v>
      </c>
      <c r="E676" s="1" t="s">
        <v>66</v>
      </c>
      <c r="F676" s="1" t="s">
        <v>75</v>
      </c>
      <c r="G676" s="1" t="s">
        <v>132</v>
      </c>
      <c r="H676" s="1" t="s">
        <v>99</v>
      </c>
      <c r="I676" s="1" t="s">
        <v>62</v>
      </c>
      <c r="J676" s="7" t="s">
        <v>1272</v>
      </c>
      <c r="K676" s="1" t="s">
        <v>463</v>
      </c>
      <c r="L676" s="1">
        <v>10</v>
      </c>
      <c r="M676" s="1" t="s">
        <v>27</v>
      </c>
      <c r="N676" s="1" t="s">
        <v>90</v>
      </c>
      <c r="O676" s="1">
        <v>85026.02</v>
      </c>
      <c r="P676" s="1">
        <v>3</v>
      </c>
      <c r="Q676" s="1" t="s">
        <v>58</v>
      </c>
    </row>
    <row r="677" spans="1:17">
      <c r="A677" s="1" t="s">
        <v>1273</v>
      </c>
      <c r="B677" s="1" t="s">
        <v>295</v>
      </c>
      <c r="C677" s="1">
        <v>1</v>
      </c>
      <c r="D677" s="1" t="s">
        <v>43</v>
      </c>
      <c r="E677" s="1" t="s">
        <v>51</v>
      </c>
      <c r="F677" s="1" t="s">
        <v>67</v>
      </c>
      <c r="G677" s="1" t="s">
        <v>104</v>
      </c>
      <c r="H677" s="1" t="s">
        <v>88</v>
      </c>
      <c r="I677" s="1" t="s">
        <v>24</v>
      </c>
      <c r="J677" s="7">
        <v>45850</v>
      </c>
      <c r="K677" s="1" t="s">
        <v>438</v>
      </c>
      <c r="L677" s="1">
        <v>8</v>
      </c>
      <c r="M677" s="1" t="s">
        <v>48</v>
      </c>
      <c r="N677" s="1" t="s">
        <v>28</v>
      </c>
      <c r="O677" s="1">
        <v>102552.12</v>
      </c>
      <c r="P677" s="1">
        <v>3</v>
      </c>
      <c r="Q677" s="1" t="s">
        <v>58</v>
      </c>
    </row>
    <row r="678" spans="1:17">
      <c r="A678" s="1" t="s">
        <v>1274</v>
      </c>
      <c r="B678" s="1" t="s">
        <v>280</v>
      </c>
      <c r="C678" s="1">
        <v>90</v>
      </c>
      <c r="D678" s="1" t="s">
        <v>19</v>
      </c>
      <c r="E678" s="1" t="s">
        <v>137</v>
      </c>
      <c r="F678" s="1" t="s">
        <v>75</v>
      </c>
      <c r="G678" s="1" t="s">
        <v>34</v>
      </c>
      <c r="H678" s="1" t="s">
        <v>76</v>
      </c>
      <c r="I678" s="1" t="s">
        <v>62</v>
      </c>
      <c r="J678" s="7" t="s">
        <v>1219</v>
      </c>
      <c r="K678" s="1" t="s">
        <v>665</v>
      </c>
      <c r="L678" s="1">
        <v>3</v>
      </c>
      <c r="M678" s="1" t="s">
        <v>48</v>
      </c>
      <c r="N678" s="1" t="s">
        <v>57</v>
      </c>
      <c r="O678" s="1">
        <v>84912.16</v>
      </c>
      <c r="P678" s="1">
        <v>4</v>
      </c>
      <c r="Q678" s="1" t="s">
        <v>40</v>
      </c>
    </row>
    <row r="679" spans="1:17">
      <c r="A679" s="1" t="s">
        <v>1275</v>
      </c>
      <c r="B679" s="1" t="s">
        <v>304</v>
      </c>
      <c r="C679" s="1">
        <v>87</v>
      </c>
      <c r="D679" s="1" t="s">
        <v>43</v>
      </c>
      <c r="E679" s="1" t="s">
        <v>159</v>
      </c>
      <c r="F679" s="1" t="s">
        <v>33</v>
      </c>
      <c r="G679" s="1" t="s">
        <v>110</v>
      </c>
      <c r="H679" s="1" t="s">
        <v>35</v>
      </c>
      <c r="I679" s="1" t="s">
        <v>36</v>
      </c>
      <c r="J679" s="7" t="s">
        <v>710</v>
      </c>
      <c r="K679" s="1" t="s">
        <v>318</v>
      </c>
      <c r="L679" s="1">
        <v>5</v>
      </c>
      <c r="M679" s="1" t="s">
        <v>38</v>
      </c>
      <c r="N679" s="1" t="s">
        <v>63</v>
      </c>
      <c r="O679" s="1">
        <v>60280.11</v>
      </c>
      <c r="P679" s="1">
        <v>5</v>
      </c>
      <c r="Q679" s="1" t="s">
        <v>29</v>
      </c>
    </row>
    <row r="680" spans="1:17">
      <c r="A680" s="1" t="s">
        <v>1276</v>
      </c>
      <c r="B680" s="1" t="s">
        <v>745</v>
      </c>
      <c r="C680" s="1">
        <v>22</v>
      </c>
      <c r="D680" s="1" t="s">
        <v>27</v>
      </c>
      <c r="E680" s="1" t="s">
        <v>32</v>
      </c>
      <c r="F680" s="1" t="s">
        <v>67</v>
      </c>
      <c r="G680" s="1" t="s">
        <v>104</v>
      </c>
      <c r="H680" s="1" t="s">
        <v>45</v>
      </c>
      <c r="I680" s="1" t="s">
        <v>62</v>
      </c>
      <c r="J680" s="7" t="s">
        <v>1114</v>
      </c>
      <c r="K680" s="2">
        <v>45693</v>
      </c>
      <c r="L680" s="1">
        <v>2</v>
      </c>
      <c r="M680" s="1" t="s">
        <v>38</v>
      </c>
      <c r="N680" s="1" t="s">
        <v>28</v>
      </c>
      <c r="O680" s="1">
        <v>84511.65</v>
      </c>
      <c r="P680" s="1">
        <v>1</v>
      </c>
      <c r="Q680" s="1" t="s">
        <v>72</v>
      </c>
    </row>
    <row r="681" spans="1:17">
      <c r="A681" s="1" t="s">
        <v>1277</v>
      </c>
      <c r="B681" s="1" t="s">
        <v>179</v>
      </c>
      <c r="C681" s="1">
        <v>80</v>
      </c>
      <c r="D681" s="1" t="s">
        <v>43</v>
      </c>
      <c r="E681" s="1" t="s">
        <v>137</v>
      </c>
      <c r="F681" s="1" t="s">
        <v>67</v>
      </c>
      <c r="G681" s="1" t="s">
        <v>132</v>
      </c>
      <c r="H681" s="1" t="s">
        <v>88</v>
      </c>
      <c r="I681" s="1" t="s">
        <v>24</v>
      </c>
      <c r="J681" s="7" t="s">
        <v>192</v>
      </c>
      <c r="K681" s="2">
        <v>45666</v>
      </c>
      <c r="L681" s="1">
        <v>1</v>
      </c>
      <c r="M681" s="1" t="s">
        <v>38</v>
      </c>
      <c r="N681" s="1" t="s">
        <v>82</v>
      </c>
      <c r="O681" s="1">
        <v>57903.99</v>
      </c>
      <c r="P681" s="1">
        <v>5</v>
      </c>
      <c r="Q681" s="1" t="s">
        <v>58</v>
      </c>
    </row>
    <row r="682" spans="1:17">
      <c r="A682" s="1" t="s">
        <v>1278</v>
      </c>
      <c r="B682" s="1" t="s">
        <v>354</v>
      </c>
      <c r="C682" s="1">
        <v>33</v>
      </c>
      <c r="D682" s="1" t="s">
        <v>27</v>
      </c>
      <c r="E682" s="1" t="s">
        <v>51</v>
      </c>
      <c r="F682" s="1" t="s">
        <v>67</v>
      </c>
      <c r="G682" s="1" t="s">
        <v>110</v>
      </c>
      <c r="H682" s="1" t="s">
        <v>45</v>
      </c>
      <c r="I682" s="1" t="s">
        <v>24</v>
      </c>
      <c r="J682" s="7">
        <v>45876</v>
      </c>
      <c r="K682" s="1" t="s">
        <v>37</v>
      </c>
      <c r="L682" s="1">
        <v>6</v>
      </c>
      <c r="M682" s="1" t="s">
        <v>97</v>
      </c>
      <c r="N682" s="1" t="s">
        <v>82</v>
      </c>
      <c r="O682" s="1">
        <v>94869.98</v>
      </c>
      <c r="P682" s="1">
        <v>3</v>
      </c>
      <c r="Q682" s="1" t="s">
        <v>40</v>
      </c>
    </row>
    <row r="683" spans="1:17">
      <c r="A683" s="1" t="s">
        <v>1279</v>
      </c>
      <c r="B683" s="1" t="s">
        <v>261</v>
      </c>
      <c r="C683" s="1">
        <v>79</v>
      </c>
      <c r="D683" s="1" t="s">
        <v>27</v>
      </c>
      <c r="E683" s="1" t="s">
        <v>159</v>
      </c>
      <c r="F683" s="1" t="s">
        <v>75</v>
      </c>
      <c r="G683" s="1" t="s">
        <v>132</v>
      </c>
      <c r="H683" s="1" t="s">
        <v>45</v>
      </c>
      <c r="I683" s="1" t="s">
        <v>62</v>
      </c>
      <c r="J683" s="7" t="s">
        <v>1280</v>
      </c>
      <c r="K683" s="1" t="s">
        <v>1114</v>
      </c>
      <c r="L683" s="1">
        <v>1</v>
      </c>
      <c r="M683" s="1" t="s">
        <v>48</v>
      </c>
      <c r="N683" s="1" t="s">
        <v>28</v>
      </c>
      <c r="O683" s="1">
        <v>79856.94</v>
      </c>
      <c r="P683" s="1">
        <v>4</v>
      </c>
      <c r="Q683" s="1" t="s">
        <v>29</v>
      </c>
    </row>
    <row r="684" spans="1:17">
      <c r="A684" s="1" t="s">
        <v>1281</v>
      </c>
      <c r="B684" s="1" t="s">
        <v>538</v>
      </c>
      <c r="C684" s="1">
        <v>66</v>
      </c>
      <c r="D684" s="1" t="s">
        <v>43</v>
      </c>
      <c r="E684" s="1" t="s">
        <v>247</v>
      </c>
      <c r="F684" s="1" t="s">
        <v>120</v>
      </c>
      <c r="G684" s="1" t="s">
        <v>22</v>
      </c>
      <c r="H684" s="1" t="s">
        <v>61</v>
      </c>
      <c r="I684" s="1" t="s">
        <v>24</v>
      </c>
      <c r="J684" s="7">
        <v>45964</v>
      </c>
      <c r="K684" s="1" t="s">
        <v>89</v>
      </c>
      <c r="L684" s="1">
        <v>4</v>
      </c>
      <c r="M684" s="1" t="s">
        <v>38</v>
      </c>
      <c r="N684" s="1" t="s">
        <v>90</v>
      </c>
      <c r="O684" s="1">
        <v>52890.59</v>
      </c>
      <c r="P684" s="1">
        <v>4</v>
      </c>
      <c r="Q684" s="1" t="s">
        <v>72</v>
      </c>
    </row>
    <row r="685" spans="1:17">
      <c r="A685" s="1" t="s">
        <v>1282</v>
      </c>
      <c r="B685" s="1" t="s">
        <v>780</v>
      </c>
      <c r="C685" s="1">
        <v>78</v>
      </c>
      <c r="D685" s="1" t="s">
        <v>19</v>
      </c>
      <c r="E685" s="1" t="s">
        <v>51</v>
      </c>
      <c r="F685" s="1" t="s">
        <v>33</v>
      </c>
      <c r="G685" s="1" t="s">
        <v>36</v>
      </c>
      <c r="H685" s="1" t="s">
        <v>23</v>
      </c>
      <c r="I685" s="1" t="s">
        <v>24</v>
      </c>
      <c r="J685" s="7" t="s">
        <v>129</v>
      </c>
      <c r="K685" s="1" t="s">
        <v>177</v>
      </c>
      <c r="L685" s="1">
        <v>10</v>
      </c>
      <c r="M685" s="1" t="s">
        <v>38</v>
      </c>
      <c r="N685" s="1" t="s">
        <v>85</v>
      </c>
      <c r="O685" s="1">
        <v>55300.27</v>
      </c>
      <c r="P685" s="1">
        <v>4</v>
      </c>
      <c r="Q685" s="1" t="s">
        <v>72</v>
      </c>
    </row>
    <row r="686" spans="1:17">
      <c r="A686" s="1" t="s">
        <v>1283</v>
      </c>
      <c r="B686" s="1" t="s">
        <v>524</v>
      </c>
      <c r="C686" s="1">
        <v>47</v>
      </c>
      <c r="D686" s="1" t="s">
        <v>43</v>
      </c>
      <c r="E686" s="1" t="s">
        <v>159</v>
      </c>
      <c r="F686" s="1" t="s">
        <v>120</v>
      </c>
      <c r="G686" s="1" t="s">
        <v>132</v>
      </c>
      <c r="H686" s="1" t="s">
        <v>76</v>
      </c>
      <c r="I686" s="1" t="s">
        <v>24</v>
      </c>
      <c r="J686" s="7" t="s">
        <v>476</v>
      </c>
      <c r="K686" s="1" t="s">
        <v>251</v>
      </c>
      <c r="L686" s="1">
        <v>7</v>
      </c>
      <c r="M686" s="1" t="s">
        <v>56</v>
      </c>
      <c r="N686" s="1" t="s">
        <v>28</v>
      </c>
      <c r="O686" s="1">
        <v>39317.03</v>
      </c>
      <c r="P686" s="1">
        <v>5</v>
      </c>
      <c r="Q686" s="1" t="s">
        <v>40</v>
      </c>
    </row>
    <row r="687" spans="1:17">
      <c r="A687" s="1" t="s">
        <v>1284</v>
      </c>
      <c r="B687" s="1" t="s">
        <v>216</v>
      </c>
      <c r="C687" s="1">
        <v>43</v>
      </c>
      <c r="D687" s="1" t="s">
        <v>19</v>
      </c>
      <c r="E687" s="1" t="s">
        <v>117</v>
      </c>
      <c r="F687" s="1" t="s">
        <v>120</v>
      </c>
      <c r="G687" s="1" t="s">
        <v>68</v>
      </c>
      <c r="H687" s="1" t="s">
        <v>99</v>
      </c>
      <c r="I687" s="1" t="s">
        <v>24</v>
      </c>
      <c r="J687" s="7">
        <v>45992</v>
      </c>
      <c r="K687" s="1" t="s">
        <v>1285</v>
      </c>
      <c r="L687" s="1">
        <v>4</v>
      </c>
      <c r="M687" s="1" t="s">
        <v>48</v>
      </c>
      <c r="N687" s="1" t="s">
        <v>90</v>
      </c>
      <c r="O687" s="1">
        <v>59246.92</v>
      </c>
      <c r="P687" s="1">
        <v>4</v>
      </c>
      <c r="Q687" s="1" t="s">
        <v>72</v>
      </c>
    </row>
    <row r="688" spans="1:17">
      <c r="A688" s="1" t="s">
        <v>1286</v>
      </c>
      <c r="B688" s="1" t="s">
        <v>261</v>
      </c>
      <c r="C688" s="1">
        <v>61</v>
      </c>
      <c r="D688" s="1" t="s">
        <v>27</v>
      </c>
      <c r="E688" s="1" t="s">
        <v>66</v>
      </c>
      <c r="F688" s="1" t="s">
        <v>75</v>
      </c>
      <c r="G688" s="1" t="s">
        <v>22</v>
      </c>
      <c r="H688" s="1" t="s">
        <v>99</v>
      </c>
      <c r="I688" s="1" t="s">
        <v>62</v>
      </c>
      <c r="J688" s="7">
        <v>45910</v>
      </c>
      <c r="K688" s="1" t="s">
        <v>77</v>
      </c>
      <c r="L688" s="1">
        <v>4</v>
      </c>
      <c r="M688" s="1" t="s">
        <v>48</v>
      </c>
      <c r="N688" s="1" t="s">
        <v>28</v>
      </c>
      <c r="O688" s="1">
        <v>38975.97</v>
      </c>
      <c r="P688" s="1">
        <v>4</v>
      </c>
      <c r="Q688" s="1" t="s">
        <v>58</v>
      </c>
    </row>
    <row r="689" spans="1:17">
      <c r="A689" s="1" t="s">
        <v>1287</v>
      </c>
      <c r="B689" s="1" t="s">
        <v>123</v>
      </c>
      <c r="C689" s="1">
        <v>82</v>
      </c>
      <c r="D689" s="1" t="s">
        <v>27</v>
      </c>
      <c r="E689" s="1" t="s">
        <v>44</v>
      </c>
      <c r="F689" s="1" t="s">
        <v>52</v>
      </c>
      <c r="G689" s="1" t="s">
        <v>132</v>
      </c>
      <c r="H689" s="1" t="s">
        <v>69</v>
      </c>
      <c r="I689" s="1" t="s">
        <v>62</v>
      </c>
      <c r="J689" s="7">
        <v>45385</v>
      </c>
      <c r="K689" s="2">
        <v>45415</v>
      </c>
      <c r="L689" s="1">
        <v>1</v>
      </c>
      <c r="M689" s="1" t="s">
        <v>27</v>
      </c>
      <c r="N689" s="1" t="s">
        <v>28</v>
      </c>
      <c r="O689" s="1">
        <v>65834.12</v>
      </c>
      <c r="P689" s="1">
        <v>4</v>
      </c>
      <c r="Q689" s="1" t="s">
        <v>58</v>
      </c>
    </row>
    <row r="690" spans="1:17">
      <c r="A690" s="1" t="s">
        <v>1288</v>
      </c>
      <c r="B690" s="1" t="s">
        <v>830</v>
      </c>
      <c r="C690" s="1">
        <v>54</v>
      </c>
      <c r="D690" s="1" t="s">
        <v>27</v>
      </c>
      <c r="E690" s="1" t="s">
        <v>66</v>
      </c>
      <c r="F690" s="1" t="s">
        <v>52</v>
      </c>
      <c r="G690" s="1" t="s">
        <v>110</v>
      </c>
      <c r="H690" s="1" t="s">
        <v>105</v>
      </c>
      <c r="I690" s="1" t="s">
        <v>24</v>
      </c>
      <c r="J690" s="7" t="s">
        <v>718</v>
      </c>
      <c r="K690" s="1" t="s">
        <v>476</v>
      </c>
      <c r="L690" s="1">
        <v>1</v>
      </c>
      <c r="M690" s="1" t="s">
        <v>48</v>
      </c>
      <c r="N690" s="1" t="s">
        <v>82</v>
      </c>
      <c r="O690" s="1">
        <v>28990.48</v>
      </c>
      <c r="P690" s="1">
        <v>3</v>
      </c>
      <c r="Q690" s="1" t="s">
        <v>40</v>
      </c>
    </row>
    <row r="691" spans="1:17">
      <c r="A691" s="1" t="s">
        <v>1289</v>
      </c>
      <c r="B691" s="1" t="s">
        <v>50</v>
      </c>
      <c r="C691" s="1">
        <v>72</v>
      </c>
      <c r="D691" s="1" t="s">
        <v>43</v>
      </c>
      <c r="E691" s="1" t="s">
        <v>32</v>
      </c>
      <c r="F691" s="1" t="s">
        <v>21</v>
      </c>
      <c r="G691" s="1" t="s">
        <v>22</v>
      </c>
      <c r="H691" s="1" t="s">
        <v>69</v>
      </c>
      <c r="I691" s="1" t="s">
        <v>62</v>
      </c>
      <c r="J691" s="7" t="s">
        <v>426</v>
      </c>
      <c r="K691" s="2">
        <v>45387</v>
      </c>
      <c r="L691" s="1">
        <v>4</v>
      </c>
      <c r="M691" s="1" t="s">
        <v>27</v>
      </c>
      <c r="N691" s="1" t="s">
        <v>63</v>
      </c>
      <c r="O691" s="1">
        <v>79909.919999999998</v>
      </c>
      <c r="P691" s="1">
        <v>2</v>
      </c>
      <c r="Q691" s="1" t="s">
        <v>72</v>
      </c>
    </row>
    <row r="692" spans="1:17">
      <c r="A692" s="1" t="s">
        <v>1290</v>
      </c>
      <c r="B692" s="1" t="s">
        <v>837</v>
      </c>
      <c r="C692" s="1">
        <v>22</v>
      </c>
      <c r="D692" s="1" t="s">
        <v>19</v>
      </c>
      <c r="E692" s="1" t="s">
        <v>117</v>
      </c>
      <c r="F692" s="1" t="s">
        <v>75</v>
      </c>
      <c r="G692" s="1" t="s">
        <v>132</v>
      </c>
      <c r="H692" s="1" t="s">
        <v>105</v>
      </c>
      <c r="I692" s="1" t="s">
        <v>62</v>
      </c>
      <c r="J692" s="7">
        <v>45573</v>
      </c>
      <c r="K692" s="1" t="s">
        <v>720</v>
      </c>
      <c r="L692" s="1">
        <v>3</v>
      </c>
      <c r="M692" s="1" t="s">
        <v>38</v>
      </c>
      <c r="N692" s="1" t="s">
        <v>85</v>
      </c>
      <c r="O692" s="1">
        <v>73123.509999999995</v>
      </c>
      <c r="P692" s="1">
        <v>4</v>
      </c>
      <c r="Q692" s="1" t="s">
        <v>40</v>
      </c>
    </row>
    <row r="693" spans="1:17">
      <c r="A693" s="1" t="s">
        <v>1291</v>
      </c>
      <c r="B693" s="1" t="s">
        <v>1050</v>
      </c>
      <c r="C693" s="1">
        <v>18</v>
      </c>
      <c r="D693" s="1" t="s">
        <v>27</v>
      </c>
      <c r="E693" s="1" t="s">
        <v>32</v>
      </c>
      <c r="F693" s="1" t="s">
        <v>33</v>
      </c>
      <c r="G693" s="1" t="s">
        <v>132</v>
      </c>
      <c r="H693" s="1" t="s">
        <v>35</v>
      </c>
      <c r="I693" s="1" t="s">
        <v>62</v>
      </c>
      <c r="J693" s="7" t="s">
        <v>794</v>
      </c>
      <c r="K693" s="1" t="s">
        <v>870</v>
      </c>
      <c r="L693" s="1">
        <v>2</v>
      </c>
      <c r="M693" s="1" t="s">
        <v>27</v>
      </c>
      <c r="N693" s="1" t="s">
        <v>82</v>
      </c>
      <c r="O693" s="1">
        <v>83487.31</v>
      </c>
      <c r="P693" s="1">
        <v>3</v>
      </c>
      <c r="Q693" s="1" t="s">
        <v>40</v>
      </c>
    </row>
    <row r="694" spans="1:17">
      <c r="A694" s="1" t="s">
        <v>1292</v>
      </c>
      <c r="B694" s="1" t="s">
        <v>275</v>
      </c>
      <c r="C694" s="1">
        <v>83</v>
      </c>
      <c r="D694" s="1" t="s">
        <v>27</v>
      </c>
      <c r="E694" s="1" t="s">
        <v>117</v>
      </c>
      <c r="F694" s="1" t="s">
        <v>21</v>
      </c>
      <c r="G694" s="1" t="s">
        <v>36</v>
      </c>
      <c r="H694" s="1" t="s">
        <v>35</v>
      </c>
      <c r="I694" s="1" t="s">
        <v>62</v>
      </c>
      <c r="J694" s="7">
        <v>45781</v>
      </c>
      <c r="K694" s="2">
        <v>45965</v>
      </c>
      <c r="L694" s="1">
        <v>6</v>
      </c>
      <c r="M694" s="1" t="s">
        <v>27</v>
      </c>
      <c r="N694" s="1" t="s">
        <v>90</v>
      </c>
      <c r="O694" s="1">
        <v>51270.26</v>
      </c>
      <c r="P694" s="1">
        <v>3</v>
      </c>
      <c r="Q694" s="1" t="s">
        <v>40</v>
      </c>
    </row>
    <row r="695" spans="1:17">
      <c r="A695" s="1" t="s">
        <v>1293</v>
      </c>
      <c r="B695" s="1" t="s">
        <v>169</v>
      </c>
      <c r="C695" s="1">
        <v>12</v>
      </c>
      <c r="D695" s="1" t="s">
        <v>27</v>
      </c>
      <c r="E695" s="1" t="s">
        <v>44</v>
      </c>
      <c r="F695" s="1" t="s">
        <v>120</v>
      </c>
      <c r="G695" s="1" t="s">
        <v>22</v>
      </c>
      <c r="H695" s="1" t="s">
        <v>23</v>
      </c>
      <c r="I695" s="1" t="s">
        <v>62</v>
      </c>
      <c r="J695" s="7">
        <v>45359</v>
      </c>
      <c r="K695" s="2">
        <v>45420</v>
      </c>
      <c r="L695" s="1">
        <v>2</v>
      </c>
      <c r="M695" s="1" t="s">
        <v>27</v>
      </c>
      <c r="N695" s="1" t="s">
        <v>57</v>
      </c>
      <c r="O695" s="1">
        <v>60058.25</v>
      </c>
      <c r="P695" s="1">
        <v>3</v>
      </c>
      <c r="Q695" s="1" t="s">
        <v>72</v>
      </c>
    </row>
    <row r="696" spans="1:17">
      <c r="A696" s="1" t="s">
        <v>1294</v>
      </c>
      <c r="B696" s="1" t="s">
        <v>348</v>
      </c>
      <c r="C696" s="1">
        <v>42</v>
      </c>
      <c r="D696" s="1" t="s">
        <v>27</v>
      </c>
      <c r="E696" s="1" t="s">
        <v>117</v>
      </c>
      <c r="F696" s="1" t="s">
        <v>21</v>
      </c>
      <c r="G696" s="1" t="s">
        <v>110</v>
      </c>
      <c r="H696" s="1" t="s">
        <v>76</v>
      </c>
      <c r="I696" s="1" t="s">
        <v>62</v>
      </c>
      <c r="J696" s="7" t="s">
        <v>559</v>
      </c>
      <c r="K696" s="1" t="s">
        <v>196</v>
      </c>
      <c r="L696" s="1">
        <v>3</v>
      </c>
      <c r="M696" s="1" t="s">
        <v>27</v>
      </c>
      <c r="N696" s="1" t="s">
        <v>85</v>
      </c>
      <c r="O696" s="1">
        <v>70207.149999999994</v>
      </c>
      <c r="P696" s="1">
        <v>5</v>
      </c>
      <c r="Q696" s="1" t="s">
        <v>72</v>
      </c>
    </row>
    <row r="697" spans="1:17">
      <c r="A697" s="1" t="s">
        <v>1295</v>
      </c>
      <c r="B697" s="1" t="s">
        <v>693</v>
      </c>
      <c r="C697" s="1">
        <v>57</v>
      </c>
      <c r="D697" s="1" t="s">
        <v>27</v>
      </c>
      <c r="E697" s="1" t="s">
        <v>159</v>
      </c>
      <c r="F697" s="1" t="s">
        <v>52</v>
      </c>
      <c r="G697" s="1" t="s">
        <v>36</v>
      </c>
      <c r="H697" s="1" t="s">
        <v>93</v>
      </c>
      <c r="I697" s="1" t="s">
        <v>62</v>
      </c>
      <c r="J697" s="7">
        <v>45995</v>
      </c>
      <c r="K697" s="1" t="s">
        <v>406</v>
      </c>
      <c r="L697" s="1">
        <v>5</v>
      </c>
      <c r="M697" s="1" t="s">
        <v>38</v>
      </c>
      <c r="N697" s="1" t="s">
        <v>28</v>
      </c>
      <c r="O697" s="1">
        <v>72889.039999999994</v>
      </c>
      <c r="P697" s="1">
        <v>3</v>
      </c>
      <c r="Q697" s="1" t="s">
        <v>29</v>
      </c>
    </row>
    <row r="698" spans="1:17">
      <c r="A698" s="1" t="s">
        <v>1296</v>
      </c>
      <c r="B698" s="1" t="s">
        <v>507</v>
      </c>
      <c r="C698" s="1">
        <v>65</v>
      </c>
      <c r="D698" s="1" t="s">
        <v>19</v>
      </c>
      <c r="E698" s="1" t="s">
        <v>44</v>
      </c>
      <c r="F698" s="1" t="s">
        <v>21</v>
      </c>
      <c r="G698" s="1" t="s">
        <v>36</v>
      </c>
      <c r="H698" s="1" t="s">
        <v>69</v>
      </c>
      <c r="I698" s="1" t="s">
        <v>36</v>
      </c>
      <c r="J698" s="7">
        <v>45841</v>
      </c>
      <c r="K698" s="1" t="s">
        <v>89</v>
      </c>
      <c r="L698" s="1">
        <v>8</v>
      </c>
      <c r="M698" s="1" t="s">
        <v>38</v>
      </c>
      <c r="N698" s="1" t="s">
        <v>39</v>
      </c>
      <c r="O698" s="1">
        <v>17605.66</v>
      </c>
      <c r="P698" s="1">
        <v>4</v>
      </c>
      <c r="Q698" s="1" t="s">
        <v>72</v>
      </c>
    </row>
    <row r="699" spans="1:17">
      <c r="A699" s="1" t="s">
        <v>1297</v>
      </c>
      <c r="B699" s="1" t="s">
        <v>570</v>
      </c>
      <c r="C699" s="1">
        <v>12</v>
      </c>
      <c r="D699" s="1" t="s">
        <v>43</v>
      </c>
      <c r="E699" s="1" t="s">
        <v>20</v>
      </c>
      <c r="F699" s="1" t="s">
        <v>33</v>
      </c>
      <c r="G699" s="1" t="s">
        <v>34</v>
      </c>
      <c r="H699" s="1" t="s">
        <v>35</v>
      </c>
      <c r="I699" s="1" t="s">
        <v>36</v>
      </c>
      <c r="J699" s="7" t="s">
        <v>747</v>
      </c>
      <c r="K699" s="1" t="s">
        <v>977</v>
      </c>
      <c r="L699" s="1">
        <v>4</v>
      </c>
      <c r="M699" s="1" t="s">
        <v>56</v>
      </c>
      <c r="N699" s="1" t="s">
        <v>85</v>
      </c>
      <c r="O699" s="1">
        <v>36079.53</v>
      </c>
      <c r="P699" s="1">
        <v>3</v>
      </c>
      <c r="Q699" s="1" t="s">
        <v>40</v>
      </c>
    </row>
    <row r="700" spans="1:17">
      <c r="A700" s="1" t="s">
        <v>1298</v>
      </c>
      <c r="B700" s="1" t="s">
        <v>369</v>
      </c>
      <c r="C700" s="1">
        <v>1</v>
      </c>
      <c r="D700" s="1" t="s">
        <v>43</v>
      </c>
      <c r="E700" s="1" t="s">
        <v>32</v>
      </c>
      <c r="F700" s="1" t="s">
        <v>33</v>
      </c>
      <c r="G700" s="1" t="s">
        <v>36</v>
      </c>
      <c r="H700" s="1" t="s">
        <v>61</v>
      </c>
      <c r="I700" s="1" t="s">
        <v>36</v>
      </c>
      <c r="J700" s="7">
        <v>45632</v>
      </c>
      <c r="K700" s="1" t="s">
        <v>630</v>
      </c>
      <c r="L700" s="1">
        <v>1</v>
      </c>
      <c r="M700" s="1" t="s">
        <v>38</v>
      </c>
      <c r="N700" s="1" t="s">
        <v>39</v>
      </c>
      <c r="O700" s="1">
        <v>78636.81</v>
      </c>
      <c r="P700" s="1">
        <v>4</v>
      </c>
      <c r="Q700" s="1" t="s">
        <v>29</v>
      </c>
    </row>
    <row r="701" spans="1:17">
      <c r="A701" s="1" t="s">
        <v>1299</v>
      </c>
      <c r="B701" s="1" t="s">
        <v>892</v>
      </c>
      <c r="C701" s="1">
        <v>52</v>
      </c>
      <c r="D701" s="1" t="s">
        <v>43</v>
      </c>
      <c r="E701" s="1" t="s">
        <v>20</v>
      </c>
      <c r="F701" s="1" t="s">
        <v>67</v>
      </c>
      <c r="G701" s="1" t="s">
        <v>36</v>
      </c>
      <c r="H701" s="1" t="s">
        <v>23</v>
      </c>
      <c r="I701" s="1" t="s">
        <v>36</v>
      </c>
      <c r="J701" s="7" t="s">
        <v>224</v>
      </c>
      <c r="K701" s="1" t="s">
        <v>960</v>
      </c>
      <c r="L701" s="1">
        <v>7</v>
      </c>
      <c r="M701" s="1" t="s">
        <v>56</v>
      </c>
      <c r="N701" s="1" t="s">
        <v>82</v>
      </c>
      <c r="O701" s="1">
        <v>17230.95</v>
      </c>
      <c r="P701" s="1">
        <v>4</v>
      </c>
      <c r="Q701" s="1" t="s">
        <v>40</v>
      </c>
    </row>
    <row r="702" spans="1:17">
      <c r="A702" s="1" t="s">
        <v>1300</v>
      </c>
      <c r="B702" s="1" t="s">
        <v>688</v>
      </c>
      <c r="C702" s="1">
        <v>44</v>
      </c>
      <c r="D702" s="1" t="s">
        <v>27</v>
      </c>
      <c r="E702" s="1" t="s">
        <v>137</v>
      </c>
      <c r="F702" s="1" t="s">
        <v>75</v>
      </c>
      <c r="G702" s="1" t="s">
        <v>22</v>
      </c>
      <c r="H702" s="1" t="s">
        <v>61</v>
      </c>
      <c r="I702" s="1" t="s">
        <v>62</v>
      </c>
      <c r="J702" s="7">
        <v>45323</v>
      </c>
      <c r="K702" s="2">
        <v>45474</v>
      </c>
      <c r="L702" s="1">
        <v>5</v>
      </c>
      <c r="M702" s="1" t="s">
        <v>97</v>
      </c>
      <c r="N702" s="1" t="s">
        <v>63</v>
      </c>
      <c r="O702" s="1">
        <v>22079.83</v>
      </c>
      <c r="P702" s="1">
        <v>3</v>
      </c>
      <c r="Q702" s="1" t="s">
        <v>29</v>
      </c>
    </row>
    <row r="703" spans="1:17">
      <c r="A703" s="1" t="s">
        <v>1301</v>
      </c>
      <c r="B703" s="1" t="s">
        <v>492</v>
      </c>
      <c r="C703" s="1">
        <v>55</v>
      </c>
      <c r="D703" s="1" t="s">
        <v>19</v>
      </c>
      <c r="E703" s="1" t="s">
        <v>159</v>
      </c>
      <c r="F703" s="1" t="s">
        <v>75</v>
      </c>
      <c r="G703" s="1" t="s">
        <v>34</v>
      </c>
      <c r="H703" s="1" t="s">
        <v>105</v>
      </c>
      <c r="I703" s="1" t="s">
        <v>62</v>
      </c>
      <c r="J703" s="7" t="s">
        <v>973</v>
      </c>
      <c r="K703" s="1" t="s">
        <v>959</v>
      </c>
      <c r="L703" s="1">
        <v>3</v>
      </c>
      <c r="M703" s="1" t="s">
        <v>48</v>
      </c>
      <c r="N703" s="1" t="s">
        <v>63</v>
      </c>
      <c r="O703" s="1">
        <v>129479.06</v>
      </c>
      <c r="P703" s="1">
        <v>3</v>
      </c>
      <c r="Q703" s="1" t="s">
        <v>58</v>
      </c>
    </row>
    <row r="704" spans="1:17">
      <c r="A704" s="1" t="s">
        <v>1302</v>
      </c>
      <c r="B704" s="1" t="s">
        <v>412</v>
      </c>
      <c r="C704" s="1">
        <v>2</v>
      </c>
      <c r="D704" s="1" t="s">
        <v>19</v>
      </c>
      <c r="E704" s="1" t="s">
        <v>202</v>
      </c>
      <c r="F704" s="1" t="s">
        <v>120</v>
      </c>
      <c r="G704" s="1" t="s">
        <v>104</v>
      </c>
      <c r="H704" s="1" t="s">
        <v>99</v>
      </c>
      <c r="I704" s="1" t="s">
        <v>62</v>
      </c>
      <c r="J704" s="7" t="s">
        <v>1095</v>
      </c>
      <c r="K704" s="1" t="s">
        <v>1303</v>
      </c>
      <c r="L704" s="1">
        <v>5</v>
      </c>
      <c r="M704" s="1" t="s">
        <v>38</v>
      </c>
      <c r="N704" s="1" t="s">
        <v>63</v>
      </c>
      <c r="O704" s="1">
        <v>47488.18</v>
      </c>
      <c r="P704" s="1">
        <v>5</v>
      </c>
      <c r="Q704" s="1" t="s">
        <v>72</v>
      </c>
    </row>
    <row r="705" spans="1:17">
      <c r="A705" s="1" t="s">
        <v>1304</v>
      </c>
      <c r="B705" s="1" t="s">
        <v>321</v>
      </c>
      <c r="C705" s="1">
        <v>78</v>
      </c>
      <c r="D705" s="1" t="s">
        <v>43</v>
      </c>
      <c r="E705" s="1" t="s">
        <v>66</v>
      </c>
      <c r="F705" s="1" t="s">
        <v>75</v>
      </c>
      <c r="G705" s="1" t="s">
        <v>53</v>
      </c>
      <c r="H705" s="1" t="s">
        <v>45</v>
      </c>
      <c r="I705" s="1" t="s">
        <v>62</v>
      </c>
      <c r="J705" s="7" t="s">
        <v>371</v>
      </c>
      <c r="K705" s="2">
        <v>45814</v>
      </c>
      <c r="L705" s="1">
        <v>8</v>
      </c>
      <c r="M705" s="1" t="s">
        <v>27</v>
      </c>
      <c r="N705" s="1" t="s">
        <v>82</v>
      </c>
      <c r="O705" s="1">
        <v>180517.55</v>
      </c>
      <c r="P705" s="1">
        <v>4</v>
      </c>
      <c r="Q705" s="1" t="s">
        <v>29</v>
      </c>
    </row>
    <row r="706" spans="1:17">
      <c r="A706" s="1" t="s">
        <v>1305</v>
      </c>
      <c r="B706" s="1" t="s">
        <v>42</v>
      </c>
      <c r="C706" s="1">
        <v>66</v>
      </c>
      <c r="D706" s="1" t="s">
        <v>27</v>
      </c>
      <c r="E706" s="1" t="s">
        <v>117</v>
      </c>
      <c r="F706" s="1" t="s">
        <v>33</v>
      </c>
      <c r="G706" s="1" t="s">
        <v>22</v>
      </c>
      <c r="H706" s="1" t="s">
        <v>93</v>
      </c>
      <c r="I706" s="1" t="s">
        <v>62</v>
      </c>
      <c r="J706" s="7">
        <v>45934</v>
      </c>
      <c r="K706" s="2">
        <v>45965</v>
      </c>
      <c r="L706" s="1">
        <v>1</v>
      </c>
      <c r="M706" s="1" t="s">
        <v>38</v>
      </c>
      <c r="N706" s="1" t="s">
        <v>39</v>
      </c>
      <c r="O706" s="1">
        <v>45598.3</v>
      </c>
      <c r="P706" s="1">
        <v>2</v>
      </c>
      <c r="Q706" s="1" t="s">
        <v>72</v>
      </c>
    </row>
    <row r="707" spans="1:17">
      <c r="A707" s="1" t="s">
        <v>1306</v>
      </c>
      <c r="B707" s="1" t="s">
        <v>585</v>
      </c>
      <c r="C707" s="1">
        <v>70</v>
      </c>
      <c r="D707" s="1" t="s">
        <v>43</v>
      </c>
      <c r="E707" s="1" t="s">
        <v>20</v>
      </c>
      <c r="F707" s="1" t="s">
        <v>21</v>
      </c>
      <c r="G707" s="1" t="s">
        <v>53</v>
      </c>
      <c r="H707" s="1" t="s">
        <v>105</v>
      </c>
      <c r="I707" s="1" t="s">
        <v>36</v>
      </c>
      <c r="J707" s="7">
        <v>45329</v>
      </c>
      <c r="K707" s="2">
        <v>45419</v>
      </c>
      <c r="L707" s="1">
        <v>3</v>
      </c>
      <c r="M707" s="1" t="s">
        <v>27</v>
      </c>
      <c r="N707" s="1" t="s">
        <v>28</v>
      </c>
      <c r="O707" s="1">
        <v>101440.56</v>
      </c>
      <c r="P707" s="1">
        <v>4</v>
      </c>
      <c r="Q707" s="1" t="s">
        <v>29</v>
      </c>
    </row>
    <row r="708" spans="1:17">
      <c r="A708" s="1" t="s">
        <v>1307</v>
      </c>
      <c r="B708" s="1" t="s">
        <v>1209</v>
      </c>
      <c r="C708" s="1">
        <v>19</v>
      </c>
      <c r="D708" s="1" t="s">
        <v>27</v>
      </c>
      <c r="E708" s="1" t="s">
        <v>137</v>
      </c>
      <c r="F708" s="1" t="s">
        <v>67</v>
      </c>
      <c r="G708" s="1" t="s">
        <v>104</v>
      </c>
      <c r="H708" s="1" t="s">
        <v>99</v>
      </c>
      <c r="I708" s="1" t="s">
        <v>24</v>
      </c>
      <c r="J708" s="7" t="s">
        <v>835</v>
      </c>
      <c r="K708" s="1" t="s">
        <v>429</v>
      </c>
      <c r="L708" s="1">
        <v>4</v>
      </c>
      <c r="M708" s="1" t="s">
        <v>48</v>
      </c>
      <c r="N708" s="1" t="s">
        <v>82</v>
      </c>
      <c r="O708" s="1">
        <v>17587.14</v>
      </c>
      <c r="P708" s="1">
        <v>4</v>
      </c>
      <c r="Q708" s="1" t="s">
        <v>40</v>
      </c>
    </row>
    <row r="709" spans="1:17">
      <c r="A709" s="1" t="s">
        <v>1308</v>
      </c>
      <c r="B709" s="1" t="s">
        <v>507</v>
      </c>
      <c r="C709" s="1">
        <v>55</v>
      </c>
      <c r="D709" s="1" t="s">
        <v>43</v>
      </c>
      <c r="E709" s="1" t="s">
        <v>202</v>
      </c>
      <c r="F709" s="1" t="s">
        <v>120</v>
      </c>
      <c r="G709" s="1" t="s">
        <v>36</v>
      </c>
      <c r="H709" s="1" t="s">
        <v>45</v>
      </c>
      <c r="I709" s="1" t="s">
        <v>24</v>
      </c>
      <c r="J709" s="7" t="s">
        <v>1212</v>
      </c>
      <c r="K709" s="1" t="s">
        <v>1309</v>
      </c>
      <c r="L709" s="1">
        <v>6</v>
      </c>
      <c r="M709" s="1" t="s">
        <v>97</v>
      </c>
      <c r="N709" s="1" t="s">
        <v>85</v>
      </c>
      <c r="O709" s="1">
        <v>69936.070000000007</v>
      </c>
      <c r="P709" s="1">
        <v>4</v>
      </c>
      <c r="Q709" s="1" t="s">
        <v>58</v>
      </c>
    </row>
    <row r="710" spans="1:17">
      <c r="A710" s="1" t="s">
        <v>1310</v>
      </c>
      <c r="B710" s="1" t="s">
        <v>128</v>
      </c>
      <c r="C710" s="1">
        <v>36</v>
      </c>
      <c r="D710" s="1" t="s">
        <v>27</v>
      </c>
      <c r="E710" s="1" t="s">
        <v>202</v>
      </c>
      <c r="F710" s="1" t="s">
        <v>33</v>
      </c>
      <c r="G710" s="1" t="s">
        <v>36</v>
      </c>
      <c r="H710" s="1" t="s">
        <v>35</v>
      </c>
      <c r="I710" s="1" t="s">
        <v>24</v>
      </c>
      <c r="J710" s="7">
        <v>45820</v>
      </c>
      <c r="K710" s="2">
        <v>45881</v>
      </c>
      <c r="L710" s="1">
        <v>2</v>
      </c>
      <c r="M710" s="1" t="s">
        <v>56</v>
      </c>
      <c r="N710" s="1" t="s">
        <v>82</v>
      </c>
      <c r="O710" s="1">
        <v>61509.2</v>
      </c>
      <c r="P710" s="1">
        <v>3</v>
      </c>
      <c r="Q710" s="1" t="s">
        <v>40</v>
      </c>
    </row>
    <row r="711" spans="1:17">
      <c r="A711" s="1" t="s">
        <v>1311</v>
      </c>
      <c r="B711" s="1" t="s">
        <v>335</v>
      </c>
      <c r="C711" s="1">
        <v>60</v>
      </c>
      <c r="D711" s="1" t="s">
        <v>27</v>
      </c>
      <c r="E711" s="1" t="s">
        <v>44</v>
      </c>
      <c r="F711" s="1" t="s">
        <v>120</v>
      </c>
      <c r="G711" s="1" t="s">
        <v>53</v>
      </c>
      <c r="H711" s="1" t="s">
        <v>61</v>
      </c>
      <c r="I711" s="1" t="s">
        <v>24</v>
      </c>
      <c r="J711" s="7">
        <v>46001</v>
      </c>
      <c r="K711" s="1" t="s">
        <v>77</v>
      </c>
      <c r="L711" s="1">
        <v>1</v>
      </c>
      <c r="M711" s="1" t="s">
        <v>97</v>
      </c>
      <c r="N711" s="1" t="s">
        <v>57</v>
      </c>
      <c r="O711" s="1">
        <v>24295.69</v>
      </c>
      <c r="P711" s="1">
        <v>5</v>
      </c>
      <c r="Q711" s="1" t="s">
        <v>72</v>
      </c>
    </row>
    <row r="712" spans="1:17">
      <c r="A712" s="1" t="s">
        <v>1312</v>
      </c>
      <c r="B712" s="1" t="s">
        <v>521</v>
      </c>
      <c r="C712" s="1">
        <v>44</v>
      </c>
      <c r="D712" s="1" t="s">
        <v>43</v>
      </c>
      <c r="E712" s="1" t="s">
        <v>159</v>
      </c>
      <c r="F712" s="1" t="s">
        <v>67</v>
      </c>
      <c r="G712" s="1" t="s">
        <v>36</v>
      </c>
      <c r="H712" s="1" t="s">
        <v>105</v>
      </c>
      <c r="I712" s="1" t="s">
        <v>62</v>
      </c>
      <c r="J712" s="7" t="s">
        <v>349</v>
      </c>
      <c r="K712" s="1" t="s">
        <v>1303</v>
      </c>
      <c r="L712" s="1">
        <v>4</v>
      </c>
      <c r="M712" s="1" t="s">
        <v>48</v>
      </c>
      <c r="N712" s="1" t="s">
        <v>85</v>
      </c>
      <c r="O712" s="1">
        <v>41414.49</v>
      </c>
      <c r="P712" s="1">
        <v>4</v>
      </c>
      <c r="Q712" s="1" t="s">
        <v>40</v>
      </c>
    </row>
    <row r="713" spans="1:17">
      <c r="A713" s="1" t="s">
        <v>1313</v>
      </c>
      <c r="B713" s="1" t="s">
        <v>299</v>
      </c>
      <c r="C713" s="1">
        <v>39</v>
      </c>
      <c r="D713" s="1" t="s">
        <v>43</v>
      </c>
      <c r="E713" s="1" t="s">
        <v>20</v>
      </c>
      <c r="F713" s="1" t="s">
        <v>33</v>
      </c>
      <c r="G713" s="1" t="s">
        <v>53</v>
      </c>
      <c r="H713" s="1" t="s">
        <v>69</v>
      </c>
      <c r="I713" s="1" t="s">
        <v>24</v>
      </c>
      <c r="J713" s="7" t="s">
        <v>479</v>
      </c>
      <c r="K713" s="1" t="s">
        <v>349</v>
      </c>
      <c r="L713" s="1">
        <v>5</v>
      </c>
      <c r="M713" s="1" t="s">
        <v>56</v>
      </c>
      <c r="N713" s="1" t="s">
        <v>57</v>
      </c>
      <c r="O713" s="1">
        <v>91190.25</v>
      </c>
      <c r="P713" s="1">
        <v>1</v>
      </c>
      <c r="Q713" s="1" t="s">
        <v>72</v>
      </c>
    </row>
    <row r="714" spans="1:17">
      <c r="A714" s="1" t="s">
        <v>1314</v>
      </c>
      <c r="B714" s="1" t="s">
        <v>709</v>
      </c>
      <c r="C714" s="1">
        <v>13</v>
      </c>
      <c r="D714" s="1" t="s">
        <v>43</v>
      </c>
      <c r="E714" s="1" t="s">
        <v>247</v>
      </c>
      <c r="F714" s="1" t="s">
        <v>120</v>
      </c>
      <c r="G714" s="1" t="s">
        <v>36</v>
      </c>
      <c r="H714" s="1" t="s">
        <v>23</v>
      </c>
      <c r="I714" s="1" t="s">
        <v>24</v>
      </c>
      <c r="J714" s="7">
        <v>45604</v>
      </c>
      <c r="K714" s="2">
        <v>45634</v>
      </c>
      <c r="L714" s="1">
        <v>1</v>
      </c>
      <c r="M714" s="1" t="s">
        <v>48</v>
      </c>
      <c r="N714" s="1" t="s">
        <v>63</v>
      </c>
      <c r="O714" s="1">
        <v>41821.68</v>
      </c>
      <c r="P714" s="1">
        <v>5</v>
      </c>
      <c r="Q714" s="1" t="s">
        <v>40</v>
      </c>
    </row>
    <row r="715" spans="1:17">
      <c r="A715" s="1" t="s">
        <v>1315</v>
      </c>
      <c r="B715" s="1" t="s">
        <v>553</v>
      </c>
      <c r="C715" s="1">
        <v>65</v>
      </c>
      <c r="D715" s="1" t="s">
        <v>27</v>
      </c>
      <c r="E715" s="1" t="s">
        <v>117</v>
      </c>
      <c r="F715" s="1" t="s">
        <v>75</v>
      </c>
      <c r="G715" s="1" t="s">
        <v>104</v>
      </c>
      <c r="H715" s="1" t="s">
        <v>105</v>
      </c>
      <c r="I715" s="1" t="s">
        <v>24</v>
      </c>
      <c r="J715" s="7" t="s">
        <v>1316</v>
      </c>
      <c r="K715" s="2">
        <v>45664</v>
      </c>
      <c r="L715" s="1">
        <v>2</v>
      </c>
      <c r="M715" s="1" t="s">
        <v>38</v>
      </c>
      <c r="N715" s="1" t="s">
        <v>39</v>
      </c>
      <c r="O715" s="1">
        <v>72308.11</v>
      </c>
      <c r="P715" s="1">
        <v>4</v>
      </c>
      <c r="Q715" s="1" t="s">
        <v>58</v>
      </c>
    </row>
    <row r="716" spans="1:17">
      <c r="A716" s="1" t="s">
        <v>1317</v>
      </c>
      <c r="B716" s="1" t="s">
        <v>1318</v>
      </c>
      <c r="C716" s="1">
        <v>84</v>
      </c>
      <c r="D716" s="1" t="s">
        <v>19</v>
      </c>
      <c r="E716" s="1" t="s">
        <v>44</v>
      </c>
      <c r="F716" s="1" t="s">
        <v>67</v>
      </c>
      <c r="G716" s="1" t="s">
        <v>36</v>
      </c>
      <c r="H716" s="1" t="s">
        <v>76</v>
      </c>
      <c r="I716" s="1" t="s">
        <v>24</v>
      </c>
      <c r="J716" s="7" t="s">
        <v>356</v>
      </c>
      <c r="K716" s="2">
        <v>45728</v>
      </c>
      <c r="L716" s="1">
        <v>3</v>
      </c>
      <c r="M716" s="1" t="s">
        <v>48</v>
      </c>
      <c r="N716" s="1" t="s">
        <v>90</v>
      </c>
      <c r="O716" s="1">
        <v>25787.87</v>
      </c>
      <c r="P716" s="1">
        <v>1</v>
      </c>
      <c r="Q716" s="1" t="s">
        <v>58</v>
      </c>
    </row>
    <row r="717" spans="1:17">
      <c r="A717" s="1" t="s">
        <v>1319</v>
      </c>
      <c r="B717" s="1" t="s">
        <v>172</v>
      </c>
      <c r="C717" s="1">
        <v>3</v>
      </c>
      <c r="D717" s="1" t="s">
        <v>43</v>
      </c>
      <c r="E717" s="1" t="s">
        <v>66</v>
      </c>
      <c r="F717" s="1" t="s">
        <v>33</v>
      </c>
      <c r="G717" s="1" t="s">
        <v>22</v>
      </c>
      <c r="H717" s="1" t="s">
        <v>88</v>
      </c>
      <c r="I717" s="1" t="s">
        <v>62</v>
      </c>
      <c r="J717" s="7" t="s">
        <v>625</v>
      </c>
      <c r="K717" s="1" t="s">
        <v>150</v>
      </c>
      <c r="L717" s="1">
        <v>1</v>
      </c>
      <c r="M717" s="1" t="s">
        <v>56</v>
      </c>
      <c r="N717" s="1" t="s">
        <v>85</v>
      </c>
      <c r="O717" s="1">
        <v>13658.52</v>
      </c>
      <c r="P717" s="1">
        <v>4</v>
      </c>
      <c r="Q717" s="1" t="s">
        <v>58</v>
      </c>
    </row>
    <row r="718" spans="1:17">
      <c r="A718" s="1" t="s">
        <v>1320</v>
      </c>
      <c r="B718" s="1" t="s">
        <v>492</v>
      </c>
      <c r="C718" s="1">
        <v>26</v>
      </c>
      <c r="D718" s="1" t="s">
        <v>43</v>
      </c>
      <c r="E718" s="1" t="s">
        <v>44</v>
      </c>
      <c r="F718" s="1" t="s">
        <v>120</v>
      </c>
      <c r="G718" s="1" t="s">
        <v>104</v>
      </c>
      <c r="H718" s="1" t="s">
        <v>61</v>
      </c>
      <c r="I718" s="1" t="s">
        <v>36</v>
      </c>
      <c r="J718" s="7" t="s">
        <v>535</v>
      </c>
      <c r="K718" s="1" t="s">
        <v>1321</v>
      </c>
      <c r="L718" s="1">
        <v>5</v>
      </c>
      <c r="M718" s="1" t="s">
        <v>56</v>
      </c>
      <c r="N718" s="1" t="s">
        <v>57</v>
      </c>
      <c r="O718" s="1">
        <v>70163.009999999995</v>
      </c>
      <c r="P718" s="1">
        <v>5</v>
      </c>
      <c r="Q718" s="1" t="s">
        <v>72</v>
      </c>
    </row>
    <row r="719" spans="1:17">
      <c r="A719" s="1" t="s">
        <v>1322</v>
      </c>
      <c r="B719" s="1" t="s">
        <v>780</v>
      </c>
      <c r="C719" s="1">
        <v>1</v>
      </c>
      <c r="D719" s="1" t="s">
        <v>27</v>
      </c>
      <c r="E719" s="1" t="s">
        <v>44</v>
      </c>
      <c r="F719" s="1" t="s">
        <v>52</v>
      </c>
      <c r="G719" s="1" t="s">
        <v>104</v>
      </c>
      <c r="H719" s="1" t="s">
        <v>76</v>
      </c>
      <c r="I719" s="1" t="s">
        <v>24</v>
      </c>
      <c r="J719" s="7">
        <v>45353</v>
      </c>
      <c r="K719" s="2">
        <v>45537</v>
      </c>
      <c r="L719" s="1">
        <v>6</v>
      </c>
      <c r="M719" s="1" t="s">
        <v>48</v>
      </c>
      <c r="N719" s="1" t="s">
        <v>57</v>
      </c>
      <c r="O719" s="1">
        <v>17136.689999999999</v>
      </c>
      <c r="P719" s="1">
        <v>4</v>
      </c>
      <c r="Q719" s="1" t="s">
        <v>58</v>
      </c>
    </row>
    <row r="720" spans="1:17">
      <c r="A720" s="1" t="s">
        <v>1323</v>
      </c>
      <c r="B720" s="1" t="s">
        <v>780</v>
      </c>
      <c r="C720" s="1">
        <v>8</v>
      </c>
      <c r="D720" s="1" t="s">
        <v>43</v>
      </c>
      <c r="E720" s="1" t="s">
        <v>66</v>
      </c>
      <c r="F720" s="1" t="s">
        <v>120</v>
      </c>
      <c r="G720" s="1" t="s">
        <v>104</v>
      </c>
      <c r="H720" s="1" t="s">
        <v>76</v>
      </c>
      <c r="I720" s="1" t="s">
        <v>62</v>
      </c>
      <c r="J720" s="7">
        <v>45963</v>
      </c>
      <c r="K720" s="1" t="s">
        <v>1324</v>
      </c>
      <c r="L720" s="1">
        <v>8</v>
      </c>
      <c r="M720" s="1" t="s">
        <v>38</v>
      </c>
      <c r="N720" s="1" t="s">
        <v>85</v>
      </c>
      <c r="O720" s="1">
        <v>86852.4</v>
      </c>
      <c r="P720" s="1">
        <v>2</v>
      </c>
      <c r="Q720" s="1" t="s">
        <v>29</v>
      </c>
    </row>
    <row r="721" spans="1:17">
      <c r="A721" s="1" t="s">
        <v>1325</v>
      </c>
      <c r="B721" s="1" t="s">
        <v>131</v>
      </c>
      <c r="C721" s="1">
        <v>62</v>
      </c>
      <c r="D721" s="1" t="s">
        <v>19</v>
      </c>
      <c r="E721" s="1" t="s">
        <v>159</v>
      </c>
      <c r="F721" s="1" t="s">
        <v>120</v>
      </c>
      <c r="G721" s="1" t="s">
        <v>104</v>
      </c>
      <c r="H721" s="1" t="s">
        <v>93</v>
      </c>
      <c r="I721" s="1" t="s">
        <v>62</v>
      </c>
      <c r="J721" s="7" t="s">
        <v>663</v>
      </c>
      <c r="K721" s="1" t="s">
        <v>139</v>
      </c>
      <c r="L721" s="1">
        <v>2</v>
      </c>
      <c r="M721" s="1" t="s">
        <v>38</v>
      </c>
      <c r="N721" s="1" t="s">
        <v>90</v>
      </c>
      <c r="O721" s="1">
        <v>66932.679999999993</v>
      </c>
      <c r="P721" s="1">
        <v>5</v>
      </c>
      <c r="Q721" s="1" t="s">
        <v>40</v>
      </c>
    </row>
    <row r="722" spans="1:17">
      <c r="A722" s="1" t="s">
        <v>1326</v>
      </c>
      <c r="B722" s="1" t="s">
        <v>699</v>
      </c>
      <c r="C722" s="1">
        <v>77</v>
      </c>
      <c r="D722" s="1" t="s">
        <v>19</v>
      </c>
      <c r="E722" s="1" t="s">
        <v>159</v>
      </c>
      <c r="F722" s="1" t="s">
        <v>52</v>
      </c>
      <c r="G722" s="1" t="s">
        <v>53</v>
      </c>
      <c r="H722" s="1" t="s">
        <v>69</v>
      </c>
      <c r="I722" s="1" t="s">
        <v>62</v>
      </c>
      <c r="J722" s="7" t="s">
        <v>433</v>
      </c>
      <c r="K722" s="1" t="s">
        <v>434</v>
      </c>
      <c r="L722" s="1">
        <v>4</v>
      </c>
      <c r="M722" s="1" t="s">
        <v>38</v>
      </c>
      <c r="N722" s="1" t="s">
        <v>85</v>
      </c>
      <c r="O722" s="1">
        <v>56259.82</v>
      </c>
      <c r="P722" s="1">
        <v>5</v>
      </c>
      <c r="Q722" s="1" t="s">
        <v>29</v>
      </c>
    </row>
    <row r="723" spans="1:17">
      <c r="A723" s="1" t="s">
        <v>1327</v>
      </c>
      <c r="B723" s="1" t="s">
        <v>176</v>
      </c>
      <c r="C723" s="1">
        <v>19</v>
      </c>
      <c r="D723" s="1" t="s">
        <v>27</v>
      </c>
      <c r="E723" s="1" t="s">
        <v>51</v>
      </c>
      <c r="F723" s="1" t="s">
        <v>52</v>
      </c>
      <c r="G723" s="1" t="s">
        <v>132</v>
      </c>
      <c r="H723" s="1" t="s">
        <v>69</v>
      </c>
      <c r="I723" s="1" t="s">
        <v>24</v>
      </c>
      <c r="J723" s="7" t="s">
        <v>974</v>
      </c>
      <c r="K723" s="1" t="s">
        <v>562</v>
      </c>
      <c r="L723" s="1">
        <v>2</v>
      </c>
      <c r="M723" s="1" t="s">
        <v>97</v>
      </c>
      <c r="N723" s="1" t="s">
        <v>57</v>
      </c>
      <c r="O723" s="1">
        <v>34115.83</v>
      </c>
      <c r="P723" s="1">
        <v>4</v>
      </c>
      <c r="Q723" s="1" t="s">
        <v>29</v>
      </c>
    </row>
    <row r="724" spans="1:17">
      <c r="A724" s="1" t="s">
        <v>1328</v>
      </c>
      <c r="B724" s="1" t="s">
        <v>266</v>
      </c>
      <c r="C724" s="1">
        <v>45</v>
      </c>
      <c r="D724" s="1" t="s">
        <v>27</v>
      </c>
      <c r="E724" s="1" t="s">
        <v>202</v>
      </c>
      <c r="F724" s="1" t="s">
        <v>52</v>
      </c>
      <c r="G724" s="1" t="s">
        <v>104</v>
      </c>
      <c r="H724" s="1" t="s">
        <v>35</v>
      </c>
      <c r="I724" s="1" t="s">
        <v>36</v>
      </c>
      <c r="J724" s="7">
        <v>45510</v>
      </c>
      <c r="K724" s="2">
        <v>45602</v>
      </c>
      <c r="L724" s="1">
        <v>3</v>
      </c>
      <c r="M724" s="1" t="s">
        <v>38</v>
      </c>
      <c r="N724" s="1" t="s">
        <v>85</v>
      </c>
      <c r="O724" s="1">
        <v>75567.100000000006</v>
      </c>
      <c r="P724" s="1">
        <v>4</v>
      </c>
      <c r="Q724" s="1" t="s">
        <v>40</v>
      </c>
    </row>
    <row r="725" spans="1:17">
      <c r="A725" s="1" t="s">
        <v>1329</v>
      </c>
      <c r="B725" s="1" t="s">
        <v>524</v>
      </c>
      <c r="C725" s="1">
        <v>27</v>
      </c>
      <c r="D725" s="1" t="s">
        <v>19</v>
      </c>
      <c r="E725" s="1" t="s">
        <v>20</v>
      </c>
      <c r="F725" s="1" t="s">
        <v>120</v>
      </c>
      <c r="G725" s="1" t="s">
        <v>22</v>
      </c>
      <c r="H725" s="1" t="s">
        <v>61</v>
      </c>
      <c r="I725" s="1" t="s">
        <v>24</v>
      </c>
      <c r="J725" s="7">
        <v>45328</v>
      </c>
      <c r="K725" s="2">
        <v>45479</v>
      </c>
      <c r="L725" s="1">
        <v>5</v>
      </c>
      <c r="M725" s="1" t="s">
        <v>48</v>
      </c>
      <c r="N725" s="1" t="s">
        <v>57</v>
      </c>
      <c r="O725" s="1">
        <v>38024.61</v>
      </c>
      <c r="P725" s="1">
        <v>4</v>
      </c>
      <c r="Q725" s="1" t="s">
        <v>72</v>
      </c>
    </row>
    <row r="726" spans="1:17">
      <c r="A726" s="1" t="s">
        <v>1330</v>
      </c>
      <c r="B726" s="1" t="s">
        <v>712</v>
      </c>
      <c r="C726" s="1">
        <v>43</v>
      </c>
      <c r="D726" s="1" t="s">
        <v>27</v>
      </c>
      <c r="E726" s="1" t="s">
        <v>66</v>
      </c>
      <c r="F726" s="1" t="s">
        <v>52</v>
      </c>
      <c r="G726" s="1" t="s">
        <v>22</v>
      </c>
      <c r="H726" s="1" t="s">
        <v>99</v>
      </c>
      <c r="I726" s="1" t="s">
        <v>24</v>
      </c>
      <c r="J726" s="7">
        <v>45538</v>
      </c>
      <c r="K726" s="1" t="s">
        <v>300</v>
      </c>
      <c r="L726" s="1">
        <v>4</v>
      </c>
      <c r="M726" s="1" t="s">
        <v>56</v>
      </c>
      <c r="N726" s="1" t="s">
        <v>85</v>
      </c>
      <c r="O726" s="1">
        <v>44604.2</v>
      </c>
      <c r="P726" s="1">
        <v>4</v>
      </c>
      <c r="Q726" s="1" t="s">
        <v>58</v>
      </c>
    </row>
    <row r="727" spans="1:17">
      <c r="A727" s="1" t="s">
        <v>1331</v>
      </c>
      <c r="B727" s="1" t="s">
        <v>396</v>
      </c>
      <c r="C727" s="1">
        <v>23</v>
      </c>
      <c r="D727" s="1" t="s">
        <v>19</v>
      </c>
      <c r="E727" s="1" t="s">
        <v>20</v>
      </c>
      <c r="F727" s="1" t="s">
        <v>21</v>
      </c>
      <c r="G727" s="1" t="s">
        <v>132</v>
      </c>
      <c r="H727" s="1" t="s">
        <v>45</v>
      </c>
      <c r="I727" s="1" t="s">
        <v>36</v>
      </c>
      <c r="J727" s="7" t="s">
        <v>244</v>
      </c>
      <c r="K727" s="1" t="s">
        <v>763</v>
      </c>
      <c r="L727" s="1">
        <v>4</v>
      </c>
      <c r="M727" s="1" t="s">
        <v>27</v>
      </c>
      <c r="N727" s="1" t="s">
        <v>39</v>
      </c>
      <c r="O727" s="1">
        <v>78148.289999999994</v>
      </c>
      <c r="P727" s="1">
        <v>3</v>
      </c>
      <c r="Q727" s="1" t="s">
        <v>58</v>
      </c>
    </row>
    <row r="728" spans="1:17">
      <c r="A728" s="1" t="s">
        <v>1332</v>
      </c>
      <c r="B728" s="1" t="s">
        <v>792</v>
      </c>
      <c r="C728" s="1">
        <v>60</v>
      </c>
      <c r="D728" s="1" t="s">
        <v>19</v>
      </c>
      <c r="E728" s="1" t="s">
        <v>51</v>
      </c>
      <c r="F728" s="1" t="s">
        <v>67</v>
      </c>
      <c r="G728" s="1" t="s">
        <v>132</v>
      </c>
      <c r="H728" s="1" t="s">
        <v>93</v>
      </c>
      <c r="I728" s="1" t="s">
        <v>36</v>
      </c>
      <c r="J728" s="7">
        <v>45723</v>
      </c>
      <c r="K728" s="2">
        <v>45784</v>
      </c>
      <c r="L728" s="1">
        <v>2</v>
      </c>
      <c r="M728" s="1" t="s">
        <v>27</v>
      </c>
      <c r="N728" s="1" t="s">
        <v>57</v>
      </c>
      <c r="O728" s="1">
        <v>20497.669999999998</v>
      </c>
      <c r="P728" s="1">
        <v>2</v>
      </c>
      <c r="Q728" s="1" t="s">
        <v>40</v>
      </c>
    </row>
    <row r="729" spans="1:17">
      <c r="A729" s="1" t="s">
        <v>1333</v>
      </c>
      <c r="B729" s="1" t="s">
        <v>502</v>
      </c>
      <c r="C729" s="1">
        <v>73</v>
      </c>
      <c r="D729" s="1" t="s">
        <v>19</v>
      </c>
      <c r="E729" s="1" t="s">
        <v>117</v>
      </c>
      <c r="F729" s="1" t="s">
        <v>33</v>
      </c>
      <c r="G729" s="1" t="s">
        <v>132</v>
      </c>
      <c r="H729" s="1" t="s">
        <v>69</v>
      </c>
      <c r="I729" s="1" t="s">
        <v>24</v>
      </c>
      <c r="J729" s="7" t="s">
        <v>1334</v>
      </c>
      <c r="K729" s="1" t="s">
        <v>192</v>
      </c>
      <c r="L729" s="1">
        <v>13</v>
      </c>
      <c r="M729" s="1" t="s">
        <v>38</v>
      </c>
      <c r="N729" s="1" t="s">
        <v>57</v>
      </c>
      <c r="O729" s="1">
        <v>88526.14</v>
      </c>
      <c r="P729" s="1">
        <v>4</v>
      </c>
      <c r="Q729" s="1" t="s">
        <v>29</v>
      </c>
    </row>
    <row r="730" spans="1:17">
      <c r="A730" s="1" t="s">
        <v>1335</v>
      </c>
      <c r="B730" s="1" t="s">
        <v>565</v>
      </c>
      <c r="C730" s="1">
        <v>43</v>
      </c>
      <c r="D730" s="1" t="s">
        <v>27</v>
      </c>
      <c r="E730" s="1" t="s">
        <v>159</v>
      </c>
      <c r="F730" s="1" t="s">
        <v>75</v>
      </c>
      <c r="G730" s="1" t="s">
        <v>68</v>
      </c>
      <c r="H730" s="1" t="s">
        <v>23</v>
      </c>
      <c r="I730" s="1" t="s">
        <v>36</v>
      </c>
      <c r="J730" s="7">
        <v>45905</v>
      </c>
      <c r="K730" s="2">
        <v>45966</v>
      </c>
      <c r="L730" s="1">
        <v>2</v>
      </c>
      <c r="M730" s="1" t="s">
        <v>97</v>
      </c>
      <c r="N730" s="1" t="s">
        <v>28</v>
      </c>
      <c r="O730" s="1">
        <v>30178.61</v>
      </c>
      <c r="P730" s="1">
        <v>3</v>
      </c>
      <c r="Q730" s="1" t="s">
        <v>40</v>
      </c>
    </row>
    <row r="731" spans="1:17">
      <c r="A731" s="1" t="s">
        <v>1336</v>
      </c>
      <c r="B731" s="1" t="s">
        <v>84</v>
      </c>
      <c r="C731" s="1">
        <v>66</v>
      </c>
      <c r="D731" s="1" t="s">
        <v>43</v>
      </c>
      <c r="E731" s="1" t="s">
        <v>20</v>
      </c>
      <c r="F731" s="1" t="s">
        <v>75</v>
      </c>
      <c r="G731" s="1" t="s">
        <v>68</v>
      </c>
      <c r="H731" s="1" t="s">
        <v>45</v>
      </c>
      <c r="I731" s="1" t="s">
        <v>36</v>
      </c>
      <c r="J731" s="7" t="s">
        <v>487</v>
      </c>
      <c r="K731" s="1" t="s">
        <v>577</v>
      </c>
      <c r="L731" s="1">
        <v>1</v>
      </c>
      <c r="M731" s="1" t="s">
        <v>56</v>
      </c>
      <c r="N731" s="1" t="s">
        <v>82</v>
      </c>
      <c r="O731" s="1">
        <v>79546.559999999998</v>
      </c>
      <c r="P731" s="1">
        <v>4</v>
      </c>
      <c r="Q731" s="1" t="s">
        <v>40</v>
      </c>
    </row>
    <row r="732" spans="1:17">
      <c r="A732" s="1" t="s">
        <v>1337</v>
      </c>
      <c r="B732" s="1" t="s">
        <v>830</v>
      </c>
      <c r="C732" s="1">
        <v>41</v>
      </c>
      <c r="D732" s="1" t="s">
        <v>27</v>
      </c>
      <c r="E732" s="1" t="s">
        <v>66</v>
      </c>
      <c r="F732" s="1" t="s">
        <v>21</v>
      </c>
      <c r="G732" s="1" t="s">
        <v>132</v>
      </c>
      <c r="H732" s="1" t="s">
        <v>69</v>
      </c>
      <c r="I732" s="1" t="s">
        <v>24</v>
      </c>
      <c r="J732" s="7" t="s">
        <v>546</v>
      </c>
      <c r="K732" s="2">
        <v>45752</v>
      </c>
      <c r="L732" s="1">
        <v>6</v>
      </c>
      <c r="M732" s="1" t="s">
        <v>56</v>
      </c>
      <c r="N732" s="1" t="s">
        <v>82</v>
      </c>
      <c r="O732" s="1">
        <v>61047.77</v>
      </c>
      <c r="P732" s="1">
        <v>4</v>
      </c>
      <c r="Q732" s="1" t="s">
        <v>58</v>
      </c>
    </row>
    <row r="733" spans="1:17">
      <c r="A733" s="1" t="s">
        <v>1338</v>
      </c>
      <c r="B733" s="1" t="s">
        <v>693</v>
      </c>
      <c r="C733" s="1">
        <v>84</v>
      </c>
      <c r="D733" s="1" t="s">
        <v>27</v>
      </c>
      <c r="E733" s="1" t="s">
        <v>159</v>
      </c>
      <c r="F733" s="1" t="s">
        <v>120</v>
      </c>
      <c r="G733" s="1" t="s">
        <v>104</v>
      </c>
      <c r="H733" s="1" t="s">
        <v>105</v>
      </c>
      <c r="I733" s="1" t="s">
        <v>62</v>
      </c>
      <c r="J733" s="7">
        <v>45691</v>
      </c>
      <c r="K733" s="2">
        <v>45750</v>
      </c>
      <c r="L733" s="1">
        <v>2</v>
      </c>
      <c r="M733" s="1" t="s">
        <v>27</v>
      </c>
      <c r="N733" s="1" t="s">
        <v>57</v>
      </c>
      <c r="O733" s="1">
        <v>39067.75</v>
      </c>
      <c r="P733" s="1">
        <v>3</v>
      </c>
      <c r="Q733" s="1" t="s">
        <v>58</v>
      </c>
    </row>
    <row r="734" spans="1:17">
      <c r="A734" s="1" t="s">
        <v>1339</v>
      </c>
      <c r="B734" s="1" t="s">
        <v>688</v>
      </c>
      <c r="C734" s="1">
        <v>1</v>
      </c>
      <c r="D734" s="1" t="s">
        <v>43</v>
      </c>
      <c r="E734" s="1" t="s">
        <v>117</v>
      </c>
      <c r="F734" s="1" t="s">
        <v>120</v>
      </c>
      <c r="G734" s="1" t="s">
        <v>104</v>
      </c>
      <c r="H734" s="1" t="s">
        <v>105</v>
      </c>
      <c r="I734" s="1" t="s">
        <v>36</v>
      </c>
      <c r="J734" s="7" t="s">
        <v>1007</v>
      </c>
      <c r="K734" s="1" t="s">
        <v>410</v>
      </c>
      <c r="L734" s="1">
        <v>3</v>
      </c>
      <c r="M734" s="1" t="s">
        <v>38</v>
      </c>
      <c r="N734" s="1" t="s">
        <v>57</v>
      </c>
      <c r="O734" s="1">
        <v>13422.01</v>
      </c>
      <c r="P734" s="1">
        <v>5</v>
      </c>
      <c r="Q734" s="1" t="s">
        <v>58</v>
      </c>
    </row>
    <row r="735" spans="1:17">
      <c r="A735" s="1" t="s">
        <v>1340</v>
      </c>
      <c r="B735" s="1" t="s">
        <v>656</v>
      </c>
      <c r="C735" s="1">
        <v>42</v>
      </c>
      <c r="D735" s="1" t="s">
        <v>27</v>
      </c>
      <c r="E735" s="1" t="s">
        <v>44</v>
      </c>
      <c r="F735" s="1" t="s">
        <v>33</v>
      </c>
      <c r="G735" s="1" t="s">
        <v>104</v>
      </c>
      <c r="H735" s="1" t="s">
        <v>105</v>
      </c>
      <c r="I735" s="1" t="s">
        <v>36</v>
      </c>
      <c r="J735" s="7" t="s">
        <v>1341</v>
      </c>
      <c r="K735" s="1" t="s">
        <v>751</v>
      </c>
      <c r="L735" s="1">
        <v>2</v>
      </c>
      <c r="M735" s="1" t="s">
        <v>97</v>
      </c>
      <c r="N735" s="1" t="s">
        <v>63</v>
      </c>
      <c r="O735" s="1">
        <v>19798.919999999998</v>
      </c>
      <c r="P735" s="1">
        <v>3</v>
      </c>
      <c r="Q735" s="1" t="s">
        <v>58</v>
      </c>
    </row>
    <row r="736" spans="1:17">
      <c r="A736" s="1" t="s">
        <v>1342</v>
      </c>
      <c r="B736" s="1" t="s">
        <v>613</v>
      </c>
      <c r="C736" s="1">
        <v>32</v>
      </c>
      <c r="D736" s="1" t="s">
        <v>43</v>
      </c>
      <c r="E736" s="1" t="s">
        <v>32</v>
      </c>
      <c r="F736" s="1" t="s">
        <v>120</v>
      </c>
      <c r="G736" s="1" t="s">
        <v>53</v>
      </c>
      <c r="H736" s="1" t="s">
        <v>105</v>
      </c>
      <c r="I736" s="1" t="s">
        <v>24</v>
      </c>
      <c r="J736" s="7" t="s">
        <v>243</v>
      </c>
      <c r="K736" s="1" t="s">
        <v>625</v>
      </c>
      <c r="L736" s="1">
        <v>3</v>
      </c>
      <c r="M736" s="1" t="s">
        <v>97</v>
      </c>
      <c r="N736" s="1" t="s">
        <v>39</v>
      </c>
      <c r="O736" s="1">
        <v>81734.61</v>
      </c>
      <c r="P736" s="1">
        <v>3</v>
      </c>
      <c r="Q736" s="1" t="s">
        <v>29</v>
      </c>
    </row>
    <row r="737" spans="1:17">
      <c r="A737" s="1" t="s">
        <v>1343</v>
      </c>
      <c r="B737" s="1" t="s">
        <v>179</v>
      </c>
      <c r="C737" s="1">
        <v>20</v>
      </c>
      <c r="D737" s="1" t="s">
        <v>27</v>
      </c>
      <c r="E737" s="1" t="s">
        <v>202</v>
      </c>
      <c r="F737" s="1" t="s">
        <v>21</v>
      </c>
      <c r="G737" s="1" t="s">
        <v>132</v>
      </c>
      <c r="H737" s="1" t="s">
        <v>88</v>
      </c>
      <c r="I737" s="1" t="s">
        <v>36</v>
      </c>
      <c r="J737" s="7">
        <v>45333</v>
      </c>
      <c r="K737" s="2">
        <v>45393</v>
      </c>
      <c r="L737" s="1">
        <v>2</v>
      </c>
      <c r="M737" s="1" t="s">
        <v>38</v>
      </c>
      <c r="N737" s="1" t="s">
        <v>39</v>
      </c>
      <c r="O737" s="1">
        <v>53809.52</v>
      </c>
      <c r="P737" s="1">
        <v>5</v>
      </c>
      <c r="Q737" s="1" t="s">
        <v>40</v>
      </c>
    </row>
    <row r="738" spans="1:17">
      <c r="A738" s="1" t="s">
        <v>1344</v>
      </c>
      <c r="B738" s="1" t="s">
        <v>259</v>
      </c>
      <c r="C738" s="1">
        <v>58</v>
      </c>
      <c r="D738" s="1" t="s">
        <v>27</v>
      </c>
      <c r="E738" s="1" t="s">
        <v>66</v>
      </c>
      <c r="F738" s="1" t="s">
        <v>75</v>
      </c>
      <c r="G738" s="1" t="s">
        <v>53</v>
      </c>
      <c r="H738" s="1" t="s">
        <v>88</v>
      </c>
      <c r="I738" s="1" t="s">
        <v>24</v>
      </c>
      <c r="J738" s="7">
        <v>45481</v>
      </c>
      <c r="K738" s="2">
        <v>45543</v>
      </c>
      <c r="L738" s="1">
        <v>2</v>
      </c>
      <c r="M738" s="1" t="s">
        <v>97</v>
      </c>
      <c r="N738" s="1" t="s">
        <v>57</v>
      </c>
      <c r="O738" s="1">
        <v>55022.57</v>
      </c>
      <c r="P738" s="1">
        <v>3</v>
      </c>
      <c r="Q738" s="1" t="s">
        <v>58</v>
      </c>
    </row>
    <row r="739" spans="1:17">
      <c r="A739" s="1" t="s">
        <v>1345</v>
      </c>
      <c r="B739" s="1" t="s">
        <v>393</v>
      </c>
      <c r="C739" s="1">
        <v>63</v>
      </c>
      <c r="D739" s="1" t="s">
        <v>19</v>
      </c>
      <c r="E739" s="1" t="s">
        <v>32</v>
      </c>
      <c r="F739" s="1" t="s">
        <v>52</v>
      </c>
      <c r="G739" s="1" t="s">
        <v>34</v>
      </c>
      <c r="H739" s="1" t="s">
        <v>23</v>
      </c>
      <c r="I739" s="1" t="s">
        <v>36</v>
      </c>
      <c r="J739" s="7" t="s">
        <v>121</v>
      </c>
      <c r="K739" s="1" t="s">
        <v>319</v>
      </c>
      <c r="L739" s="1">
        <v>1</v>
      </c>
      <c r="M739" s="1" t="s">
        <v>27</v>
      </c>
      <c r="N739" s="1" t="s">
        <v>28</v>
      </c>
      <c r="O739" s="1">
        <v>113175.44</v>
      </c>
      <c r="P739" s="1">
        <v>4</v>
      </c>
      <c r="Q739" s="1" t="s">
        <v>72</v>
      </c>
    </row>
    <row r="740" spans="1:17">
      <c r="A740" s="1" t="s">
        <v>1346</v>
      </c>
      <c r="B740" s="1" t="s">
        <v>920</v>
      </c>
      <c r="C740" s="1">
        <v>69</v>
      </c>
      <c r="D740" s="1" t="s">
        <v>19</v>
      </c>
      <c r="E740" s="1" t="s">
        <v>159</v>
      </c>
      <c r="F740" s="1" t="s">
        <v>52</v>
      </c>
      <c r="G740" s="1" t="s">
        <v>132</v>
      </c>
      <c r="H740" s="1" t="s">
        <v>45</v>
      </c>
      <c r="I740" s="1" t="s">
        <v>36</v>
      </c>
      <c r="J740" s="7">
        <v>45906</v>
      </c>
      <c r="K740" s="1" t="s">
        <v>346</v>
      </c>
      <c r="L740" s="1">
        <v>5</v>
      </c>
      <c r="M740" s="1" t="s">
        <v>38</v>
      </c>
      <c r="N740" s="1" t="s">
        <v>28</v>
      </c>
      <c r="O740" s="1">
        <v>67999.42</v>
      </c>
      <c r="P740" s="1">
        <v>4</v>
      </c>
      <c r="Q740" s="1" t="s">
        <v>29</v>
      </c>
    </row>
    <row r="741" spans="1:17">
      <c r="A741" s="1" t="s">
        <v>1347</v>
      </c>
      <c r="B741" s="1" t="s">
        <v>229</v>
      </c>
      <c r="C741" s="1">
        <v>83</v>
      </c>
      <c r="D741" s="1" t="s">
        <v>27</v>
      </c>
      <c r="E741" s="1" t="s">
        <v>202</v>
      </c>
      <c r="F741" s="1" t="s">
        <v>75</v>
      </c>
      <c r="G741" s="1" t="s">
        <v>36</v>
      </c>
      <c r="H741" s="1" t="s">
        <v>99</v>
      </c>
      <c r="I741" s="1" t="s">
        <v>36</v>
      </c>
      <c r="J741" s="7" t="s">
        <v>1144</v>
      </c>
      <c r="K741" s="1" t="s">
        <v>813</v>
      </c>
      <c r="L741" s="1">
        <v>4</v>
      </c>
      <c r="M741" s="1" t="s">
        <v>38</v>
      </c>
      <c r="N741" s="1" t="s">
        <v>57</v>
      </c>
      <c r="O741" s="1">
        <v>41307.019999999997</v>
      </c>
      <c r="P741" s="1">
        <v>3</v>
      </c>
      <c r="Q741" s="1" t="s">
        <v>29</v>
      </c>
    </row>
    <row r="742" spans="1:17">
      <c r="A742" s="1" t="s">
        <v>1348</v>
      </c>
      <c r="B742" s="1" t="s">
        <v>453</v>
      </c>
      <c r="C742" s="1">
        <v>34</v>
      </c>
      <c r="D742" s="1" t="s">
        <v>19</v>
      </c>
      <c r="E742" s="1" t="s">
        <v>20</v>
      </c>
      <c r="F742" s="1" t="s">
        <v>21</v>
      </c>
      <c r="G742" s="1" t="s">
        <v>132</v>
      </c>
      <c r="H742" s="1" t="s">
        <v>69</v>
      </c>
      <c r="I742" s="1" t="s">
        <v>36</v>
      </c>
      <c r="J742" s="7" t="s">
        <v>738</v>
      </c>
      <c r="K742" s="1" t="s">
        <v>549</v>
      </c>
      <c r="L742" s="1">
        <v>8</v>
      </c>
      <c r="M742" s="1" t="s">
        <v>38</v>
      </c>
      <c r="N742" s="1" t="s">
        <v>85</v>
      </c>
      <c r="O742" s="1">
        <v>99438.78</v>
      </c>
      <c r="P742" s="1">
        <v>5</v>
      </c>
      <c r="Q742" s="1" t="s">
        <v>72</v>
      </c>
    </row>
    <row r="743" spans="1:17">
      <c r="A743" s="1" t="s">
        <v>1349</v>
      </c>
      <c r="B743" s="1" t="s">
        <v>745</v>
      </c>
      <c r="C743" s="1">
        <v>4</v>
      </c>
      <c r="D743" s="1" t="s">
        <v>27</v>
      </c>
      <c r="E743" s="1" t="s">
        <v>117</v>
      </c>
      <c r="F743" s="1" t="s">
        <v>21</v>
      </c>
      <c r="G743" s="1" t="s">
        <v>22</v>
      </c>
      <c r="H743" s="1" t="s">
        <v>88</v>
      </c>
      <c r="I743" s="1" t="s">
        <v>62</v>
      </c>
      <c r="J743" s="7">
        <v>45878</v>
      </c>
      <c r="K743" s="1" t="s">
        <v>625</v>
      </c>
      <c r="L743" s="1">
        <v>8</v>
      </c>
      <c r="M743" s="1" t="s">
        <v>38</v>
      </c>
      <c r="N743" s="1" t="s">
        <v>85</v>
      </c>
      <c r="O743" s="1">
        <v>94438.24</v>
      </c>
      <c r="P743" s="1">
        <v>5</v>
      </c>
      <c r="Q743" s="1" t="s">
        <v>29</v>
      </c>
    </row>
    <row r="744" spans="1:17">
      <c r="A744" s="1" t="s">
        <v>1350</v>
      </c>
      <c r="B744" s="1" t="s">
        <v>486</v>
      </c>
      <c r="C744" s="1">
        <v>46</v>
      </c>
      <c r="D744" s="1" t="s">
        <v>19</v>
      </c>
      <c r="E744" s="1" t="s">
        <v>159</v>
      </c>
      <c r="F744" s="1" t="s">
        <v>33</v>
      </c>
      <c r="G744" s="1" t="s">
        <v>34</v>
      </c>
      <c r="H744" s="1" t="s">
        <v>93</v>
      </c>
      <c r="I744" s="1" t="s">
        <v>36</v>
      </c>
      <c r="J744" s="7" t="s">
        <v>1321</v>
      </c>
      <c r="K744" s="1" t="s">
        <v>1351</v>
      </c>
      <c r="L744" s="1">
        <v>1</v>
      </c>
      <c r="M744" s="1" t="s">
        <v>56</v>
      </c>
      <c r="N744" s="1" t="s">
        <v>39</v>
      </c>
      <c r="O744" s="1">
        <v>148307.18</v>
      </c>
      <c r="P744" s="1">
        <v>3</v>
      </c>
      <c r="Q744" s="1" t="s">
        <v>58</v>
      </c>
    </row>
    <row r="745" spans="1:17">
      <c r="A745" s="1" t="s">
        <v>1352</v>
      </c>
      <c r="B745" s="1" t="s">
        <v>519</v>
      </c>
      <c r="C745" s="1">
        <v>76</v>
      </c>
      <c r="D745" s="1" t="s">
        <v>19</v>
      </c>
      <c r="E745" s="1" t="s">
        <v>247</v>
      </c>
      <c r="F745" s="1" t="s">
        <v>33</v>
      </c>
      <c r="G745" s="1" t="s">
        <v>22</v>
      </c>
      <c r="H745" s="1" t="s">
        <v>35</v>
      </c>
      <c r="I745" s="1" t="s">
        <v>36</v>
      </c>
      <c r="J745" s="7">
        <v>45416</v>
      </c>
      <c r="K745" s="2">
        <v>45539</v>
      </c>
      <c r="L745" s="1">
        <v>4</v>
      </c>
      <c r="M745" s="1" t="s">
        <v>56</v>
      </c>
      <c r="N745" s="1" t="s">
        <v>28</v>
      </c>
      <c r="O745" s="1">
        <v>67232.259999999995</v>
      </c>
      <c r="P745" s="1">
        <v>3</v>
      </c>
      <c r="Q745" s="1" t="s">
        <v>40</v>
      </c>
    </row>
    <row r="746" spans="1:17">
      <c r="A746" s="1" t="s">
        <v>1353</v>
      </c>
      <c r="B746" s="1" t="s">
        <v>766</v>
      </c>
      <c r="C746" s="1">
        <v>62</v>
      </c>
      <c r="D746" s="1" t="s">
        <v>43</v>
      </c>
      <c r="E746" s="1" t="s">
        <v>117</v>
      </c>
      <c r="F746" s="1" t="s">
        <v>21</v>
      </c>
      <c r="G746" s="1" t="s">
        <v>22</v>
      </c>
      <c r="H746" s="1" t="s">
        <v>88</v>
      </c>
      <c r="I746" s="1" t="s">
        <v>24</v>
      </c>
      <c r="J746" s="7">
        <v>45753</v>
      </c>
      <c r="K746" s="2">
        <v>45844</v>
      </c>
      <c r="L746" s="1">
        <v>3</v>
      </c>
      <c r="M746" s="1" t="s">
        <v>48</v>
      </c>
      <c r="N746" s="1" t="s">
        <v>63</v>
      </c>
      <c r="O746" s="1">
        <v>38308.65</v>
      </c>
      <c r="P746" s="1">
        <v>3</v>
      </c>
      <c r="Q746" s="1" t="s">
        <v>58</v>
      </c>
    </row>
    <row r="747" spans="1:17">
      <c r="A747" s="1" t="s">
        <v>1354</v>
      </c>
      <c r="B747" s="1" t="s">
        <v>169</v>
      </c>
      <c r="C747" s="1">
        <v>61</v>
      </c>
      <c r="D747" s="1" t="s">
        <v>19</v>
      </c>
      <c r="E747" s="1" t="s">
        <v>202</v>
      </c>
      <c r="F747" s="1" t="s">
        <v>75</v>
      </c>
      <c r="G747" s="1" t="s">
        <v>110</v>
      </c>
      <c r="H747" s="1" t="s">
        <v>61</v>
      </c>
      <c r="I747" s="1" t="s">
        <v>24</v>
      </c>
      <c r="J747" s="7">
        <v>45514</v>
      </c>
      <c r="K747" s="1" t="s">
        <v>460</v>
      </c>
      <c r="L747" s="1">
        <v>6</v>
      </c>
      <c r="M747" s="1" t="s">
        <v>56</v>
      </c>
      <c r="N747" s="1" t="s">
        <v>39</v>
      </c>
      <c r="O747" s="1">
        <v>30144.82</v>
      </c>
      <c r="P747" s="1">
        <v>4</v>
      </c>
      <c r="Q747" s="1" t="s">
        <v>40</v>
      </c>
    </row>
    <row r="748" spans="1:17">
      <c r="A748" s="1" t="s">
        <v>1355</v>
      </c>
      <c r="B748" s="1" t="s">
        <v>361</v>
      </c>
      <c r="C748" s="1">
        <v>48</v>
      </c>
      <c r="D748" s="1" t="s">
        <v>27</v>
      </c>
      <c r="E748" s="1" t="s">
        <v>20</v>
      </c>
      <c r="F748" s="1" t="s">
        <v>120</v>
      </c>
      <c r="G748" s="1" t="s">
        <v>110</v>
      </c>
      <c r="H748" s="1" t="s">
        <v>35</v>
      </c>
      <c r="I748" s="1" t="s">
        <v>62</v>
      </c>
      <c r="J748" s="7" t="s">
        <v>160</v>
      </c>
      <c r="K748" s="2">
        <v>45719</v>
      </c>
      <c r="L748" s="1">
        <v>3</v>
      </c>
      <c r="M748" s="1" t="s">
        <v>38</v>
      </c>
      <c r="N748" s="1" t="s">
        <v>39</v>
      </c>
      <c r="O748" s="1">
        <v>78554.47</v>
      </c>
      <c r="P748" s="1">
        <v>5</v>
      </c>
      <c r="Q748" s="1" t="s">
        <v>40</v>
      </c>
    </row>
    <row r="749" spans="1:17">
      <c r="A749" s="1" t="s">
        <v>1356</v>
      </c>
      <c r="B749" s="1" t="s">
        <v>223</v>
      </c>
      <c r="C749" s="1">
        <v>80</v>
      </c>
      <c r="D749" s="1" t="s">
        <v>43</v>
      </c>
      <c r="E749" s="1" t="s">
        <v>66</v>
      </c>
      <c r="F749" s="1" t="s">
        <v>75</v>
      </c>
      <c r="G749" s="1" t="s">
        <v>34</v>
      </c>
      <c r="H749" s="1" t="s">
        <v>35</v>
      </c>
      <c r="I749" s="1" t="s">
        <v>36</v>
      </c>
      <c r="J749" s="7" t="s">
        <v>362</v>
      </c>
      <c r="K749" s="2">
        <v>45324</v>
      </c>
      <c r="L749" s="1">
        <v>3</v>
      </c>
      <c r="M749" s="1" t="s">
        <v>38</v>
      </c>
      <c r="N749" s="1" t="s">
        <v>85</v>
      </c>
      <c r="O749" s="1">
        <v>97722.52</v>
      </c>
      <c r="P749" s="1">
        <v>4</v>
      </c>
      <c r="Q749" s="1" t="s">
        <v>72</v>
      </c>
    </row>
    <row r="750" spans="1:17">
      <c r="A750" s="1" t="s">
        <v>1357</v>
      </c>
      <c r="B750" s="1" t="s">
        <v>324</v>
      </c>
      <c r="C750" s="1">
        <v>54</v>
      </c>
      <c r="D750" s="1" t="s">
        <v>19</v>
      </c>
      <c r="E750" s="1" t="s">
        <v>159</v>
      </c>
      <c r="F750" s="1" t="s">
        <v>33</v>
      </c>
      <c r="G750" s="1" t="s">
        <v>104</v>
      </c>
      <c r="H750" s="1" t="s">
        <v>35</v>
      </c>
      <c r="I750" s="1" t="s">
        <v>62</v>
      </c>
      <c r="J750" s="7" t="s">
        <v>874</v>
      </c>
      <c r="K750" s="1" t="s">
        <v>875</v>
      </c>
      <c r="L750" s="1">
        <v>4</v>
      </c>
      <c r="M750" s="1" t="s">
        <v>56</v>
      </c>
      <c r="N750" s="1" t="s">
        <v>82</v>
      </c>
      <c r="O750" s="1">
        <v>74554.84</v>
      </c>
      <c r="P750" s="1">
        <v>5</v>
      </c>
      <c r="Q750" s="1" t="s">
        <v>40</v>
      </c>
    </row>
    <row r="751" spans="1:17">
      <c r="A751" s="1" t="s">
        <v>1358</v>
      </c>
      <c r="B751" s="1" t="s">
        <v>1359</v>
      </c>
      <c r="C751" s="1">
        <v>79</v>
      </c>
      <c r="D751" s="1" t="s">
        <v>27</v>
      </c>
      <c r="E751" s="1" t="s">
        <v>32</v>
      </c>
      <c r="F751" s="1" t="s">
        <v>52</v>
      </c>
      <c r="G751" s="1" t="s">
        <v>132</v>
      </c>
      <c r="H751" s="1" t="s">
        <v>35</v>
      </c>
      <c r="I751" s="1" t="s">
        <v>36</v>
      </c>
      <c r="J751" s="7">
        <v>45508</v>
      </c>
      <c r="K751" s="2">
        <v>45630</v>
      </c>
      <c r="L751" s="1">
        <v>4</v>
      </c>
      <c r="M751" s="1" t="s">
        <v>97</v>
      </c>
      <c r="N751" s="1" t="s">
        <v>82</v>
      </c>
      <c r="O751" s="1">
        <v>28009.71</v>
      </c>
      <c r="P751" s="1">
        <v>3</v>
      </c>
      <c r="Q751" s="1" t="s">
        <v>72</v>
      </c>
    </row>
    <row r="752" spans="1:17">
      <c r="A752" s="1" t="s">
        <v>1360</v>
      </c>
      <c r="B752" s="1" t="s">
        <v>735</v>
      </c>
      <c r="C752" s="1">
        <v>32</v>
      </c>
      <c r="D752" s="1" t="s">
        <v>19</v>
      </c>
      <c r="E752" s="1" t="s">
        <v>247</v>
      </c>
      <c r="F752" s="1" t="s">
        <v>33</v>
      </c>
      <c r="G752" s="1" t="s">
        <v>104</v>
      </c>
      <c r="H752" s="1" t="s">
        <v>69</v>
      </c>
      <c r="I752" s="1" t="s">
        <v>62</v>
      </c>
      <c r="J752" s="7" t="s">
        <v>696</v>
      </c>
      <c r="K752" s="1" t="s">
        <v>753</v>
      </c>
      <c r="L752" s="1">
        <v>7</v>
      </c>
      <c r="M752" s="1" t="s">
        <v>56</v>
      </c>
      <c r="N752" s="1" t="s">
        <v>90</v>
      </c>
      <c r="O752" s="1">
        <v>49953.94</v>
      </c>
      <c r="P752" s="1">
        <v>4</v>
      </c>
      <c r="Q752" s="1" t="s">
        <v>72</v>
      </c>
    </row>
    <row r="753" spans="1:17">
      <c r="A753" s="1" t="s">
        <v>1361</v>
      </c>
      <c r="B753" s="1" t="s">
        <v>670</v>
      </c>
      <c r="C753" s="1">
        <v>50</v>
      </c>
      <c r="D753" s="1" t="s">
        <v>27</v>
      </c>
      <c r="E753" s="1" t="s">
        <v>247</v>
      </c>
      <c r="F753" s="1" t="s">
        <v>21</v>
      </c>
      <c r="G753" s="1" t="s">
        <v>132</v>
      </c>
      <c r="H753" s="1" t="s">
        <v>35</v>
      </c>
      <c r="I753" s="1" t="s">
        <v>24</v>
      </c>
      <c r="J753" s="7" t="s">
        <v>325</v>
      </c>
      <c r="K753" s="1" t="s">
        <v>589</v>
      </c>
      <c r="L753" s="1">
        <v>5</v>
      </c>
      <c r="M753" s="1" t="s">
        <v>27</v>
      </c>
      <c r="N753" s="1" t="s">
        <v>57</v>
      </c>
      <c r="O753" s="1">
        <v>40963.74</v>
      </c>
      <c r="P753" s="1">
        <v>1</v>
      </c>
      <c r="Q753" s="1" t="s">
        <v>58</v>
      </c>
    </row>
    <row r="754" spans="1:17">
      <c r="A754" s="1" t="s">
        <v>1362</v>
      </c>
      <c r="B754" s="1" t="s">
        <v>699</v>
      </c>
      <c r="C754" s="1">
        <v>28</v>
      </c>
      <c r="D754" s="1" t="s">
        <v>43</v>
      </c>
      <c r="E754" s="1" t="s">
        <v>247</v>
      </c>
      <c r="F754" s="1" t="s">
        <v>33</v>
      </c>
      <c r="G754" s="1" t="s">
        <v>68</v>
      </c>
      <c r="H754" s="1" t="s">
        <v>23</v>
      </c>
      <c r="I754" s="1" t="s">
        <v>24</v>
      </c>
      <c r="J754" s="7" t="s">
        <v>962</v>
      </c>
      <c r="K754" s="2">
        <v>45698</v>
      </c>
      <c r="L754" s="1">
        <v>4</v>
      </c>
      <c r="M754" s="1" t="s">
        <v>97</v>
      </c>
      <c r="N754" s="1" t="s">
        <v>63</v>
      </c>
      <c r="O754" s="1">
        <v>79443.649999999994</v>
      </c>
      <c r="P754" s="1">
        <v>4</v>
      </c>
      <c r="Q754" s="1" t="s">
        <v>72</v>
      </c>
    </row>
    <row r="755" spans="1:17">
      <c r="A755" s="1" t="s">
        <v>1363</v>
      </c>
      <c r="B755" s="1" t="s">
        <v>264</v>
      </c>
      <c r="C755" s="1">
        <v>86</v>
      </c>
      <c r="D755" s="1" t="s">
        <v>43</v>
      </c>
      <c r="E755" s="1" t="s">
        <v>51</v>
      </c>
      <c r="F755" s="1" t="s">
        <v>52</v>
      </c>
      <c r="G755" s="1" t="s">
        <v>34</v>
      </c>
      <c r="H755" s="1" t="s">
        <v>23</v>
      </c>
      <c r="I755" s="1" t="s">
        <v>62</v>
      </c>
      <c r="J755" s="7" t="s">
        <v>466</v>
      </c>
      <c r="K755" s="1" t="s">
        <v>730</v>
      </c>
      <c r="L755" s="1">
        <v>1</v>
      </c>
      <c r="M755" s="1" t="s">
        <v>56</v>
      </c>
      <c r="N755" s="1" t="s">
        <v>39</v>
      </c>
      <c r="O755" s="1">
        <v>29794.13</v>
      </c>
      <c r="P755" s="1">
        <v>4</v>
      </c>
      <c r="Q755" s="1" t="s">
        <v>40</v>
      </c>
    </row>
    <row r="756" spans="1:17">
      <c r="A756" s="1" t="s">
        <v>1364</v>
      </c>
      <c r="B756" s="1" t="s">
        <v>524</v>
      </c>
      <c r="C756" s="1">
        <v>40</v>
      </c>
      <c r="D756" s="1" t="s">
        <v>43</v>
      </c>
      <c r="E756" s="1" t="s">
        <v>247</v>
      </c>
      <c r="F756" s="1" t="s">
        <v>67</v>
      </c>
      <c r="G756" s="1" t="s">
        <v>132</v>
      </c>
      <c r="H756" s="1" t="s">
        <v>35</v>
      </c>
      <c r="I756" s="1" t="s">
        <v>24</v>
      </c>
      <c r="J756" s="7" t="s">
        <v>292</v>
      </c>
      <c r="K756" s="1" t="s">
        <v>293</v>
      </c>
      <c r="L756" s="1">
        <v>3</v>
      </c>
      <c r="M756" s="1" t="s">
        <v>56</v>
      </c>
      <c r="N756" s="1" t="s">
        <v>90</v>
      </c>
      <c r="O756" s="1">
        <v>73320.94</v>
      </c>
      <c r="P756" s="1">
        <v>3</v>
      </c>
      <c r="Q756" s="1" t="s">
        <v>72</v>
      </c>
    </row>
    <row r="757" spans="1:17">
      <c r="A757" s="1" t="s">
        <v>1365</v>
      </c>
      <c r="B757" s="1" t="s">
        <v>529</v>
      </c>
      <c r="C757" s="1">
        <v>69</v>
      </c>
      <c r="D757" s="1" t="s">
        <v>43</v>
      </c>
      <c r="E757" s="1" t="s">
        <v>66</v>
      </c>
      <c r="F757" s="1" t="s">
        <v>67</v>
      </c>
      <c r="G757" s="1" t="s">
        <v>110</v>
      </c>
      <c r="H757" s="1" t="s">
        <v>88</v>
      </c>
      <c r="I757" s="1" t="s">
        <v>24</v>
      </c>
      <c r="J757" s="7">
        <v>45815</v>
      </c>
      <c r="K757" s="2">
        <v>45998</v>
      </c>
      <c r="L757" s="1">
        <v>6</v>
      </c>
      <c r="M757" s="1" t="s">
        <v>97</v>
      </c>
      <c r="N757" s="1" t="s">
        <v>39</v>
      </c>
      <c r="O757" s="1">
        <v>42751.21</v>
      </c>
      <c r="P757" s="1">
        <v>4</v>
      </c>
      <c r="Q757" s="1" t="s">
        <v>29</v>
      </c>
    </row>
    <row r="758" spans="1:17">
      <c r="A758" s="1" t="s">
        <v>1366</v>
      </c>
      <c r="B758" s="1" t="s">
        <v>396</v>
      </c>
      <c r="C758" s="1">
        <v>36</v>
      </c>
      <c r="D758" s="1" t="s">
        <v>19</v>
      </c>
      <c r="E758" s="1" t="s">
        <v>32</v>
      </c>
      <c r="F758" s="1" t="s">
        <v>120</v>
      </c>
      <c r="G758" s="1" t="s">
        <v>36</v>
      </c>
      <c r="H758" s="1" t="s">
        <v>93</v>
      </c>
      <c r="I758" s="1" t="s">
        <v>24</v>
      </c>
      <c r="J758" s="7" t="s">
        <v>1367</v>
      </c>
      <c r="K758" s="1" t="s">
        <v>801</v>
      </c>
      <c r="L758" s="1">
        <v>3</v>
      </c>
      <c r="M758" s="1" t="s">
        <v>27</v>
      </c>
      <c r="N758" s="1" t="s">
        <v>63</v>
      </c>
      <c r="O758" s="1">
        <v>46164.3</v>
      </c>
      <c r="P758" s="1">
        <v>3</v>
      </c>
      <c r="Q758" s="1" t="s">
        <v>40</v>
      </c>
    </row>
    <row r="759" spans="1:17">
      <c r="A759" s="1" t="s">
        <v>1368</v>
      </c>
      <c r="B759" s="1" t="s">
        <v>204</v>
      </c>
      <c r="C759" s="1">
        <v>27</v>
      </c>
      <c r="D759" s="1" t="s">
        <v>27</v>
      </c>
      <c r="E759" s="1" t="s">
        <v>20</v>
      </c>
      <c r="F759" s="1" t="s">
        <v>120</v>
      </c>
      <c r="G759" s="1" t="s">
        <v>110</v>
      </c>
      <c r="H759" s="1" t="s">
        <v>61</v>
      </c>
      <c r="I759" s="1" t="s">
        <v>36</v>
      </c>
      <c r="J759" s="7" t="s">
        <v>763</v>
      </c>
      <c r="K759" s="1" t="s">
        <v>1369</v>
      </c>
      <c r="L759" s="1">
        <v>3</v>
      </c>
      <c r="M759" s="1" t="s">
        <v>56</v>
      </c>
      <c r="N759" s="1" t="s">
        <v>82</v>
      </c>
      <c r="O759" s="1">
        <v>54492.84</v>
      </c>
      <c r="P759" s="1">
        <v>4</v>
      </c>
      <c r="Q759" s="1" t="s">
        <v>29</v>
      </c>
    </row>
    <row r="760" spans="1:17">
      <c r="A760" s="1" t="s">
        <v>1370</v>
      </c>
      <c r="B760" s="1" t="s">
        <v>403</v>
      </c>
      <c r="C760" s="1">
        <v>52</v>
      </c>
      <c r="D760" s="1" t="s">
        <v>19</v>
      </c>
      <c r="E760" s="1" t="s">
        <v>44</v>
      </c>
      <c r="F760" s="1" t="s">
        <v>33</v>
      </c>
      <c r="G760" s="1" t="s">
        <v>68</v>
      </c>
      <c r="H760" s="1" t="s">
        <v>88</v>
      </c>
      <c r="I760" s="1" t="s">
        <v>36</v>
      </c>
      <c r="J760" s="7" t="s">
        <v>950</v>
      </c>
      <c r="K760" s="1" t="s">
        <v>1371</v>
      </c>
      <c r="L760" s="1">
        <v>1</v>
      </c>
      <c r="M760" s="1" t="s">
        <v>97</v>
      </c>
      <c r="N760" s="1" t="s">
        <v>82</v>
      </c>
      <c r="O760" s="1">
        <v>12786.14</v>
      </c>
      <c r="P760" s="1">
        <v>2</v>
      </c>
      <c r="Q760" s="1" t="s">
        <v>72</v>
      </c>
    </row>
    <row r="761" spans="1:17">
      <c r="A761" s="1" t="s">
        <v>1372</v>
      </c>
      <c r="B761" s="1" t="s">
        <v>780</v>
      </c>
      <c r="C761" s="1">
        <v>70</v>
      </c>
      <c r="D761" s="1" t="s">
        <v>27</v>
      </c>
      <c r="E761" s="1" t="s">
        <v>159</v>
      </c>
      <c r="F761" s="1" t="s">
        <v>33</v>
      </c>
      <c r="G761" s="1" t="s">
        <v>53</v>
      </c>
      <c r="H761" s="1" t="s">
        <v>105</v>
      </c>
      <c r="I761" s="1" t="s">
        <v>24</v>
      </c>
      <c r="J761" s="7" t="s">
        <v>625</v>
      </c>
      <c r="K761" s="1" t="s">
        <v>150</v>
      </c>
      <c r="L761" s="1">
        <v>1</v>
      </c>
      <c r="M761" s="1" t="s">
        <v>56</v>
      </c>
      <c r="N761" s="1" t="s">
        <v>63</v>
      </c>
      <c r="O761" s="1">
        <v>100573.5</v>
      </c>
      <c r="P761" s="1">
        <v>5</v>
      </c>
      <c r="Q761" s="1" t="s">
        <v>58</v>
      </c>
    </row>
    <row r="762" spans="1:17">
      <c r="A762" s="1" t="s">
        <v>1373</v>
      </c>
      <c r="B762" s="1" t="s">
        <v>494</v>
      </c>
      <c r="C762" s="1">
        <v>38</v>
      </c>
      <c r="D762" s="1" t="s">
        <v>19</v>
      </c>
      <c r="E762" s="1" t="s">
        <v>202</v>
      </c>
      <c r="F762" s="1" t="s">
        <v>52</v>
      </c>
      <c r="G762" s="1" t="s">
        <v>53</v>
      </c>
      <c r="H762" s="1" t="s">
        <v>61</v>
      </c>
      <c r="I762" s="1" t="s">
        <v>36</v>
      </c>
      <c r="J762" s="7" t="s">
        <v>710</v>
      </c>
      <c r="K762" s="1" t="s">
        <v>467</v>
      </c>
      <c r="L762" s="1">
        <v>1</v>
      </c>
      <c r="M762" s="1" t="s">
        <v>38</v>
      </c>
      <c r="N762" s="1" t="s">
        <v>39</v>
      </c>
      <c r="O762" s="1">
        <v>135714.81</v>
      </c>
      <c r="P762" s="1">
        <v>5</v>
      </c>
      <c r="Q762" s="1" t="s">
        <v>40</v>
      </c>
    </row>
    <row r="763" spans="1:17">
      <c r="A763" s="1" t="s">
        <v>1374</v>
      </c>
      <c r="B763" s="1" t="s">
        <v>92</v>
      </c>
      <c r="C763" s="1">
        <v>33</v>
      </c>
      <c r="D763" s="1" t="s">
        <v>27</v>
      </c>
      <c r="E763" s="1" t="s">
        <v>20</v>
      </c>
      <c r="F763" s="1" t="s">
        <v>67</v>
      </c>
      <c r="G763" s="1" t="s">
        <v>53</v>
      </c>
      <c r="H763" s="1" t="s">
        <v>45</v>
      </c>
      <c r="I763" s="1" t="s">
        <v>62</v>
      </c>
      <c r="J763" s="7">
        <v>45753</v>
      </c>
      <c r="K763" s="2">
        <v>45844</v>
      </c>
      <c r="L763" s="1">
        <v>3</v>
      </c>
      <c r="M763" s="1" t="s">
        <v>38</v>
      </c>
      <c r="N763" s="1" t="s">
        <v>28</v>
      </c>
      <c r="O763" s="1">
        <v>23839.35</v>
      </c>
      <c r="P763" s="1">
        <v>4</v>
      </c>
      <c r="Q763" s="1" t="s">
        <v>58</v>
      </c>
    </row>
    <row r="764" spans="1:17">
      <c r="A764" s="1" t="s">
        <v>1375</v>
      </c>
      <c r="B764" s="1" t="s">
        <v>264</v>
      </c>
      <c r="C764" s="1">
        <v>72</v>
      </c>
      <c r="D764" s="1" t="s">
        <v>27</v>
      </c>
      <c r="E764" s="1" t="s">
        <v>32</v>
      </c>
      <c r="F764" s="1" t="s">
        <v>21</v>
      </c>
      <c r="G764" s="1" t="s">
        <v>36</v>
      </c>
      <c r="H764" s="1" t="s">
        <v>99</v>
      </c>
      <c r="I764" s="1" t="s">
        <v>62</v>
      </c>
      <c r="J764" s="7">
        <v>45696</v>
      </c>
      <c r="K764" s="2">
        <v>45846</v>
      </c>
      <c r="L764" s="1">
        <v>5</v>
      </c>
      <c r="M764" s="1" t="s">
        <v>27</v>
      </c>
      <c r="N764" s="1" t="s">
        <v>63</v>
      </c>
      <c r="O764" s="1">
        <v>55921.35</v>
      </c>
      <c r="P764" s="1">
        <v>4</v>
      </c>
      <c r="Q764" s="1" t="s">
        <v>58</v>
      </c>
    </row>
    <row r="765" spans="1:17">
      <c r="A765" s="1" t="s">
        <v>1376</v>
      </c>
      <c r="B765" s="1" t="s">
        <v>412</v>
      </c>
      <c r="C765" s="1">
        <v>51</v>
      </c>
      <c r="D765" s="1" t="s">
        <v>27</v>
      </c>
      <c r="E765" s="1" t="s">
        <v>202</v>
      </c>
      <c r="F765" s="1" t="s">
        <v>21</v>
      </c>
      <c r="G765" s="1" t="s">
        <v>104</v>
      </c>
      <c r="H765" s="1" t="s">
        <v>69</v>
      </c>
      <c r="I765" s="1" t="s">
        <v>24</v>
      </c>
      <c r="J765" s="7">
        <v>45567</v>
      </c>
      <c r="K765" s="1" t="s">
        <v>1196</v>
      </c>
      <c r="L765" s="1">
        <v>6</v>
      </c>
      <c r="M765" s="1" t="s">
        <v>56</v>
      </c>
      <c r="N765" s="1" t="s">
        <v>28</v>
      </c>
      <c r="O765" s="1">
        <v>75029.02</v>
      </c>
      <c r="P765" s="1">
        <v>1</v>
      </c>
      <c r="Q765" s="1" t="s">
        <v>40</v>
      </c>
    </row>
    <row r="766" spans="1:17">
      <c r="A766" s="1" t="s">
        <v>1377</v>
      </c>
      <c r="B766" s="1" t="s">
        <v>712</v>
      </c>
      <c r="C766" s="1">
        <v>13</v>
      </c>
      <c r="D766" s="1" t="s">
        <v>43</v>
      </c>
      <c r="E766" s="1" t="s">
        <v>159</v>
      </c>
      <c r="F766" s="1" t="s">
        <v>75</v>
      </c>
      <c r="G766" s="1" t="s">
        <v>68</v>
      </c>
      <c r="H766" s="1" t="s">
        <v>88</v>
      </c>
      <c r="I766" s="1" t="s">
        <v>62</v>
      </c>
      <c r="J766" s="7" t="s">
        <v>463</v>
      </c>
      <c r="K766" s="2">
        <v>45780</v>
      </c>
      <c r="L766" s="1">
        <v>7</v>
      </c>
      <c r="M766" s="1" t="s">
        <v>97</v>
      </c>
      <c r="N766" s="1" t="s">
        <v>63</v>
      </c>
      <c r="O766" s="1">
        <v>71740.899999999994</v>
      </c>
      <c r="P766" s="1">
        <v>4</v>
      </c>
      <c r="Q766" s="1" t="s">
        <v>40</v>
      </c>
    </row>
    <row r="767" spans="1:17">
      <c r="A767" s="1" t="s">
        <v>1378</v>
      </c>
      <c r="B767" s="1" t="s">
        <v>529</v>
      </c>
      <c r="C767" s="1">
        <v>21</v>
      </c>
      <c r="D767" s="1" t="s">
        <v>19</v>
      </c>
      <c r="E767" s="1" t="s">
        <v>247</v>
      </c>
      <c r="F767" s="1" t="s">
        <v>120</v>
      </c>
      <c r="G767" s="1" t="s">
        <v>53</v>
      </c>
      <c r="H767" s="1" t="s">
        <v>35</v>
      </c>
      <c r="I767" s="1" t="s">
        <v>36</v>
      </c>
      <c r="J767" s="7" t="s">
        <v>1379</v>
      </c>
      <c r="K767" s="1" t="s">
        <v>200</v>
      </c>
      <c r="L767" s="1">
        <v>6</v>
      </c>
      <c r="M767" s="1" t="s">
        <v>48</v>
      </c>
      <c r="N767" s="1" t="s">
        <v>63</v>
      </c>
      <c r="O767" s="1">
        <v>145191.48000000001</v>
      </c>
      <c r="P767" s="1">
        <v>4</v>
      </c>
      <c r="Q767" s="1" t="s">
        <v>58</v>
      </c>
    </row>
    <row r="768" spans="1:17">
      <c r="A768" s="1" t="s">
        <v>1380</v>
      </c>
      <c r="B768" s="1" t="s">
        <v>499</v>
      </c>
      <c r="C768" s="1">
        <v>41</v>
      </c>
      <c r="D768" s="1" t="s">
        <v>27</v>
      </c>
      <c r="E768" s="1" t="s">
        <v>66</v>
      </c>
      <c r="F768" s="1" t="s">
        <v>120</v>
      </c>
      <c r="G768" s="1" t="s">
        <v>68</v>
      </c>
      <c r="H768" s="1" t="s">
        <v>93</v>
      </c>
      <c r="I768" s="1" t="s">
        <v>36</v>
      </c>
      <c r="J768" s="7" t="s">
        <v>429</v>
      </c>
      <c r="K768" s="1" t="s">
        <v>370</v>
      </c>
      <c r="L768" s="1">
        <v>1</v>
      </c>
      <c r="M768" s="1" t="s">
        <v>48</v>
      </c>
      <c r="N768" s="1" t="s">
        <v>85</v>
      </c>
      <c r="O768" s="1">
        <v>37593.360000000001</v>
      </c>
      <c r="P768" s="1">
        <v>5</v>
      </c>
      <c r="Q768" s="1" t="s">
        <v>40</v>
      </c>
    </row>
    <row r="769" spans="1:17">
      <c r="A769" s="1" t="s">
        <v>1381</v>
      </c>
      <c r="B769" s="1" t="s">
        <v>229</v>
      </c>
      <c r="C769" s="1">
        <v>65</v>
      </c>
      <c r="D769" s="1" t="s">
        <v>27</v>
      </c>
      <c r="E769" s="1" t="s">
        <v>117</v>
      </c>
      <c r="F769" s="1" t="s">
        <v>21</v>
      </c>
      <c r="G769" s="1" t="s">
        <v>110</v>
      </c>
      <c r="H769" s="1" t="s">
        <v>76</v>
      </c>
      <c r="I769" s="1" t="s">
        <v>24</v>
      </c>
      <c r="J769" s="7" t="s">
        <v>237</v>
      </c>
      <c r="K769" s="1" t="s">
        <v>833</v>
      </c>
      <c r="L769" s="1">
        <v>2</v>
      </c>
      <c r="M769" s="1" t="s">
        <v>38</v>
      </c>
      <c r="N769" s="1" t="s">
        <v>90</v>
      </c>
      <c r="O769" s="1">
        <v>72483.679999999993</v>
      </c>
      <c r="P769" s="1">
        <v>2</v>
      </c>
      <c r="Q769" s="1" t="s">
        <v>40</v>
      </c>
    </row>
    <row r="770" spans="1:17">
      <c r="A770" s="1" t="s">
        <v>1382</v>
      </c>
      <c r="B770" s="1" t="s">
        <v>816</v>
      </c>
      <c r="C770" s="1">
        <v>51</v>
      </c>
      <c r="D770" s="1" t="s">
        <v>19</v>
      </c>
      <c r="E770" s="1" t="s">
        <v>202</v>
      </c>
      <c r="F770" s="1" t="s">
        <v>21</v>
      </c>
      <c r="G770" s="1" t="s">
        <v>68</v>
      </c>
      <c r="H770" s="1" t="s">
        <v>69</v>
      </c>
      <c r="I770" s="1" t="s">
        <v>24</v>
      </c>
      <c r="J770" s="7" t="s">
        <v>804</v>
      </c>
      <c r="K770" s="2">
        <v>45902</v>
      </c>
      <c r="L770" s="1">
        <v>11</v>
      </c>
      <c r="M770" s="1" t="s">
        <v>56</v>
      </c>
      <c r="N770" s="1" t="s">
        <v>63</v>
      </c>
      <c r="O770" s="1">
        <v>67022.240000000005</v>
      </c>
      <c r="P770" s="1">
        <v>2</v>
      </c>
      <c r="Q770" s="1" t="s">
        <v>40</v>
      </c>
    </row>
    <row r="771" spans="1:17">
      <c r="A771" s="1" t="s">
        <v>1383</v>
      </c>
      <c r="B771" s="1" t="s">
        <v>361</v>
      </c>
      <c r="C771" s="1">
        <v>4</v>
      </c>
      <c r="D771" s="1" t="s">
        <v>43</v>
      </c>
      <c r="E771" s="1" t="s">
        <v>159</v>
      </c>
      <c r="F771" s="1" t="s">
        <v>33</v>
      </c>
      <c r="G771" s="1" t="s">
        <v>132</v>
      </c>
      <c r="H771" s="1" t="s">
        <v>35</v>
      </c>
      <c r="I771" s="1" t="s">
        <v>24</v>
      </c>
      <c r="J771" s="7" t="s">
        <v>877</v>
      </c>
      <c r="K771" s="1" t="s">
        <v>899</v>
      </c>
      <c r="L771" s="1">
        <v>2</v>
      </c>
      <c r="M771" s="1" t="s">
        <v>27</v>
      </c>
      <c r="N771" s="1" t="s">
        <v>90</v>
      </c>
      <c r="O771" s="1">
        <v>12906.54</v>
      </c>
      <c r="P771" s="1">
        <v>3</v>
      </c>
      <c r="Q771" s="1" t="s">
        <v>29</v>
      </c>
    </row>
    <row r="772" spans="1:17">
      <c r="A772" s="1" t="s">
        <v>1384</v>
      </c>
      <c r="B772" s="1" t="s">
        <v>114</v>
      </c>
      <c r="C772" s="1">
        <v>53</v>
      </c>
      <c r="D772" s="1" t="s">
        <v>19</v>
      </c>
      <c r="E772" s="1" t="s">
        <v>247</v>
      </c>
      <c r="F772" s="1" t="s">
        <v>120</v>
      </c>
      <c r="G772" s="1" t="s">
        <v>36</v>
      </c>
      <c r="H772" s="1" t="s">
        <v>105</v>
      </c>
      <c r="I772" s="1" t="s">
        <v>36</v>
      </c>
      <c r="J772" s="7" t="s">
        <v>466</v>
      </c>
      <c r="K772" s="1" t="s">
        <v>1264</v>
      </c>
      <c r="L772" s="1">
        <v>3</v>
      </c>
      <c r="M772" s="1" t="s">
        <v>38</v>
      </c>
      <c r="N772" s="1" t="s">
        <v>90</v>
      </c>
      <c r="O772" s="1">
        <v>63592.45</v>
      </c>
      <c r="P772" s="1">
        <v>5</v>
      </c>
      <c r="Q772" s="1" t="s">
        <v>40</v>
      </c>
    </row>
    <row r="773" spans="1:17">
      <c r="A773" s="1" t="s">
        <v>1385</v>
      </c>
      <c r="B773" s="1" t="s">
        <v>212</v>
      </c>
      <c r="C773" s="1">
        <v>10</v>
      </c>
      <c r="D773" s="1" t="s">
        <v>27</v>
      </c>
      <c r="E773" s="1" t="s">
        <v>51</v>
      </c>
      <c r="F773" s="1" t="s">
        <v>120</v>
      </c>
      <c r="G773" s="1" t="s">
        <v>132</v>
      </c>
      <c r="H773" s="1" t="s">
        <v>23</v>
      </c>
      <c r="I773" s="1" t="s">
        <v>36</v>
      </c>
      <c r="J773" s="7" t="s">
        <v>311</v>
      </c>
      <c r="K773" s="1" t="s">
        <v>977</v>
      </c>
      <c r="L773" s="1">
        <v>11</v>
      </c>
      <c r="M773" s="1" t="s">
        <v>27</v>
      </c>
      <c r="N773" s="1" t="s">
        <v>85</v>
      </c>
      <c r="O773" s="1">
        <v>67829.960000000006</v>
      </c>
      <c r="P773" s="1">
        <v>2</v>
      </c>
      <c r="Q773" s="1" t="s">
        <v>40</v>
      </c>
    </row>
    <row r="774" spans="1:17">
      <c r="A774" s="1" t="s">
        <v>1386</v>
      </c>
      <c r="B774" s="1" t="s">
        <v>909</v>
      </c>
      <c r="C774" s="1">
        <v>90</v>
      </c>
      <c r="D774" s="1" t="s">
        <v>27</v>
      </c>
      <c r="E774" s="1" t="s">
        <v>51</v>
      </c>
      <c r="F774" s="1" t="s">
        <v>33</v>
      </c>
      <c r="G774" s="1" t="s">
        <v>34</v>
      </c>
      <c r="H774" s="1" t="s">
        <v>93</v>
      </c>
      <c r="I774" s="1" t="s">
        <v>24</v>
      </c>
      <c r="J774" s="7" t="s">
        <v>1168</v>
      </c>
      <c r="K774" s="1" t="s">
        <v>1379</v>
      </c>
      <c r="L774" s="1">
        <v>4</v>
      </c>
      <c r="M774" s="1" t="s">
        <v>48</v>
      </c>
      <c r="N774" s="1" t="s">
        <v>82</v>
      </c>
      <c r="O774" s="1">
        <v>94187.65</v>
      </c>
      <c r="P774" s="1">
        <v>4</v>
      </c>
      <c r="Q774" s="1" t="s">
        <v>58</v>
      </c>
    </row>
    <row r="775" spans="1:17">
      <c r="A775" s="1" t="s">
        <v>1387</v>
      </c>
      <c r="B775" s="1" t="s">
        <v>280</v>
      </c>
      <c r="C775" s="1">
        <v>19</v>
      </c>
      <c r="D775" s="1" t="s">
        <v>19</v>
      </c>
      <c r="E775" s="1" t="s">
        <v>20</v>
      </c>
      <c r="F775" s="1" t="s">
        <v>52</v>
      </c>
      <c r="G775" s="1" t="s">
        <v>68</v>
      </c>
      <c r="H775" s="1" t="s">
        <v>99</v>
      </c>
      <c r="I775" s="1" t="s">
        <v>62</v>
      </c>
      <c r="J775" s="7" t="s">
        <v>582</v>
      </c>
      <c r="K775" s="1" t="s">
        <v>356</v>
      </c>
      <c r="L775" s="1">
        <v>1</v>
      </c>
      <c r="M775" s="1" t="s">
        <v>38</v>
      </c>
      <c r="N775" s="1" t="s">
        <v>90</v>
      </c>
      <c r="O775" s="1">
        <v>64093.69</v>
      </c>
      <c r="P775" s="1">
        <v>4</v>
      </c>
      <c r="Q775" s="1" t="s">
        <v>40</v>
      </c>
    </row>
    <row r="776" spans="1:17">
      <c r="A776" s="1" t="s">
        <v>1388</v>
      </c>
      <c r="B776" s="1" t="s">
        <v>521</v>
      </c>
      <c r="C776" s="1">
        <v>43</v>
      </c>
      <c r="D776" s="1" t="s">
        <v>19</v>
      </c>
      <c r="E776" s="1" t="s">
        <v>32</v>
      </c>
      <c r="F776" s="1" t="s">
        <v>67</v>
      </c>
      <c r="G776" s="1" t="s">
        <v>53</v>
      </c>
      <c r="H776" s="1" t="s">
        <v>99</v>
      </c>
      <c r="I776" s="1" t="s">
        <v>36</v>
      </c>
      <c r="J776" s="7">
        <v>45816</v>
      </c>
      <c r="K776" s="2">
        <v>45938</v>
      </c>
      <c r="L776" s="1">
        <v>4</v>
      </c>
      <c r="M776" s="1" t="s">
        <v>27</v>
      </c>
      <c r="N776" s="1" t="s">
        <v>57</v>
      </c>
      <c r="O776" s="1">
        <v>103400.8</v>
      </c>
      <c r="P776" s="1">
        <v>5</v>
      </c>
      <c r="Q776" s="1" t="s">
        <v>29</v>
      </c>
    </row>
    <row r="777" spans="1:17">
      <c r="A777" s="1" t="s">
        <v>1389</v>
      </c>
      <c r="B777" s="1" t="s">
        <v>494</v>
      </c>
      <c r="C777" s="1">
        <v>25</v>
      </c>
      <c r="D777" s="1" t="s">
        <v>19</v>
      </c>
      <c r="E777" s="1" t="s">
        <v>159</v>
      </c>
      <c r="F777" s="1" t="s">
        <v>21</v>
      </c>
      <c r="G777" s="1" t="s">
        <v>36</v>
      </c>
      <c r="H777" s="1" t="s">
        <v>69</v>
      </c>
      <c r="I777" s="1" t="s">
        <v>62</v>
      </c>
      <c r="J777" s="7">
        <v>45847</v>
      </c>
      <c r="K777" s="2">
        <v>45939</v>
      </c>
      <c r="L777" s="1">
        <v>3</v>
      </c>
      <c r="M777" s="1" t="s">
        <v>56</v>
      </c>
      <c r="N777" s="1" t="s">
        <v>28</v>
      </c>
      <c r="O777" s="1">
        <v>63167.79</v>
      </c>
      <c r="P777" s="1">
        <v>4</v>
      </c>
      <c r="Q777" s="1" t="s">
        <v>40</v>
      </c>
    </row>
    <row r="778" spans="1:17">
      <c r="A778" s="1" t="s">
        <v>1390</v>
      </c>
      <c r="B778" s="1" t="s">
        <v>656</v>
      </c>
      <c r="C778" s="1">
        <v>46</v>
      </c>
      <c r="D778" s="1" t="s">
        <v>19</v>
      </c>
      <c r="E778" s="1" t="s">
        <v>32</v>
      </c>
      <c r="F778" s="1" t="s">
        <v>67</v>
      </c>
      <c r="G778" s="1" t="s">
        <v>132</v>
      </c>
      <c r="H778" s="1" t="s">
        <v>88</v>
      </c>
      <c r="I778" s="1" t="s">
        <v>62</v>
      </c>
      <c r="J778" s="7" t="s">
        <v>1391</v>
      </c>
      <c r="K778" s="1" t="s">
        <v>1118</v>
      </c>
      <c r="L778" s="1">
        <v>1</v>
      </c>
      <c r="M778" s="1" t="s">
        <v>48</v>
      </c>
      <c r="N778" s="1" t="s">
        <v>90</v>
      </c>
      <c r="O778" s="1">
        <v>83951.43</v>
      </c>
      <c r="P778" s="1">
        <v>4</v>
      </c>
      <c r="Q778" s="1" t="s">
        <v>72</v>
      </c>
    </row>
    <row r="779" spans="1:17">
      <c r="A779" s="1" t="s">
        <v>1392</v>
      </c>
      <c r="B779" s="1" t="s">
        <v>570</v>
      </c>
      <c r="C779" s="1">
        <v>72</v>
      </c>
      <c r="D779" s="1" t="s">
        <v>19</v>
      </c>
      <c r="E779" s="1" t="s">
        <v>247</v>
      </c>
      <c r="F779" s="1" t="s">
        <v>75</v>
      </c>
      <c r="G779" s="1" t="s">
        <v>53</v>
      </c>
      <c r="H779" s="1" t="s">
        <v>45</v>
      </c>
      <c r="I779" s="1" t="s">
        <v>24</v>
      </c>
      <c r="J779" s="7" t="s">
        <v>356</v>
      </c>
      <c r="K779" s="2">
        <v>45700</v>
      </c>
      <c r="L779" s="1">
        <v>2</v>
      </c>
      <c r="M779" s="1" t="s">
        <v>56</v>
      </c>
      <c r="N779" s="1" t="s">
        <v>90</v>
      </c>
      <c r="O779" s="1">
        <v>111990.79</v>
      </c>
      <c r="P779" s="1">
        <v>4</v>
      </c>
      <c r="Q779" s="1" t="s">
        <v>40</v>
      </c>
    </row>
    <row r="780" spans="1:17">
      <c r="A780" s="1" t="s">
        <v>1393</v>
      </c>
      <c r="B780" s="1" t="s">
        <v>79</v>
      </c>
      <c r="C780" s="1">
        <v>74</v>
      </c>
      <c r="D780" s="1" t="s">
        <v>19</v>
      </c>
      <c r="E780" s="1" t="s">
        <v>117</v>
      </c>
      <c r="F780" s="1" t="s">
        <v>75</v>
      </c>
      <c r="G780" s="1" t="s">
        <v>110</v>
      </c>
      <c r="H780" s="1" t="s">
        <v>93</v>
      </c>
      <c r="I780" s="1" t="s">
        <v>62</v>
      </c>
      <c r="J780" s="7" t="s">
        <v>1394</v>
      </c>
      <c r="K780" s="2">
        <v>45842</v>
      </c>
      <c r="L780" s="1">
        <v>11</v>
      </c>
      <c r="M780" s="1" t="s">
        <v>56</v>
      </c>
      <c r="N780" s="1" t="s">
        <v>90</v>
      </c>
      <c r="O780" s="1">
        <v>21942.48</v>
      </c>
      <c r="P780" s="1">
        <v>4</v>
      </c>
      <c r="Q780" s="1" t="s">
        <v>29</v>
      </c>
    </row>
    <row r="781" spans="1:17">
      <c r="A781" s="1" t="s">
        <v>1395</v>
      </c>
      <c r="B781" s="1" t="s">
        <v>615</v>
      </c>
      <c r="C781" s="1">
        <v>13</v>
      </c>
      <c r="D781" s="1" t="s">
        <v>43</v>
      </c>
      <c r="E781" s="1" t="s">
        <v>51</v>
      </c>
      <c r="F781" s="1" t="s">
        <v>75</v>
      </c>
      <c r="G781" s="1" t="s">
        <v>53</v>
      </c>
      <c r="H781" s="1" t="s">
        <v>93</v>
      </c>
      <c r="I781" s="1" t="s">
        <v>62</v>
      </c>
      <c r="J781" s="7" t="s">
        <v>424</v>
      </c>
      <c r="K781" s="1" t="s">
        <v>337</v>
      </c>
      <c r="L781" s="1">
        <v>1</v>
      </c>
      <c r="M781" s="1" t="s">
        <v>56</v>
      </c>
      <c r="N781" s="1" t="s">
        <v>82</v>
      </c>
      <c r="O781" s="1">
        <v>135096.1</v>
      </c>
      <c r="P781" s="1">
        <v>4</v>
      </c>
      <c r="Q781" s="1" t="s">
        <v>29</v>
      </c>
    </row>
    <row r="782" spans="1:17">
      <c r="A782" s="1" t="s">
        <v>1396</v>
      </c>
      <c r="B782" s="1" t="s">
        <v>198</v>
      </c>
      <c r="C782" s="1">
        <v>31</v>
      </c>
      <c r="D782" s="1" t="s">
        <v>43</v>
      </c>
      <c r="E782" s="1" t="s">
        <v>51</v>
      </c>
      <c r="F782" s="1" t="s">
        <v>52</v>
      </c>
      <c r="G782" s="1" t="s">
        <v>22</v>
      </c>
      <c r="H782" s="1" t="s">
        <v>23</v>
      </c>
      <c r="I782" s="1" t="s">
        <v>36</v>
      </c>
      <c r="J782" s="7">
        <v>45603</v>
      </c>
      <c r="K782" s="1" t="s">
        <v>1397</v>
      </c>
      <c r="L782" s="1">
        <v>10</v>
      </c>
      <c r="M782" s="1" t="s">
        <v>38</v>
      </c>
      <c r="N782" s="1" t="s">
        <v>82</v>
      </c>
      <c r="O782" s="1">
        <v>23299.5</v>
      </c>
      <c r="P782" s="1">
        <v>4</v>
      </c>
      <c r="Q782" s="1" t="s">
        <v>29</v>
      </c>
    </row>
    <row r="783" spans="1:17">
      <c r="A783" s="1" t="s">
        <v>1398</v>
      </c>
      <c r="B783" s="1" t="s">
        <v>103</v>
      </c>
      <c r="C783" s="1">
        <v>58</v>
      </c>
      <c r="D783" s="1" t="s">
        <v>19</v>
      </c>
      <c r="E783" s="1" t="s">
        <v>44</v>
      </c>
      <c r="F783" s="1" t="s">
        <v>33</v>
      </c>
      <c r="G783" s="1" t="s">
        <v>22</v>
      </c>
      <c r="H783" s="1" t="s">
        <v>93</v>
      </c>
      <c r="I783" s="1" t="s">
        <v>62</v>
      </c>
      <c r="J783" s="7" t="s">
        <v>974</v>
      </c>
      <c r="K783" s="1" t="s">
        <v>313</v>
      </c>
      <c r="L783" s="1">
        <v>3</v>
      </c>
      <c r="M783" s="1" t="s">
        <v>97</v>
      </c>
      <c r="N783" s="1" t="s">
        <v>39</v>
      </c>
      <c r="O783" s="1">
        <v>13739.89</v>
      </c>
      <c r="P783" s="1">
        <v>2</v>
      </c>
      <c r="Q783" s="1" t="s">
        <v>40</v>
      </c>
    </row>
    <row r="784" spans="1:17">
      <c r="A784" s="1" t="s">
        <v>1399</v>
      </c>
      <c r="B784" s="1" t="s">
        <v>308</v>
      </c>
      <c r="C784" s="1">
        <v>88</v>
      </c>
      <c r="D784" s="1" t="s">
        <v>27</v>
      </c>
      <c r="E784" s="1" t="s">
        <v>20</v>
      </c>
      <c r="F784" s="1" t="s">
        <v>120</v>
      </c>
      <c r="G784" s="1" t="s">
        <v>110</v>
      </c>
      <c r="H784" s="1" t="s">
        <v>88</v>
      </c>
      <c r="I784" s="1" t="s">
        <v>24</v>
      </c>
      <c r="J784" s="7" t="s">
        <v>1007</v>
      </c>
      <c r="K784" s="1" t="s">
        <v>417</v>
      </c>
      <c r="L784" s="1">
        <v>1</v>
      </c>
      <c r="M784" s="1" t="s">
        <v>48</v>
      </c>
      <c r="N784" s="1" t="s">
        <v>39</v>
      </c>
      <c r="O784" s="1">
        <v>110879.41</v>
      </c>
      <c r="P784" s="1">
        <v>2</v>
      </c>
      <c r="Q784" s="1" t="s">
        <v>58</v>
      </c>
    </row>
    <row r="785" spans="1:17">
      <c r="A785" s="1" t="s">
        <v>1400</v>
      </c>
      <c r="B785" s="1" t="s">
        <v>116</v>
      </c>
      <c r="C785" s="1">
        <v>66</v>
      </c>
      <c r="D785" s="1" t="s">
        <v>27</v>
      </c>
      <c r="E785" s="1" t="s">
        <v>32</v>
      </c>
      <c r="F785" s="1" t="s">
        <v>52</v>
      </c>
      <c r="G785" s="1" t="s">
        <v>132</v>
      </c>
      <c r="H785" s="1" t="s">
        <v>45</v>
      </c>
      <c r="I785" s="1" t="s">
        <v>36</v>
      </c>
      <c r="J785" s="7">
        <v>45298</v>
      </c>
      <c r="K785" s="2">
        <v>45389</v>
      </c>
      <c r="L785" s="1">
        <v>3</v>
      </c>
      <c r="M785" s="1" t="s">
        <v>97</v>
      </c>
      <c r="N785" s="1" t="s">
        <v>85</v>
      </c>
      <c r="O785" s="1">
        <v>45378.06</v>
      </c>
      <c r="P785" s="1">
        <v>3</v>
      </c>
      <c r="Q785" s="1" t="s">
        <v>72</v>
      </c>
    </row>
    <row r="786" spans="1:17">
      <c r="A786" s="1" t="s">
        <v>1401</v>
      </c>
      <c r="B786" s="1" t="s">
        <v>116</v>
      </c>
      <c r="C786" s="1">
        <v>6</v>
      </c>
      <c r="D786" s="1" t="s">
        <v>43</v>
      </c>
      <c r="E786" s="1" t="s">
        <v>137</v>
      </c>
      <c r="F786" s="1" t="s">
        <v>75</v>
      </c>
      <c r="G786" s="1" t="s">
        <v>132</v>
      </c>
      <c r="H786" s="1" t="s">
        <v>88</v>
      </c>
      <c r="I786" s="1" t="s">
        <v>36</v>
      </c>
      <c r="J786" s="7" t="s">
        <v>1031</v>
      </c>
      <c r="K786" s="1" t="s">
        <v>1086</v>
      </c>
      <c r="L786" s="1">
        <v>1</v>
      </c>
      <c r="M786" s="1" t="s">
        <v>56</v>
      </c>
      <c r="N786" s="1" t="s">
        <v>90</v>
      </c>
      <c r="O786" s="1">
        <v>83861.34</v>
      </c>
      <c r="P786" s="1">
        <v>5</v>
      </c>
      <c r="Q786" s="1" t="s">
        <v>29</v>
      </c>
    </row>
    <row r="787" spans="1:17">
      <c r="A787" s="1" t="s">
        <v>1402</v>
      </c>
      <c r="B787" s="1" t="s">
        <v>114</v>
      </c>
      <c r="C787" s="1">
        <v>80</v>
      </c>
      <c r="D787" s="1" t="s">
        <v>27</v>
      </c>
      <c r="E787" s="1" t="s">
        <v>202</v>
      </c>
      <c r="F787" s="1" t="s">
        <v>33</v>
      </c>
      <c r="G787" s="1" t="s">
        <v>68</v>
      </c>
      <c r="H787" s="1" t="s">
        <v>61</v>
      </c>
      <c r="I787" s="1" t="s">
        <v>62</v>
      </c>
      <c r="J787" s="7" t="s">
        <v>1403</v>
      </c>
      <c r="K787" s="1" t="s">
        <v>663</v>
      </c>
      <c r="L787" s="1">
        <v>6</v>
      </c>
      <c r="M787" s="1" t="s">
        <v>97</v>
      </c>
      <c r="N787" s="1" t="s">
        <v>82</v>
      </c>
      <c r="O787" s="1">
        <v>80639.91</v>
      </c>
      <c r="P787" s="1">
        <v>4</v>
      </c>
      <c r="Q787" s="1" t="s">
        <v>29</v>
      </c>
    </row>
    <row r="788" spans="1:17">
      <c r="A788" s="1" t="s">
        <v>1404</v>
      </c>
      <c r="B788" s="1" t="s">
        <v>264</v>
      </c>
      <c r="C788" s="1">
        <v>63</v>
      </c>
      <c r="D788" s="1" t="s">
        <v>43</v>
      </c>
      <c r="E788" s="1" t="s">
        <v>66</v>
      </c>
      <c r="F788" s="1" t="s">
        <v>33</v>
      </c>
      <c r="G788" s="1" t="s">
        <v>104</v>
      </c>
      <c r="H788" s="1" t="s">
        <v>35</v>
      </c>
      <c r="I788" s="1" t="s">
        <v>36</v>
      </c>
      <c r="J788" s="7">
        <v>45817</v>
      </c>
      <c r="K788" s="2">
        <v>45970</v>
      </c>
      <c r="L788" s="1">
        <v>5</v>
      </c>
      <c r="M788" s="1" t="s">
        <v>56</v>
      </c>
      <c r="N788" s="1" t="s">
        <v>90</v>
      </c>
      <c r="O788" s="1">
        <v>60396.3</v>
      </c>
      <c r="P788" s="1">
        <v>3</v>
      </c>
      <c r="Q788" s="1" t="s">
        <v>40</v>
      </c>
    </row>
    <row r="789" spans="1:17">
      <c r="A789" s="1" t="s">
        <v>1405</v>
      </c>
      <c r="B789" s="1" t="s">
        <v>780</v>
      </c>
      <c r="C789" s="1">
        <v>22</v>
      </c>
      <c r="D789" s="1" t="s">
        <v>27</v>
      </c>
      <c r="E789" s="1" t="s">
        <v>32</v>
      </c>
      <c r="F789" s="1" t="s">
        <v>33</v>
      </c>
      <c r="G789" s="1" t="s">
        <v>68</v>
      </c>
      <c r="H789" s="1" t="s">
        <v>23</v>
      </c>
      <c r="I789" s="1" t="s">
        <v>36</v>
      </c>
      <c r="J789" s="7" t="s">
        <v>495</v>
      </c>
      <c r="K789" s="1" t="s">
        <v>611</v>
      </c>
      <c r="L789" s="1">
        <v>7</v>
      </c>
      <c r="M789" s="1" t="s">
        <v>48</v>
      </c>
      <c r="N789" s="1" t="s">
        <v>90</v>
      </c>
      <c r="O789" s="1">
        <v>32910.04</v>
      </c>
      <c r="P789" s="1">
        <v>5</v>
      </c>
      <c r="Q789" s="1" t="s">
        <v>58</v>
      </c>
    </row>
    <row r="790" spans="1:17">
      <c r="A790" s="1" t="s">
        <v>1406</v>
      </c>
      <c r="B790" s="1" t="s">
        <v>60</v>
      </c>
      <c r="C790" s="1">
        <v>26</v>
      </c>
      <c r="D790" s="1" t="s">
        <v>19</v>
      </c>
      <c r="E790" s="1" t="s">
        <v>137</v>
      </c>
      <c r="F790" s="1" t="s">
        <v>67</v>
      </c>
      <c r="G790" s="1" t="s">
        <v>132</v>
      </c>
      <c r="H790" s="1" t="s">
        <v>99</v>
      </c>
      <c r="I790" s="1" t="s">
        <v>62</v>
      </c>
      <c r="J790" s="7" t="s">
        <v>346</v>
      </c>
      <c r="K790" s="1" t="s">
        <v>1264</v>
      </c>
      <c r="L790" s="1">
        <v>4</v>
      </c>
      <c r="M790" s="1" t="s">
        <v>97</v>
      </c>
      <c r="N790" s="1" t="s">
        <v>63</v>
      </c>
      <c r="O790" s="1">
        <v>72815.92</v>
      </c>
      <c r="P790" s="1">
        <v>3</v>
      </c>
      <c r="Q790" s="1" t="s">
        <v>29</v>
      </c>
    </row>
    <row r="791" spans="1:17">
      <c r="A791" s="1" t="s">
        <v>1407</v>
      </c>
      <c r="B791" s="1" t="s">
        <v>735</v>
      </c>
      <c r="C791" s="1">
        <v>57</v>
      </c>
      <c r="D791" s="1" t="s">
        <v>27</v>
      </c>
      <c r="E791" s="1" t="s">
        <v>247</v>
      </c>
      <c r="F791" s="1" t="s">
        <v>33</v>
      </c>
      <c r="G791" s="1" t="s">
        <v>53</v>
      </c>
      <c r="H791" s="1" t="s">
        <v>99</v>
      </c>
      <c r="I791" s="1" t="s">
        <v>36</v>
      </c>
      <c r="J791" s="7">
        <v>45628</v>
      </c>
      <c r="K791" s="1" t="s">
        <v>342</v>
      </c>
      <c r="L791" s="1">
        <v>1</v>
      </c>
      <c r="M791" s="1" t="s">
        <v>48</v>
      </c>
      <c r="N791" s="1" t="s">
        <v>57</v>
      </c>
      <c r="O791" s="1">
        <v>109920.79</v>
      </c>
      <c r="P791" s="1">
        <v>4</v>
      </c>
      <c r="Q791" s="1" t="s">
        <v>58</v>
      </c>
    </row>
    <row r="792" spans="1:17">
      <c r="A792" s="1" t="s">
        <v>1408</v>
      </c>
      <c r="B792" s="1" t="s">
        <v>437</v>
      </c>
      <c r="C792" s="1">
        <v>20</v>
      </c>
      <c r="D792" s="1" t="s">
        <v>43</v>
      </c>
      <c r="E792" s="1" t="s">
        <v>51</v>
      </c>
      <c r="F792" s="1" t="s">
        <v>21</v>
      </c>
      <c r="G792" s="1" t="s">
        <v>53</v>
      </c>
      <c r="H792" s="1" t="s">
        <v>93</v>
      </c>
      <c r="I792" s="1" t="s">
        <v>36</v>
      </c>
      <c r="J792" s="7">
        <v>45663</v>
      </c>
      <c r="K792" s="2">
        <v>45722</v>
      </c>
      <c r="L792" s="1">
        <v>2</v>
      </c>
      <c r="M792" s="1" t="s">
        <v>27</v>
      </c>
      <c r="N792" s="1" t="s">
        <v>82</v>
      </c>
      <c r="O792" s="1">
        <v>22107.39</v>
      </c>
      <c r="P792" s="1">
        <v>5</v>
      </c>
      <c r="Q792" s="1" t="s">
        <v>72</v>
      </c>
    </row>
    <row r="793" spans="1:17">
      <c r="A793" s="1" t="s">
        <v>1409</v>
      </c>
      <c r="B793" s="1" t="s">
        <v>574</v>
      </c>
      <c r="C793" s="1">
        <v>15</v>
      </c>
      <c r="D793" s="1" t="s">
        <v>27</v>
      </c>
      <c r="E793" s="1" t="s">
        <v>137</v>
      </c>
      <c r="F793" s="1" t="s">
        <v>75</v>
      </c>
      <c r="G793" s="1" t="s">
        <v>110</v>
      </c>
      <c r="H793" s="1" t="s">
        <v>88</v>
      </c>
      <c r="I793" s="1" t="s">
        <v>24</v>
      </c>
      <c r="J793" s="7">
        <v>45476</v>
      </c>
      <c r="K793" s="2">
        <v>45599</v>
      </c>
      <c r="L793" s="1">
        <v>4</v>
      </c>
      <c r="M793" s="1" t="s">
        <v>48</v>
      </c>
      <c r="N793" s="1" t="s">
        <v>39</v>
      </c>
      <c r="O793" s="1">
        <v>51885.78</v>
      </c>
      <c r="P793" s="1">
        <v>2</v>
      </c>
      <c r="Q793" s="1" t="s">
        <v>58</v>
      </c>
    </row>
    <row r="794" spans="1:17">
      <c r="A794" s="1" t="s">
        <v>1410</v>
      </c>
      <c r="B794" s="1" t="s">
        <v>229</v>
      </c>
      <c r="C794" s="1">
        <v>73</v>
      </c>
      <c r="D794" s="1" t="s">
        <v>19</v>
      </c>
      <c r="E794" s="1" t="s">
        <v>159</v>
      </c>
      <c r="F794" s="1" t="s">
        <v>52</v>
      </c>
      <c r="G794" s="1" t="s">
        <v>34</v>
      </c>
      <c r="H794" s="1" t="s">
        <v>93</v>
      </c>
      <c r="I794" s="1" t="s">
        <v>36</v>
      </c>
      <c r="J794" s="7" t="s">
        <v>877</v>
      </c>
      <c r="K794" s="1" t="s">
        <v>728</v>
      </c>
      <c r="L794" s="1">
        <v>1</v>
      </c>
      <c r="M794" s="1" t="s">
        <v>97</v>
      </c>
      <c r="N794" s="1" t="s">
        <v>90</v>
      </c>
      <c r="O794" s="1">
        <v>143166.21</v>
      </c>
      <c r="P794" s="1">
        <v>3</v>
      </c>
      <c r="Q794" s="1" t="s">
        <v>40</v>
      </c>
    </row>
    <row r="795" spans="1:17">
      <c r="A795" s="1" t="s">
        <v>1411</v>
      </c>
      <c r="B795" s="1" t="s">
        <v>735</v>
      </c>
      <c r="C795" s="1">
        <v>45</v>
      </c>
      <c r="D795" s="1" t="s">
        <v>27</v>
      </c>
      <c r="E795" s="1" t="s">
        <v>247</v>
      </c>
      <c r="F795" s="1" t="s">
        <v>52</v>
      </c>
      <c r="G795" s="1" t="s">
        <v>110</v>
      </c>
      <c r="H795" s="1" t="s">
        <v>105</v>
      </c>
      <c r="I795" s="1" t="s">
        <v>36</v>
      </c>
      <c r="J795" s="7">
        <v>45934</v>
      </c>
      <c r="K795" s="1" t="s">
        <v>70</v>
      </c>
      <c r="L795" s="1">
        <v>4</v>
      </c>
      <c r="M795" s="1" t="s">
        <v>97</v>
      </c>
      <c r="N795" s="1" t="s">
        <v>39</v>
      </c>
      <c r="O795" s="1">
        <v>79390.28</v>
      </c>
      <c r="P795" s="1">
        <v>5</v>
      </c>
      <c r="Q795" s="1" t="s">
        <v>40</v>
      </c>
    </row>
    <row r="796" spans="1:17">
      <c r="A796" s="1" t="s">
        <v>1412</v>
      </c>
      <c r="B796" s="1" t="s">
        <v>830</v>
      </c>
      <c r="C796" s="1">
        <v>19</v>
      </c>
      <c r="D796" s="1" t="s">
        <v>19</v>
      </c>
      <c r="E796" s="1" t="s">
        <v>137</v>
      </c>
      <c r="F796" s="1" t="s">
        <v>33</v>
      </c>
      <c r="G796" s="1" t="s">
        <v>132</v>
      </c>
      <c r="H796" s="1" t="s">
        <v>76</v>
      </c>
      <c r="I796" s="1" t="s">
        <v>62</v>
      </c>
      <c r="J796" s="7" t="s">
        <v>118</v>
      </c>
      <c r="K796" s="1" t="s">
        <v>366</v>
      </c>
      <c r="L796" s="1">
        <v>7</v>
      </c>
      <c r="M796" s="1" t="s">
        <v>97</v>
      </c>
      <c r="N796" s="1" t="s">
        <v>57</v>
      </c>
      <c r="O796" s="1">
        <v>21126.77</v>
      </c>
      <c r="P796" s="1">
        <v>4</v>
      </c>
      <c r="Q796" s="1" t="s">
        <v>58</v>
      </c>
    </row>
    <row r="797" spans="1:17">
      <c r="A797" s="1" t="s">
        <v>1413</v>
      </c>
      <c r="B797" s="1" t="s">
        <v>1414</v>
      </c>
      <c r="C797" s="1">
        <v>60</v>
      </c>
      <c r="D797" s="1" t="s">
        <v>43</v>
      </c>
      <c r="E797" s="1" t="s">
        <v>159</v>
      </c>
      <c r="F797" s="1" t="s">
        <v>67</v>
      </c>
      <c r="G797" s="1" t="s">
        <v>132</v>
      </c>
      <c r="H797" s="1" t="s">
        <v>61</v>
      </c>
      <c r="I797" s="1" t="s">
        <v>62</v>
      </c>
      <c r="J797" s="7">
        <v>45608</v>
      </c>
      <c r="K797" s="1" t="s">
        <v>813</v>
      </c>
      <c r="L797" s="1">
        <v>6</v>
      </c>
      <c r="M797" s="1" t="s">
        <v>38</v>
      </c>
      <c r="N797" s="1" t="s">
        <v>63</v>
      </c>
      <c r="O797" s="1">
        <v>27838.03</v>
      </c>
      <c r="P797" s="1">
        <v>3</v>
      </c>
      <c r="Q797" s="1" t="s">
        <v>40</v>
      </c>
    </row>
    <row r="798" spans="1:17">
      <c r="A798" s="1" t="s">
        <v>1415</v>
      </c>
      <c r="B798" s="1" t="s">
        <v>123</v>
      </c>
      <c r="C798" s="1">
        <v>28</v>
      </c>
      <c r="D798" s="1" t="s">
        <v>43</v>
      </c>
      <c r="E798" s="1" t="s">
        <v>137</v>
      </c>
      <c r="F798" s="1" t="s">
        <v>67</v>
      </c>
      <c r="G798" s="1" t="s">
        <v>68</v>
      </c>
      <c r="H798" s="1" t="s">
        <v>69</v>
      </c>
      <c r="I798" s="1" t="s">
        <v>62</v>
      </c>
      <c r="J798" s="7" t="s">
        <v>747</v>
      </c>
      <c r="K798" s="1" t="s">
        <v>469</v>
      </c>
      <c r="L798" s="1">
        <v>1</v>
      </c>
      <c r="M798" s="1" t="s">
        <v>56</v>
      </c>
      <c r="N798" s="1" t="s">
        <v>57</v>
      </c>
      <c r="O798" s="1">
        <v>42084.6</v>
      </c>
      <c r="P798" s="1">
        <v>3</v>
      </c>
      <c r="Q798" s="1" t="s">
        <v>72</v>
      </c>
    </row>
    <row r="799" spans="1:17">
      <c r="A799" s="1" t="s">
        <v>1416</v>
      </c>
      <c r="B799" s="1" t="s">
        <v>656</v>
      </c>
      <c r="C799" s="1">
        <v>89</v>
      </c>
      <c r="D799" s="1" t="s">
        <v>19</v>
      </c>
      <c r="E799" s="1" t="s">
        <v>20</v>
      </c>
      <c r="F799" s="1" t="s">
        <v>52</v>
      </c>
      <c r="G799" s="1" t="s">
        <v>110</v>
      </c>
      <c r="H799" s="1" t="s">
        <v>76</v>
      </c>
      <c r="I799" s="1" t="s">
        <v>36</v>
      </c>
      <c r="J799" s="7" t="s">
        <v>809</v>
      </c>
      <c r="K799" s="2">
        <v>45779</v>
      </c>
      <c r="L799" s="1">
        <v>6</v>
      </c>
      <c r="M799" s="1" t="s">
        <v>97</v>
      </c>
      <c r="N799" s="1" t="s">
        <v>82</v>
      </c>
      <c r="O799" s="1">
        <v>103682.34</v>
      </c>
      <c r="P799" s="1">
        <v>3</v>
      </c>
      <c r="Q799" s="1" t="s">
        <v>72</v>
      </c>
    </row>
    <row r="800" spans="1:17">
      <c r="A800" s="1" t="s">
        <v>1417</v>
      </c>
      <c r="B800" s="1" t="s">
        <v>837</v>
      </c>
      <c r="C800" s="1">
        <v>87</v>
      </c>
      <c r="D800" s="1" t="s">
        <v>19</v>
      </c>
      <c r="E800" s="1" t="s">
        <v>20</v>
      </c>
      <c r="F800" s="1" t="s">
        <v>120</v>
      </c>
      <c r="G800" s="1" t="s">
        <v>34</v>
      </c>
      <c r="H800" s="1" t="s">
        <v>88</v>
      </c>
      <c r="I800" s="1" t="s">
        <v>36</v>
      </c>
      <c r="J800" s="7">
        <v>45476</v>
      </c>
      <c r="K800" s="2">
        <v>45507</v>
      </c>
      <c r="L800" s="1">
        <v>1</v>
      </c>
      <c r="M800" s="1" t="s">
        <v>38</v>
      </c>
      <c r="N800" s="1" t="s">
        <v>90</v>
      </c>
      <c r="O800" s="1">
        <v>110020.85</v>
      </c>
      <c r="P800" s="1">
        <v>5</v>
      </c>
      <c r="Q800" s="1" t="s">
        <v>40</v>
      </c>
    </row>
    <row r="801" spans="1:17">
      <c r="A801" s="1" t="s">
        <v>1418</v>
      </c>
      <c r="B801" s="1" t="s">
        <v>553</v>
      </c>
      <c r="C801" s="1">
        <v>75</v>
      </c>
      <c r="D801" s="1" t="s">
        <v>43</v>
      </c>
      <c r="E801" s="1" t="s">
        <v>32</v>
      </c>
      <c r="F801" s="1" t="s">
        <v>67</v>
      </c>
      <c r="G801" s="1" t="s">
        <v>22</v>
      </c>
      <c r="H801" s="1" t="s">
        <v>23</v>
      </c>
      <c r="I801" s="1" t="s">
        <v>24</v>
      </c>
      <c r="J801" s="7">
        <v>45662</v>
      </c>
      <c r="K801" s="2">
        <v>45874</v>
      </c>
      <c r="L801" s="1">
        <v>7</v>
      </c>
      <c r="M801" s="1" t="s">
        <v>97</v>
      </c>
      <c r="N801" s="1" t="s">
        <v>85</v>
      </c>
      <c r="O801" s="1">
        <v>23666.31</v>
      </c>
      <c r="P801" s="1">
        <v>5</v>
      </c>
      <c r="Q801" s="1" t="s">
        <v>58</v>
      </c>
    </row>
    <row r="802" spans="1:17">
      <c r="A802" s="1" t="s">
        <v>1419</v>
      </c>
      <c r="B802" s="1" t="s">
        <v>510</v>
      </c>
      <c r="C802" s="1">
        <v>90</v>
      </c>
      <c r="D802" s="1" t="s">
        <v>43</v>
      </c>
      <c r="E802" s="1" t="s">
        <v>159</v>
      </c>
      <c r="F802" s="1" t="s">
        <v>67</v>
      </c>
      <c r="G802" s="1" t="s">
        <v>34</v>
      </c>
      <c r="H802" s="1" t="s">
        <v>35</v>
      </c>
      <c r="I802" s="1" t="s">
        <v>24</v>
      </c>
      <c r="J802" s="7">
        <v>45850</v>
      </c>
      <c r="K802" s="2">
        <v>45881</v>
      </c>
      <c r="L802" s="1">
        <v>1</v>
      </c>
      <c r="M802" s="1" t="s">
        <v>56</v>
      </c>
      <c r="N802" s="1" t="s">
        <v>57</v>
      </c>
      <c r="O802" s="1">
        <v>123958.05</v>
      </c>
      <c r="P802" s="1">
        <v>4</v>
      </c>
      <c r="Q802" s="1" t="s">
        <v>72</v>
      </c>
    </row>
    <row r="803" spans="1:17">
      <c r="A803" s="1" t="s">
        <v>1420</v>
      </c>
      <c r="B803" s="1" t="s">
        <v>1209</v>
      </c>
      <c r="C803" s="1">
        <v>63</v>
      </c>
      <c r="D803" s="1" t="s">
        <v>27</v>
      </c>
      <c r="E803" s="1" t="s">
        <v>20</v>
      </c>
      <c r="F803" s="1" t="s">
        <v>52</v>
      </c>
      <c r="G803" s="1" t="s">
        <v>53</v>
      </c>
      <c r="H803" s="1" t="s">
        <v>45</v>
      </c>
      <c r="I803" s="1" t="s">
        <v>62</v>
      </c>
      <c r="J803" s="7">
        <v>45724</v>
      </c>
      <c r="K803" s="1" t="s">
        <v>278</v>
      </c>
      <c r="L803" s="1">
        <v>13</v>
      </c>
      <c r="M803" s="1" t="s">
        <v>38</v>
      </c>
      <c r="N803" s="1" t="s">
        <v>63</v>
      </c>
      <c r="O803" s="1">
        <v>54914.77</v>
      </c>
      <c r="P803" s="1">
        <v>4</v>
      </c>
      <c r="Q803" s="1" t="s">
        <v>72</v>
      </c>
    </row>
    <row r="804" spans="1:17">
      <c r="A804" s="1" t="s">
        <v>1421</v>
      </c>
      <c r="B804" s="1" t="s">
        <v>329</v>
      </c>
      <c r="C804" s="1">
        <v>46</v>
      </c>
      <c r="D804" s="1" t="s">
        <v>27</v>
      </c>
      <c r="E804" s="1" t="s">
        <v>159</v>
      </c>
      <c r="F804" s="1" t="s">
        <v>120</v>
      </c>
      <c r="G804" s="1" t="s">
        <v>110</v>
      </c>
      <c r="H804" s="1" t="s">
        <v>88</v>
      </c>
      <c r="I804" s="1" t="s">
        <v>36</v>
      </c>
      <c r="J804" s="7" t="s">
        <v>934</v>
      </c>
      <c r="K804" s="1" t="s">
        <v>488</v>
      </c>
      <c r="L804" s="1">
        <v>5</v>
      </c>
      <c r="M804" s="1" t="s">
        <v>48</v>
      </c>
      <c r="N804" s="1" t="s">
        <v>63</v>
      </c>
      <c r="O804" s="1">
        <v>101782.94</v>
      </c>
      <c r="P804" s="1">
        <v>3</v>
      </c>
      <c r="Q804" s="1" t="s">
        <v>29</v>
      </c>
    </row>
    <row r="805" spans="1:17">
      <c r="A805" s="1" t="s">
        <v>1422</v>
      </c>
      <c r="B805" s="1" t="s">
        <v>259</v>
      </c>
      <c r="C805" s="1">
        <v>90</v>
      </c>
      <c r="D805" s="1" t="s">
        <v>43</v>
      </c>
      <c r="E805" s="1" t="s">
        <v>44</v>
      </c>
      <c r="F805" s="1" t="s">
        <v>75</v>
      </c>
      <c r="G805" s="1" t="s">
        <v>104</v>
      </c>
      <c r="H805" s="1" t="s">
        <v>45</v>
      </c>
      <c r="I805" s="1" t="s">
        <v>62</v>
      </c>
      <c r="J805" s="7" t="s">
        <v>611</v>
      </c>
      <c r="K805" s="1" t="s">
        <v>1423</v>
      </c>
      <c r="L805" s="1">
        <v>2</v>
      </c>
      <c r="M805" s="1" t="s">
        <v>97</v>
      </c>
      <c r="N805" s="1" t="s">
        <v>85</v>
      </c>
      <c r="O805" s="1">
        <v>36303.08</v>
      </c>
      <c r="P805" s="1">
        <v>1</v>
      </c>
      <c r="Q805" s="1" t="s">
        <v>58</v>
      </c>
    </row>
    <row r="806" spans="1:17">
      <c r="A806" s="1" t="s">
        <v>1424</v>
      </c>
      <c r="B806" s="1" t="s">
        <v>275</v>
      </c>
      <c r="C806" s="1">
        <v>49</v>
      </c>
      <c r="D806" s="1" t="s">
        <v>43</v>
      </c>
      <c r="E806" s="1" t="s">
        <v>66</v>
      </c>
      <c r="F806" s="1" t="s">
        <v>120</v>
      </c>
      <c r="G806" s="1" t="s">
        <v>53</v>
      </c>
      <c r="H806" s="1" t="s">
        <v>88</v>
      </c>
      <c r="I806" s="1" t="s">
        <v>24</v>
      </c>
      <c r="J806" s="7">
        <v>45445</v>
      </c>
      <c r="K806" s="2">
        <v>45628</v>
      </c>
      <c r="L806" s="1">
        <v>6</v>
      </c>
      <c r="M806" s="1" t="s">
        <v>38</v>
      </c>
      <c r="N806" s="1" t="s">
        <v>90</v>
      </c>
      <c r="O806" s="1">
        <v>139017.82</v>
      </c>
      <c r="P806" s="1">
        <v>5</v>
      </c>
      <c r="Q806" s="1" t="s">
        <v>29</v>
      </c>
    </row>
    <row r="807" spans="1:17">
      <c r="A807" s="1" t="s">
        <v>1425</v>
      </c>
      <c r="B807" s="1" t="s">
        <v>190</v>
      </c>
      <c r="C807" s="1">
        <v>63</v>
      </c>
      <c r="D807" s="1" t="s">
        <v>43</v>
      </c>
      <c r="E807" s="1" t="s">
        <v>32</v>
      </c>
      <c r="F807" s="1" t="s">
        <v>21</v>
      </c>
      <c r="G807" s="1" t="s">
        <v>22</v>
      </c>
      <c r="H807" s="1" t="s">
        <v>88</v>
      </c>
      <c r="I807" s="1" t="s">
        <v>36</v>
      </c>
      <c r="J807" s="7" t="s">
        <v>716</v>
      </c>
      <c r="K807" s="1" t="s">
        <v>522</v>
      </c>
      <c r="L807" s="1">
        <v>15</v>
      </c>
      <c r="M807" s="1" t="s">
        <v>56</v>
      </c>
      <c r="N807" s="1" t="s">
        <v>82</v>
      </c>
      <c r="O807" s="1">
        <v>93609.97</v>
      </c>
      <c r="P807" s="1">
        <v>5</v>
      </c>
      <c r="Q807" s="1" t="s">
        <v>72</v>
      </c>
    </row>
    <row r="808" spans="1:17">
      <c r="A808" s="1" t="s">
        <v>1426</v>
      </c>
      <c r="B808" s="1" t="s">
        <v>236</v>
      </c>
      <c r="C808" s="1">
        <v>20</v>
      </c>
      <c r="D808" s="1" t="s">
        <v>27</v>
      </c>
      <c r="E808" s="1" t="s">
        <v>32</v>
      </c>
      <c r="F808" s="1" t="s">
        <v>67</v>
      </c>
      <c r="G808" s="1" t="s">
        <v>22</v>
      </c>
      <c r="H808" s="1" t="s">
        <v>35</v>
      </c>
      <c r="I808" s="1" t="s">
        <v>36</v>
      </c>
      <c r="J808" s="7" t="s">
        <v>1005</v>
      </c>
      <c r="K808" s="1" t="s">
        <v>327</v>
      </c>
      <c r="L808" s="1">
        <v>1</v>
      </c>
      <c r="M808" s="1" t="s">
        <v>48</v>
      </c>
      <c r="N808" s="1" t="s">
        <v>63</v>
      </c>
      <c r="O808" s="1">
        <v>54541.11</v>
      </c>
      <c r="P808" s="1">
        <v>5</v>
      </c>
      <c r="Q808" s="1" t="s">
        <v>29</v>
      </c>
    </row>
    <row r="809" spans="1:17">
      <c r="A809" s="1" t="s">
        <v>1427</v>
      </c>
      <c r="B809" s="1" t="s">
        <v>766</v>
      </c>
      <c r="C809" s="1">
        <v>26</v>
      </c>
      <c r="D809" s="1" t="s">
        <v>27</v>
      </c>
      <c r="E809" s="1" t="s">
        <v>247</v>
      </c>
      <c r="F809" s="1" t="s">
        <v>52</v>
      </c>
      <c r="G809" s="1" t="s">
        <v>34</v>
      </c>
      <c r="H809" s="1" t="s">
        <v>76</v>
      </c>
      <c r="I809" s="1" t="s">
        <v>24</v>
      </c>
      <c r="J809" s="7" t="s">
        <v>1153</v>
      </c>
      <c r="K809" s="1" t="s">
        <v>926</v>
      </c>
      <c r="L809" s="1">
        <v>1</v>
      </c>
      <c r="M809" s="1" t="s">
        <v>56</v>
      </c>
      <c r="N809" s="1" t="s">
        <v>57</v>
      </c>
      <c r="O809" s="1">
        <v>98382.46</v>
      </c>
      <c r="P809" s="1">
        <v>2</v>
      </c>
      <c r="Q809" s="1" t="s">
        <v>29</v>
      </c>
    </row>
    <row r="810" spans="1:17">
      <c r="A810" s="1" t="s">
        <v>1428</v>
      </c>
      <c r="B810" s="1" t="s">
        <v>688</v>
      </c>
      <c r="C810" s="1">
        <v>64</v>
      </c>
      <c r="D810" s="1" t="s">
        <v>27</v>
      </c>
      <c r="E810" s="1" t="s">
        <v>66</v>
      </c>
      <c r="F810" s="1" t="s">
        <v>67</v>
      </c>
      <c r="G810" s="1" t="s">
        <v>34</v>
      </c>
      <c r="H810" s="1" t="s">
        <v>93</v>
      </c>
      <c r="I810" s="1" t="s">
        <v>24</v>
      </c>
      <c r="J810" s="7" t="s">
        <v>846</v>
      </c>
      <c r="K810" s="1" t="s">
        <v>634</v>
      </c>
      <c r="L810" s="1">
        <v>4</v>
      </c>
      <c r="M810" s="1" t="s">
        <v>56</v>
      </c>
      <c r="N810" s="1" t="s">
        <v>63</v>
      </c>
      <c r="O810" s="1">
        <v>30744.57</v>
      </c>
      <c r="P810" s="1">
        <v>3</v>
      </c>
      <c r="Q810" s="1" t="s">
        <v>72</v>
      </c>
    </row>
    <row r="811" spans="1:17">
      <c r="A811" s="1" t="s">
        <v>1429</v>
      </c>
      <c r="B811" s="1" t="s">
        <v>308</v>
      </c>
      <c r="C811" s="1">
        <v>90</v>
      </c>
      <c r="D811" s="1" t="s">
        <v>19</v>
      </c>
      <c r="E811" s="1" t="s">
        <v>51</v>
      </c>
      <c r="F811" s="1" t="s">
        <v>52</v>
      </c>
      <c r="G811" s="1" t="s">
        <v>132</v>
      </c>
      <c r="H811" s="1" t="s">
        <v>35</v>
      </c>
      <c r="I811" s="1" t="s">
        <v>62</v>
      </c>
      <c r="J811" s="7">
        <v>45603</v>
      </c>
      <c r="K811" s="1" t="s">
        <v>239</v>
      </c>
      <c r="L811" s="1">
        <v>11</v>
      </c>
      <c r="M811" s="1" t="s">
        <v>56</v>
      </c>
      <c r="N811" s="1" t="s">
        <v>57</v>
      </c>
      <c r="O811" s="1">
        <v>51013.45</v>
      </c>
      <c r="P811" s="1">
        <v>5</v>
      </c>
      <c r="Q811" s="1" t="s">
        <v>40</v>
      </c>
    </row>
    <row r="812" spans="1:17">
      <c r="A812" s="1" t="s">
        <v>1430</v>
      </c>
      <c r="B812" s="1" t="s">
        <v>405</v>
      </c>
      <c r="C812" s="1">
        <v>45</v>
      </c>
      <c r="D812" s="1" t="s">
        <v>27</v>
      </c>
      <c r="E812" s="1" t="s">
        <v>247</v>
      </c>
      <c r="F812" s="1" t="s">
        <v>52</v>
      </c>
      <c r="G812" s="1" t="s">
        <v>68</v>
      </c>
      <c r="H812" s="1" t="s">
        <v>105</v>
      </c>
      <c r="I812" s="1" t="s">
        <v>36</v>
      </c>
      <c r="J812" s="7">
        <v>45360</v>
      </c>
      <c r="K812" s="2">
        <v>45391</v>
      </c>
      <c r="L812" s="1">
        <v>1</v>
      </c>
      <c r="M812" s="1" t="s">
        <v>27</v>
      </c>
      <c r="N812" s="1" t="s">
        <v>39</v>
      </c>
      <c r="O812" s="1">
        <v>67063.69</v>
      </c>
      <c r="P812" s="1">
        <v>2</v>
      </c>
      <c r="Q812" s="1" t="s">
        <v>58</v>
      </c>
    </row>
    <row r="813" spans="1:17">
      <c r="A813" s="1" t="s">
        <v>1431</v>
      </c>
      <c r="B813" s="1" t="s">
        <v>656</v>
      </c>
      <c r="C813" s="1">
        <v>11</v>
      </c>
      <c r="D813" s="1" t="s">
        <v>27</v>
      </c>
      <c r="E813" s="1" t="s">
        <v>247</v>
      </c>
      <c r="F813" s="1" t="s">
        <v>52</v>
      </c>
      <c r="G813" s="1" t="s">
        <v>53</v>
      </c>
      <c r="H813" s="1" t="s">
        <v>69</v>
      </c>
      <c r="I813" s="1" t="s">
        <v>62</v>
      </c>
      <c r="J813" s="7">
        <v>45661</v>
      </c>
      <c r="K813" s="2">
        <v>45720</v>
      </c>
      <c r="L813" s="1">
        <v>2</v>
      </c>
      <c r="M813" s="1" t="s">
        <v>38</v>
      </c>
      <c r="N813" s="1" t="s">
        <v>57</v>
      </c>
      <c r="O813" s="1">
        <v>77456.81</v>
      </c>
      <c r="P813" s="1">
        <v>3</v>
      </c>
      <c r="Q813" s="1" t="s">
        <v>40</v>
      </c>
    </row>
    <row r="814" spans="1:17">
      <c r="A814" s="1" t="s">
        <v>1432</v>
      </c>
      <c r="B814" s="1" t="s">
        <v>538</v>
      </c>
      <c r="C814" s="1">
        <v>63</v>
      </c>
      <c r="D814" s="1" t="s">
        <v>43</v>
      </c>
      <c r="E814" s="1" t="s">
        <v>159</v>
      </c>
      <c r="F814" s="1" t="s">
        <v>33</v>
      </c>
      <c r="G814" s="1" t="s">
        <v>34</v>
      </c>
      <c r="H814" s="1" t="s">
        <v>88</v>
      </c>
      <c r="I814" s="1" t="s">
        <v>36</v>
      </c>
      <c r="J814" s="7" t="s">
        <v>163</v>
      </c>
      <c r="K814" s="1" t="s">
        <v>164</v>
      </c>
      <c r="L814" s="1">
        <v>2</v>
      </c>
      <c r="M814" s="1" t="s">
        <v>56</v>
      </c>
      <c r="N814" s="1" t="s">
        <v>63</v>
      </c>
      <c r="O814" s="1">
        <v>83484.69</v>
      </c>
      <c r="P814" s="1">
        <v>4</v>
      </c>
      <c r="Q814" s="1" t="s">
        <v>58</v>
      </c>
    </row>
    <row r="815" spans="1:17">
      <c r="A815" s="1" t="s">
        <v>1433</v>
      </c>
      <c r="B815" s="1" t="s">
        <v>762</v>
      </c>
      <c r="C815" s="1">
        <v>54</v>
      </c>
      <c r="D815" s="1" t="s">
        <v>19</v>
      </c>
      <c r="E815" s="1" t="s">
        <v>44</v>
      </c>
      <c r="F815" s="1" t="s">
        <v>21</v>
      </c>
      <c r="G815" s="1" t="s">
        <v>110</v>
      </c>
      <c r="H815" s="1" t="s">
        <v>76</v>
      </c>
      <c r="I815" s="1" t="s">
        <v>36</v>
      </c>
      <c r="J815" s="7" t="s">
        <v>1434</v>
      </c>
      <c r="K815" s="1" t="s">
        <v>469</v>
      </c>
      <c r="L815" s="1">
        <v>3</v>
      </c>
      <c r="M815" s="1" t="s">
        <v>48</v>
      </c>
      <c r="N815" s="1" t="s">
        <v>28</v>
      </c>
      <c r="O815" s="1">
        <v>61564.46</v>
      </c>
      <c r="P815" s="1">
        <v>5</v>
      </c>
      <c r="Q815" s="1" t="s">
        <v>58</v>
      </c>
    </row>
    <row r="816" spans="1:17">
      <c r="A816" s="1" t="s">
        <v>1435</v>
      </c>
      <c r="B816" s="1" t="s">
        <v>548</v>
      </c>
      <c r="C816" s="1">
        <v>61</v>
      </c>
      <c r="D816" s="1" t="s">
        <v>19</v>
      </c>
      <c r="E816" s="1" t="s">
        <v>44</v>
      </c>
      <c r="F816" s="1" t="s">
        <v>52</v>
      </c>
      <c r="G816" s="1" t="s">
        <v>110</v>
      </c>
      <c r="H816" s="1" t="s">
        <v>105</v>
      </c>
      <c r="I816" s="1" t="s">
        <v>62</v>
      </c>
      <c r="J816" s="7">
        <v>45392</v>
      </c>
      <c r="K816" s="2">
        <v>45453</v>
      </c>
      <c r="L816" s="1">
        <v>2</v>
      </c>
      <c r="M816" s="1" t="s">
        <v>97</v>
      </c>
      <c r="N816" s="1" t="s">
        <v>57</v>
      </c>
      <c r="O816" s="1">
        <v>142856.69</v>
      </c>
      <c r="P816" s="1">
        <v>3</v>
      </c>
      <c r="Q816" s="1" t="s">
        <v>29</v>
      </c>
    </row>
    <row r="817" spans="1:17">
      <c r="A817" s="1" t="s">
        <v>1436</v>
      </c>
      <c r="B817" s="1" t="s">
        <v>830</v>
      </c>
      <c r="C817" s="1">
        <v>63</v>
      </c>
      <c r="D817" s="1" t="s">
        <v>27</v>
      </c>
      <c r="E817" s="1" t="s">
        <v>159</v>
      </c>
      <c r="F817" s="1" t="s">
        <v>75</v>
      </c>
      <c r="G817" s="1" t="s">
        <v>68</v>
      </c>
      <c r="H817" s="1" t="s">
        <v>35</v>
      </c>
      <c r="I817" s="1" t="s">
        <v>62</v>
      </c>
      <c r="J817" s="7">
        <v>45325</v>
      </c>
      <c r="K817" s="2">
        <v>45385</v>
      </c>
      <c r="L817" s="1">
        <v>2</v>
      </c>
      <c r="M817" s="1" t="s">
        <v>56</v>
      </c>
      <c r="N817" s="1" t="s">
        <v>82</v>
      </c>
      <c r="O817" s="1">
        <v>29166.13</v>
      </c>
      <c r="P817" s="1">
        <v>5</v>
      </c>
      <c r="Q817" s="1" t="s">
        <v>40</v>
      </c>
    </row>
    <row r="818" spans="1:17">
      <c r="A818" s="1" t="s">
        <v>1437</v>
      </c>
      <c r="B818" s="1" t="s">
        <v>1111</v>
      </c>
      <c r="C818" s="1">
        <v>88</v>
      </c>
      <c r="D818" s="1" t="s">
        <v>27</v>
      </c>
      <c r="E818" s="1" t="s">
        <v>44</v>
      </c>
      <c r="F818" s="1" t="s">
        <v>33</v>
      </c>
      <c r="G818" s="1" t="s">
        <v>68</v>
      </c>
      <c r="H818" s="1" t="s">
        <v>88</v>
      </c>
      <c r="I818" s="1" t="s">
        <v>36</v>
      </c>
      <c r="J818" s="7" t="s">
        <v>89</v>
      </c>
      <c r="K818" s="1" t="s">
        <v>167</v>
      </c>
      <c r="L818" s="1">
        <v>1</v>
      </c>
      <c r="M818" s="1" t="s">
        <v>48</v>
      </c>
      <c r="N818" s="1" t="s">
        <v>57</v>
      </c>
      <c r="O818" s="1">
        <v>64907.24</v>
      </c>
      <c r="P818" s="1">
        <v>5</v>
      </c>
      <c r="Q818" s="1" t="s">
        <v>40</v>
      </c>
    </row>
    <row r="819" spans="1:17">
      <c r="A819" s="1" t="s">
        <v>1438</v>
      </c>
      <c r="B819" s="1" t="s">
        <v>1439</v>
      </c>
      <c r="C819" s="1">
        <v>54</v>
      </c>
      <c r="D819" s="1" t="s">
        <v>19</v>
      </c>
      <c r="E819" s="1" t="s">
        <v>66</v>
      </c>
      <c r="F819" s="1" t="s">
        <v>120</v>
      </c>
      <c r="G819" s="1" t="s">
        <v>53</v>
      </c>
      <c r="H819" s="1" t="s">
        <v>93</v>
      </c>
      <c r="I819" s="1" t="s">
        <v>24</v>
      </c>
      <c r="J819" s="7">
        <v>45330</v>
      </c>
      <c r="K819" s="2">
        <v>45512</v>
      </c>
      <c r="L819" s="1">
        <v>6</v>
      </c>
      <c r="M819" s="1" t="s">
        <v>27</v>
      </c>
      <c r="N819" s="1" t="s">
        <v>85</v>
      </c>
      <c r="O819" s="1">
        <v>118007.66</v>
      </c>
      <c r="P819" s="1">
        <v>4</v>
      </c>
      <c r="Q819" s="1" t="s">
        <v>29</v>
      </c>
    </row>
    <row r="820" spans="1:17">
      <c r="A820" s="1" t="s">
        <v>1440</v>
      </c>
      <c r="B820" s="1" t="s">
        <v>780</v>
      </c>
      <c r="C820" s="1">
        <v>32</v>
      </c>
      <c r="D820" s="1" t="s">
        <v>43</v>
      </c>
      <c r="E820" s="1" t="s">
        <v>159</v>
      </c>
      <c r="F820" s="1" t="s">
        <v>33</v>
      </c>
      <c r="G820" s="1" t="s">
        <v>104</v>
      </c>
      <c r="H820" s="1" t="s">
        <v>93</v>
      </c>
      <c r="I820" s="1" t="s">
        <v>36</v>
      </c>
      <c r="J820" s="7" t="s">
        <v>199</v>
      </c>
      <c r="K820" s="1" t="s">
        <v>200</v>
      </c>
      <c r="L820" s="1">
        <v>1</v>
      </c>
      <c r="M820" s="1" t="s">
        <v>38</v>
      </c>
      <c r="N820" s="1" t="s">
        <v>63</v>
      </c>
      <c r="O820" s="1">
        <v>55989.78</v>
      </c>
      <c r="P820" s="1">
        <v>5</v>
      </c>
      <c r="Q820" s="1" t="s">
        <v>29</v>
      </c>
    </row>
    <row r="821" spans="1:17">
      <c r="A821" s="1" t="s">
        <v>1441</v>
      </c>
      <c r="B821" s="1" t="s">
        <v>423</v>
      </c>
      <c r="C821" s="1">
        <v>47</v>
      </c>
      <c r="D821" s="1" t="s">
        <v>19</v>
      </c>
      <c r="E821" s="1" t="s">
        <v>20</v>
      </c>
      <c r="F821" s="1" t="s">
        <v>67</v>
      </c>
      <c r="G821" s="1" t="s">
        <v>110</v>
      </c>
      <c r="H821" s="1" t="s">
        <v>105</v>
      </c>
      <c r="I821" s="1" t="s">
        <v>24</v>
      </c>
      <c r="J821" s="7" t="s">
        <v>1114</v>
      </c>
      <c r="K821" s="2">
        <v>45721</v>
      </c>
      <c r="L821" s="1">
        <v>3</v>
      </c>
      <c r="M821" s="1" t="s">
        <v>48</v>
      </c>
      <c r="N821" s="1" t="s">
        <v>82</v>
      </c>
      <c r="O821" s="1">
        <v>133903.56</v>
      </c>
      <c r="P821" s="1">
        <v>3</v>
      </c>
      <c r="Q821" s="1" t="s">
        <v>72</v>
      </c>
    </row>
    <row r="822" spans="1:17">
      <c r="A822" s="1" t="s">
        <v>1442</v>
      </c>
      <c r="B822" s="1" t="s">
        <v>136</v>
      </c>
      <c r="C822" s="1">
        <v>25</v>
      </c>
      <c r="D822" s="1" t="s">
        <v>27</v>
      </c>
      <c r="E822" s="1" t="s">
        <v>247</v>
      </c>
      <c r="F822" s="1" t="s">
        <v>33</v>
      </c>
      <c r="G822" s="1" t="s">
        <v>34</v>
      </c>
      <c r="H822" s="1" t="s">
        <v>105</v>
      </c>
      <c r="I822" s="1" t="s">
        <v>36</v>
      </c>
      <c r="J822" s="7" t="s">
        <v>987</v>
      </c>
      <c r="K822" s="2">
        <v>45694</v>
      </c>
      <c r="L822" s="1">
        <v>2</v>
      </c>
      <c r="M822" s="1" t="s">
        <v>97</v>
      </c>
      <c r="N822" s="1" t="s">
        <v>63</v>
      </c>
      <c r="O822" s="1">
        <v>41288.559999999998</v>
      </c>
      <c r="P822" s="1">
        <v>1</v>
      </c>
      <c r="Q822" s="1" t="s">
        <v>58</v>
      </c>
    </row>
    <row r="823" spans="1:17">
      <c r="A823" s="1" t="s">
        <v>1443</v>
      </c>
      <c r="B823" s="1" t="s">
        <v>18</v>
      </c>
      <c r="C823" s="1">
        <v>72</v>
      </c>
      <c r="D823" s="1" t="s">
        <v>19</v>
      </c>
      <c r="E823" s="1" t="s">
        <v>202</v>
      </c>
      <c r="F823" s="1" t="s">
        <v>120</v>
      </c>
      <c r="G823" s="1" t="s">
        <v>104</v>
      </c>
      <c r="H823" s="1" t="s">
        <v>105</v>
      </c>
      <c r="I823" s="1" t="s">
        <v>24</v>
      </c>
      <c r="J823" s="7" t="s">
        <v>192</v>
      </c>
      <c r="K823" s="2">
        <v>45697</v>
      </c>
      <c r="L823" s="1">
        <v>2</v>
      </c>
      <c r="M823" s="1" t="s">
        <v>97</v>
      </c>
      <c r="N823" s="1" t="s">
        <v>82</v>
      </c>
      <c r="O823" s="1">
        <v>23891.78</v>
      </c>
      <c r="P823" s="1">
        <v>3</v>
      </c>
      <c r="Q823" s="1" t="s">
        <v>29</v>
      </c>
    </row>
    <row r="824" spans="1:17">
      <c r="A824" s="1" t="s">
        <v>1444</v>
      </c>
      <c r="B824" s="1" t="s">
        <v>393</v>
      </c>
      <c r="C824" s="1">
        <v>41</v>
      </c>
      <c r="D824" s="1" t="s">
        <v>27</v>
      </c>
      <c r="E824" s="1" t="s">
        <v>44</v>
      </c>
      <c r="F824" s="1" t="s">
        <v>67</v>
      </c>
      <c r="G824" s="1" t="s">
        <v>53</v>
      </c>
      <c r="H824" s="1" t="s">
        <v>76</v>
      </c>
      <c r="I824" s="1" t="s">
        <v>36</v>
      </c>
      <c r="J824" s="7" t="s">
        <v>1219</v>
      </c>
      <c r="K824" s="1" t="s">
        <v>1445</v>
      </c>
      <c r="L824" s="1">
        <v>1</v>
      </c>
      <c r="M824" s="1" t="s">
        <v>27</v>
      </c>
      <c r="N824" s="1" t="s">
        <v>28</v>
      </c>
      <c r="O824" s="1">
        <v>43783.64</v>
      </c>
      <c r="P824" s="1">
        <v>5</v>
      </c>
      <c r="Q824" s="1" t="s">
        <v>29</v>
      </c>
    </row>
    <row r="825" spans="1:17">
      <c r="A825" s="1" t="s">
        <v>1446</v>
      </c>
      <c r="B825" s="1" t="s">
        <v>31</v>
      </c>
      <c r="C825" s="1">
        <v>64</v>
      </c>
      <c r="D825" s="1" t="s">
        <v>19</v>
      </c>
      <c r="E825" s="1" t="s">
        <v>137</v>
      </c>
      <c r="F825" s="1" t="s">
        <v>120</v>
      </c>
      <c r="G825" s="1" t="s">
        <v>132</v>
      </c>
      <c r="H825" s="1" t="s">
        <v>45</v>
      </c>
      <c r="I825" s="1" t="s">
        <v>36</v>
      </c>
      <c r="J825" s="7">
        <v>45568</v>
      </c>
      <c r="K825" s="2">
        <v>45599</v>
      </c>
      <c r="L825" s="1">
        <v>1</v>
      </c>
      <c r="M825" s="1" t="s">
        <v>97</v>
      </c>
      <c r="N825" s="1" t="s">
        <v>57</v>
      </c>
      <c r="O825" s="1">
        <v>67090.149999999994</v>
      </c>
      <c r="P825" s="1">
        <v>5</v>
      </c>
      <c r="Q825" s="1" t="s">
        <v>72</v>
      </c>
    </row>
    <row r="826" spans="1:17">
      <c r="A826" s="1" t="s">
        <v>1447</v>
      </c>
      <c r="B826" s="1" t="s">
        <v>826</v>
      </c>
      <c r="C826" s="1">
        <v>68</v>
      </c>
      <c r="D826" s="1" t="s">
        <v>43</v>
      </c>
      <c r="E826" s="1" t="s">
        <v>20</v>
      </c>
      <c r="F826" s="1" t="s">
        <v>75</v>
      </c>
      <c r="G826" s="1" t="s">
        <v>22</v>
      </c>
      <c r="H826" s="1" t="s">
        <v>61</v>
      </c>
      <c r="I826" s="1" t="s">
        <v>24</v>
      </c>
      <c r="J826" s="7" t="s">
        <v>237</v>
      </c>
      <c r="K826" s="1" t="s">
        <v>471</v>
      </c>
      <c r="L826" s="1">
        <v>6</v>
      </c>
      <c r="M826" s="1" t="s">
        <v>27</v>
      </c>
      <c r="N826" s="1" t="s">
        <v>28</v>
      </c>
      <c r="O826" s="1">
        <v>44740.36</v>
      </c>
      <c r="P826" s="1">
        <v>2</v>
      </c>
      <c r="Q826" s="1" t="s">
        <v>72</v>
      </c>
    </row>
    <row r="827" spans="1:17">
      <c r="A827" s="1" t="s">
        <v>1448</v>
      </c>
      <c r="B827" s="1" t="s">
        <v>141</v>
      </c>
      <c r="C827" s="1">
        <v>83</v>
      </c>
      <c r="D827" s="1" t="s">
        <v>27</v>
      </c>
      <c r="E827" s="1" t="s">
        <v>137</v>
      </c>
      <c r="F827" s="1" t="s">
        <v>52</v>
      </c>
      <c r="G827" s="1" t="s">
        <v>132</v>
      </c>
      <c r="H827" s="1" t="s">
        <v>35</v>
      </c>
      <c r="I827" s="1" t="s">
        <v>24</v>
      </c>
      <c r="J827" s="7" t="s">
        <v>728</v>
      </c>
      <c r="K827" s="1" t="s">
        <v>899</v>
      </c>
      <c r="L827" s="1">
        <v>1</v>
      </c>
      <c r="M827" s="1" t="s">
        <v>97</v>
      </c>
      <c r="N827" s="1" t="s">
        <v>28</v>
      </c>
      <c r="O827" s="1">
        <v>81672.73</v>
      </c>
      <c r="P827" s="1">
        <v>3</v>
      </c>
      <c r="Q827" s="1" t="s">
        <v>40</v>
      </c>
    </row>
    <row r="828" spans="1:17">
      <c r="A828" s="1" t="s">
        <v>1449</v>
      </c>
      <c r="B828" s="1" t="s">
        <v>510</v>
      </c>
      <c r="C828" s="1">
        <v>64</v>
      </c>
      <c r="D828" s="1" t="s">
        <v>19</v>
      </c>
      <c r="E828" s="1" t="s">
        <v>32</v>
      </c>
      <c r="F828" s="1" t="s">
        <v>67</v>
      </c>
      <c r="G828" s="1" t="s">
        <v>34</v>
      </c>
      <c r="H828" s="1" t="s">
        <v>61</v>
      </c>
      <c r="I828" s="1" t="s">
        <v>62</v>
      </c>
      <c r="J828" s="7" t="s">
        <v>718</v>
      </c>
      <c r="K828" s="1" t="s">
        <v>401</v>
      </c>
      <c r="L828" s="1">
        <v>6</v>
      </c>
      <c r="M828" s="1" t="s">
        <v>27</v>
      </c>
      <c r="N828" s="1" t="s">
        <v>39</v>
      </c>
      <c r="O828" s="1">
        <v>76401</v>
      </c>
      <c r="P828" s="1">
        <v>4</v>
      </c>
      <c r="Q828" s="1" t="s">
        <v>29</v>
      </c>
    </row>
    <row r="829" spans="1:17">
      <c r="A829" s="1" t="s">
        <v>1450</v>
      </c>
      <c r="B829" s="1" t="s">
        <v>570</v>
      </c>
      <c r="C829" s="1">
        <v>51</v>
      </c>
      <c r="D829" s="1" t="s">
        <v>19</v>
      </c>
      <c r="E829" s="1" t="s">
        <v>44</v>
      </c>
      <c r="F829" s="1" t="s">
        <v>120</v>
      </c>
      <c r="G829" s="1" t="s">
        <v>68</v>
      </c>
      <c r="H829" s="1" t="s">
        <v>105</v>
      </c>
      <c r="I829" s="1" t="s">
        <v>62</v>
      </c>
      <c r="J829" s="7">
        <v>45388</v>
      </c>
      <c r="K829" s="2">
        <v>45418</v>
      </c>
      <c r="L829" s="1">
        <v>1</v>
      </c>
      <c r="M829" s="1" t="s">
        <v>56</v>
      </c>
      <c r="N829" s="1" t="s">
        <v>82</v>
      </c>
      <c r="O829" s="1">
        <v>52607.18</v>
      </c>
      <c r="P829" s="1">
        <v>4</v>
      </c>
      <c r="Q829" s="1" t="s">
        <v>40</v>
      </c>
    </row>
    <row r="830" spans="1:17">
      <c r="A830" s="1" t="s">
        <v>1451</v>
      </c>
      <c r="B830" s="1" t="s">
        <v>87</v>
      </c>
      <c r="C830" s="1">
        <v>51</v>
      </c>
      <c r="D830" s="1" t="s">
        <v>19</v>
      </c>
      <c r="E830" s="1" t="s">
        <v>20</v>
      </c>
      <c r="F830" s="1" t="s">
        <v>67</v>
      </c>
      <c r="G830" s="1" t="s">
        <v>36</v>
      </c>
      <c r="H830" s="1" t="s">
        <v>61</v>
      </c>
      <c r="I830" s="1" t="s">
        <v>24</v>
      </c>
      <c r="J830" s="7" t="s">
        <v>500</v>
      </c>
      <c r="K830" s="1" t="s">
        <v>373</v>
      </c>
      <c r="L830" s="1">
        <v>3</v>
      </c>
      <c r="M830" s="1" t="s">
        <v>38</v>
      </c>
      <c r="N830" s="1" t="s">
        <v>39</v>
      </c>
      <c r="O830" s="1">
        <v>25492.74</v>
      </c>
      <c r="P830" s="1">
        <v>2</v>
      </c>
      <c r="Q830" s="1" t="s">
        <v>29</v>
      </c>
    </row>
    <row r="831" spans="1:17">
      <c r="A831" s="1" t="s">
        <v>1452</v>
      </c>
      <c r="B831" s="1" t="s">
        <v>837</v>
      </c>
      <c r="C831" s="1">
        <v>76</v>
      </c>
      <c r="D831" s="1" t="s">
        <v>43</v>
      </c>
      <c r="E831" s="1" t="s">
        <v>247</v>
      </c>
      <c r="F831" s="1" t="s">
        <v>21</v>
      </c>
      <c r="G831" s="1" t="s">
        <v>68</v>
      </c>
      <c r="H831" s="1" t="s">
        <v>61</v>
      </c>
      <c r="I831" s="1" t="s">
        <v>62</v>
      </c>
      <c r="J831" s="7">
        <v>45748</v>
      </c>
      <c r="K831" s="2">
        <v>45778</v>
      </c>
      <c r="L831" s="1">
        <v>1</v>
      </c>
      <c r="M831" s="1" t="s">
        <v>97</v>
      </c>
      <c r="N831" s="1" t="s">
        <v>63</v>
      </c>
      <c r="O831" s="1">
        <v>49310.25</v>
      </c>
      <c r="P831" s="1">
        <v>3</v>
      </c>
      <c r="Q831" s="1" t="s">
        <v>40</v>
      </c>
    </row>
    <row r="832" spans="1:17">
      <c r="A832" s="1" t="s">
        <v>1453</v>
      </c>
      <c r="B832" s="1" t="s">
        <v>593</v>
      </c>
      <c r="C832" s="1">
        <v>59</v>
      </c>
      <c r="D832" s="1" t="s">
        <v>43</v>
      </c>
      <c r="E832" s="1" t="s">
        <v>202</v>
      </c>
      <c r="F832" s="1" t="s">
        <v>120</v>
      </c>
      <c r="G832" s="1" t="s">
        <v>132</v>
      </c>
      <c r="H832" s="1" t="s">
        <v>45</v>
      </c>
      <c r="I832" s="1" t="s">
        <v>36</v>
      </c>
      <c r="J832" s="7">
        <v>45878</v>
      </c>
      <c r="K832" s="1" t="s">
        <v>243</v>
      </c>
      <c r="L832" s="1">
        <v>5</v>
      </c>
      <c r="M832" s="1" t="s">
        <v>38</v>
      </c>
      <c r="N832" s="1" t="s">
        <v>57</v>
      </c>
      <c r="O832" s="1">
        <v>56995.03</v>
      </c>
      <c r="P832" s="1">
        <v>5</v>
      </c>
      <c r="Q832" s="1" t="s">
        <v>58</v>
      </c>
    </row>
    <row r="833" spans="1:17">
      <c r="A833" s="1" t="s">
        <v>1454</v>
      </c>
      <c r="B833" s="1" t="s">
        <v>324</v>
      </c>
      <c r="C833" s="1">
        <v>73</v>
      </c>
      <c r="D833" s="1" t="s">
        <v>19</v>
      </c>
      <c r="E833" s="1" t="s">
        <v>202</v>
      </c>
      <c r="F833" s="1" t="s">
        <v>75</v>
      </c>
      <c r="G833" s="1" t="s">
        <v>36</v>
      </c>
      <c r="H833" s="1" t="s">
        <v>88</v>
      </c>
      <c r="I833" s="1" t="s">
        <v>62</v>
      </c>
      <c r="J833" s="7">
        <v>45539</v>
      </c>
      <c r="K833" s="2">
        <v>45630</v>
      </c>
      <c r="L833" s="1">
        <v>3</v>
      </c>
      <c r="M833" s="1" t="s">
        <v>56</v>
      </c>
      <c r="N833" s="1" t="s">
        <v>82</v>
      </c>
      <c r="O833" s="1">
        <v>17555.259999999998</v>
      </c>
      <c r="P833" s="1">
        <v>4</v>
      </c>
      <c r="Q833" s="1" t="s">
        <v>58</v>
      </c>
    </row>
    <row r="834" spans="1:17">
      <c r="A834" s="1" t="s">
        <v>1455</v>
      </c>
      <c r="B834" s="1" t="s">
        <v>659</v>
      </c>
      <c r="C834" s="1">
        <v>27</v>
      </c>
      <c r="D834" s="1" t="s">
        <v>19</v>
      </c>
      <c r="E834" s="1" t="s">
        <v>117</v>
      </c>
      <c r="F834" s="1" t="s">
        <v>75</v>
      </c>
      <c r="G834" s="1" t="s">
        <v>110</v>
      </c>
      <c r="H834" s="1" t="s">
        <v>99</v>
      </c>
      <c r="I834" s="1" t="s">
        <v>24</v>
      </c>
      <c r="J834" s="7" t="s">
        <v>77</v>
      </c>
      <c r="K834" s="1" t="s">
        <v>471</v>
      </c>
      <c r="L834" s="1">
        <v>12</v>
      </c>
      <c r="M834" s="1" t="s">
        <v>27</v>
      </c>
      <c r="N834" s="1" t="s">
        <v>57</v>
      </c>
      <c r="O834" s="1">
        <v>46814.89</v>
      </c>
      <c r="P834" s="1">
        <v>4</v>
      </c>
      <c r="Q834" s="1" t="s">
        <v>72</v>
      </c>
    </row>
    <row r="835" spans="1:17">
      <c r="A835" s="1" t="s">
        <v>1456</v>
      </c>
      <c r="B835" s="1" t="s">
        <v>593</v>
      </c>
      <c r="C835" s="1">
        <v>89</v>
      </c>
      <c r="D835" s="1" t="s">
        <v>19</v>
      </c>
      <c r="E835" s="1" t="s">
        <v>32</v>
      </c>
      <c r="F835" s="1" t="s">
        <v>120</v>
      </c>
      <c r="G835" s="1" t="s">
        <v>34</v>
      </c>
      <c r="H835" s="1" t="s">
        <v>93</v>
      </c>
      <c r="I835" s="1" t="s">
        <v>24</v>
      </c>
      <c r="J835" s="7">
        <v>45512</v>
      </c>
      <c r="K835" s="2">
        <v>45604</v>
      </c>
      <c r="L835" s="1">
        <v>3</v>
      </c>
      <c r="M835" s="1" t="s">
        <v>38</v>
      </c>
      <c r="N835" s="1" t="s">
        <v>63</v>
      </c>
      <c r="O835" s="1">
        <v>70548.13</v>
      </c>
      <c r="P835" s="1">
        <v>3</v>
      </c>
      <c r="Q835" s="1" t="s">
        <v>58</v>
      </c>
    </row>
    <row r="836" spans="1:17">
      <c r="A836" s="1" t="s">
        <v>1457</v>
      </c>
      <c r="B836" s="1" t="s">
        <v>585</v>
      </c>
      <c r="C836" s="1">
        <v>26</v>
      </c>
      <c r="D836" s="1" t="s">
        <v>43</v>
      </c>
      <c r="E836" s="1" t="s">
        <v>51</v>
      </c>
      <c r="F836" s="1" t="s">
        <v>52</v>
      </c>
      <c r="G836" s="1" t="s">
        <v>132</v>
      </c>
      <c r="H836" s="1" t="s">
        <v>93</v>
      </c>
      <c r="I836" s="1" t="s">
        <v>62</v>
      </c>
      <c r="J836" s="7" t="s">
        <v>647</v>
      </c>
      <c r="K836" s="1" t="s">
        <v>351</v>
      </c>
      <c r="L836" s="1">
        <v>2</v>
      </c>
      <c r="M836" s="1" t="s">
        <v>56</v>
      </c>
      <c r="N836" s="1" t="s">
        <v>63</v>
      </c>
      <c r="O836" s="1">
        <v>71155.839999999997</v>
      </c>
      <c r="P836" s="1">
        <v>5</v>
      </c>
      <c r="Q836" s="1" t="s">
        <v>72</v>
      </c>
    </row>
    <row r="837" spans="1:17">
      <c r="A837" s="1" t="s">
        <v>1458</v>
      </c>
      <c r="B837" s="1" t="s">
        <v>1111</v>
      </c>
      <c r="C837" s="1">
        <v>37</v>
      </c>
      <c r="D837" s="1" t="s">
        <v>43</v>
      </c>
      <c r="E837" s="1" t="s">
        <v>247</v>
      </c>
      <c r="F837" s="1" t="s">
        <v>33</v>
      </c>
      <c r="G837" s="1" t="s">
        <v>110</v>
      </c>
      <c r="H837" s="1" t="s">
        <v>88</v>
      </c>
      <c r="I837" s="1" t="s">
        <v>36</v>
      </c>
      <c r="J837" s="7" t="s">
        <v>1185</v>
      </c>
      <c r="K837" s="2">
        <v>45355</v>
      </c>
      <c r="L837" s="1">
        <v>3</v>
      </c>
      <c r="M837" s="1" t="s">
        <v>27</v>
      </c>
      <c r="N837" s="1" t="s">
        <v>57</v>
      </c>
      <c r="O837" s="1">
        <v>92168.21</v>
      </c>
      <c r="P837" s="1">
        <v>4</v>
      </c>
      <c r="Q837" s="1" t="s">
        <v>40</v>
      </c>
    </row>
    <row r="838" spans="1:17">
      <c r="A838" s="1" t="s">
        <v>1459</v>
      </c>
      <c r="B838" s="1" t="s">
        <v>515</v>
      </c>
      <c r="C838" s="1">
        <v>60</v>
      </c>
      <c r="D838" s="1" t="s">
        <v>43</v>
      </c>
      <c r="E838" s="1" t="s">
        <v>66</v>
      </c>
      <c r="F838" s="1" t="s">
        <v>120</v>
      </c>
      <c r="G838" s="1" t="s">
        <v>104</v>
      </c>
      <c r="H838" s="1" t="s">
        <v>23</v>
      </c>
      <c r="I838" s="1" t="s">
        <v>62</v>
      </c>
      <c r="J838" s="7" t="s">
        <v>974</v>
      </c>
      <c r="K838" s="2">
        <v>45393</v>
      </c>
      <c r="L838" s="1">
        <v>9</v>
      </c>
      <c r="M838" s="1" t="s">
        <v>97</v>
      </c>
      <c r="N838" s="1" t="s">
        <v>57</v>
      </c>
      <c r="O838" s="1">
        <v>52214.1</v>
      </c>
      <c r="P838" s="1">
        <v>5</v>
      </c>
      <c r="Q838" s="1" t="s">
        <v>29</v>
      </c>
    </row>
    <row r="839" spans="1:17">
      <c r="A839" s="1" t="s">
        <v>1460</v>
      </c>
      <c r="B839" s="1" t="s">
        <v>321</v>
      </c>
      <c r="C839" s="1">
        <v>6</v>
      </c>
      <c r="D839" s="1" t="s">
        <v>43</v>
      </c>
      <c r="E839" s="1" t="s">
        <v>137</v>
      </c>
      <c r="F839" s="1" t="s">
        <v>75</v>
      </c>
      <c r="G839" s="1" t="s">
        <v>110</v>
      </c>
      <c r="H839" s="1" t="s">
        <v>69</v>
      </c>
      <c r="I839" s="1" t="s">
        <v>24</v>
      </c>
      <c r="J839" s="7">
        <v>45694</v>
      </c>
      <c r="K839" s="2">
        <v>45722</v>
      </c>
      <c r="L839" s="1">
        <v>1</v>
      </c>
      <c r="M839" s="1" t="s">
        <v>27</v>
      </c>
      <c r="N839" s="1" t="s">
        <v>28</v>
      </c>
      <c r="O839" s="1">
        <v>42919.93</v>
      </c>
      <c r="P839" s="1">
        <v>3</v>
      </c>
      <c r="Q839" s="1" t="s">
        <v>72</v>
      </c>
    </row>
    <row r="840" spans="1:17">
      <c r="A840" s="1" t="s">
        <v>1461</v>
      </c>
      <c r="B840" s="1" t="s">
        <v>344</v>
      </c>
      <c r="C840" s="1">
        <v>74</v>
      </c>
      <c r="D840" s="1" t="s">
        <v>19</v>
      </c>
      <c r="E840" s="1" t="s">
        <v>51</v>
      </c>
      <c r="F840" s="1" t="s">
        <v>52</v>
      </c>
      <c r="G840" s="1" t="s">
        <v>132</v>
      </c>
      <c r="H840" s="1" t="s">
        <v>88</v>
      </c>
      <c r="I840" s="1" t="s">
        <v>62</v>
      </c>
      <c r="J840" s="7" t="s">
        <v>890</v>
      </c>
      <c r="K840" s="1" t="s">
        <v>1462</v>
      </c>
      <c r="L840" s="1">
        <v>6</v>
      </c>
      <c r="M840" s="1" t="s">
        <v>56</v>
      </c>
      <c r="N840" s="1" t="s">
        <v>90</v>
      </c>
      <c r="O840" s="1">
        <v>47710.14</v>
      </c>
      <c r="P840" s="1">
        <v>4</v>
      </c>
      <c r="Q840" s="1" t="s">
        <v>40</v>
      </c>
    </row>
    <row r="841" spans="1:17">
      <c r="A841" s="1" t="s">
        <v>1463</v>
      </c>
      <c r="B841" s="1" t="s">
        <v>221</v>
      </c>
      <c r="C841" s="1">
        <v>53</v>
      </c>
      <c r="D841" s="1" t="s">
        <v>27</v>
      </c>
      <c r="E841" s="1" t="s">
        <v>66</v>
      </c>
      <c r="F841" s="1" t="s">
        <v>75</v>
      </c>
      <c r="G841" s="1" t="s">
        <v>132</v>
      </c>
      <c r="H841" s="1" t="s">
        <v>99</v>
      </c>
      <c r="I841" s="1" t="s">
        <v>24</v>
      </c>
      <c r="J841" s="7" t="s">
        <v>1093</v>
      </c>
      <c r="K841" s="1" t="s">
        <v>80</v>
      </c>
      <c r="L841" s="1">
        <v>6</v>
      </c>
      <c r="M841" s="1" t="s">
        <v>38</v>
      </c>
      <c r="N841" s="1" t="s">
        <v>85</v>
      </c>
      <c r="O841" s="1">
        <v>77202.399999999994</v>
      </c>
      <c r="P841" s="1">
        <v>5</v>
      </c>
      <c r="Q841" s="1" t="s">
        <v>58</v>
      </c>
    </row>
    <row r="842" spans="1:17">
      <c r="A842" s="1" t="s">
        <v>1464</v>
      </c>
      <c r="B842" s="1" t="s">
        <v>291</v>
      </c>
      <c r="C842" s="1">
        <v>39</v>
      </c>
      <c r="D842" s="1" t="s">
        <v>19</v>
      </c>
      <c r="E842" s="1" t="s">
        <v>117</v>
      </c>
      <c r="F842" s="1" t="s">
        <v>33</v>
      </c>
      <c r="G842" s="1" t="s">
        <v>34</v>
      </c>
      <c r="H842" s="1" t="s">
        <v>99</v>
      </c>
      <c r="I842" s="1" t="s">
        <v>36</v>
      </c>
      <c r="J842" s="7">
        <v>45876</v>
      </c>
      <c r="K842" s="2">
        <v>45907</v>
      </c>
      <c r="L842" s="1">
        <v>1</v>
      </c>
      <c r="M842" s="1" t="s">
        <v>97</v>
      </c>
      <c r="N842" s="1" t="s">
        <v>82</v>
      </c>
      <c r="O842" s="1">
        <v>18679.12</v>
      </c>
      <c r="P842" s="1">
        <v>3</v>
      </c>
      <c r="Q842" s="1" t="s">
        <v>58</v>
      </c>
    </row>
    <row r="843" spans="1:17">
      <c r="A843" s="1" t="s">
        <v>1465</v>
      </c>
      <c r="B843" s="1" t="s">
        <v>259</v>
      </c>
      <c r="C843" s="1">
        <v>2</v>
      </c>
      <c r="D843" s="1" t="s">
        <v>27</v>
      </c>
      <c r="E843" s="1" t="s">
        <v>159</v>
      </c>
      <c r="F843" s="1" t="s">
        <v>75</v>
      </c>
      <c r="G843" s="1" t="s">
        <v>68</v>
      </c>
      <c r="H843" s="1" t="s">
        <v>76</v>
      </c>
      <c r="I843" s="1" t="s">
        <v>62</v>
      </c>
      <c r="J843" s="7">
        <v>45725</v>
      </c>
      <c r="K843" s="2">
        <v>45817</v>
      </c>
      <c r="L843" s="1">
        <v>3</v>
      </c>
      <c r="M843" s="1" t="s">
        <v>38</v>
      </c>
      <c r="N843" s="1" t="s">
        <v>82</v>
      </c>
      <c r="O843" s="1">
        <v>57205.82</v>
      </c>
      <c r="P843" s="1">
        <v>5</v>
      </c>
      <c r="Q843" s="1" t="s">
        <v>72</v>
      </c>
    </row>
    <row r="844" spans="1:17">
      <c r="A844" s="1" t="s">
        <v>1466</v>
      </c>
      <c r="B844" s="1" t="s">
        <v>857</v>
      </c>
      <c r="C844" s="1">
        <v>33</v>
      </c>
      <c r="D844" s="1" t="s">
        <v>27</v>
      </c>
      <c r="E844" s="1" t="s">
        <v>137</v>
      </c>
      <c r="F844" s="1" t="s">
        <v>75</v>
      </c>
      <c r="G844" s="1" t="s">
        <v>36</v>
      </c>
      <c r="H844" s="1" t="s">
        <v>69</v>
      </c>
      <c r="I844" s="1" t="s">
        <v>62</v>
      </c>
      <c r="J844" s="7" t="s">
        <v>1280</v>
      </c>
      <c r="K844" s="2">
        <v>45843</v>
      </c>
      <c r="L844" s="1">
        <v>8</v>
      </c>
      <c r="M844" s="1" t="s">
        <v>48</v>
      </c>
      <c r="N844" s="1" t="s">
        <v>57</v>
      </c>
      <c r="O844" s="1">
        <v>71596.14</v>
      </c>
      <c r="P844" s="1">
        <v>4</v>
      </c>
      <c r="Q844" s="1" t="s">
        <v>40</v>
      </c>
    </row>
    <row r="845" spans="1:17">
      <c r="A845" s="1" t="s">
        <v>1467</v>
      </c>
      <c r="B845" s="1" t="s">
        <v>302</v>
      </c>
      <c r="C845" s="1">
        <v>70</v>
      </c>
      <c r="D845" s="1" t="s">
        <v>19</v>
      </c>
      <c r="E845" s="1" t="s">
        <v>202</v>
      </c>
      <c r="F845" s="1" t="s">
        <v>120</v>
      </c>
      <c r="G845" s="1" t="s">
        <v>22</v>
      </c>
      <c r="H845" s="1" t="s">
        <v>93</v>
      </c>
      <c r="I845" s="1" t="s">
        <v>62</v>
      </c>
      <c r="J845" s="7" t="s">
        <v>926</v>
      </c>
      <c r="K845" s="2">
        <v>45295</v>
      </c>
      <c r="L845" s="1">
        <v>7</v>
      </c>
      <c r="M845" s="1" t="s">
        <v>27</v>
      </c>
      <c r="N845" s="1" t="s">
        <v>39</v>
      </c>
      <c r="O845" s="1">
        <v>39729.129999999997</v>
      </c>
      <c r="P845" s="1">
        <v>4</v>
      </c>
      <c r="Q845" s="1" t="s">
        <v>58</v>
      </c>
    </row>
    <row r="846" spans="1:17">
      <c r="A846" s="1" t="s">
        <v>1468</v>
      </c>
      <c r="B846" s="1" t="s">
        <v>443</v>
      </c>
      <c r="C846" s="1">
        <v>28</v>
      </c>
      <c r="D846" s="1" t="s">
        <v>27</v>
      </c>
      <c r="E846" s="1" t="s">
        <v>51</v>
      </c>
      <c r="F846" s="1" t="s">
        <v>52</v>
      </c>
      <c r="G846" s="1" t="s">
        <v>104</v>
      </c>
      <c r="H846" s="1" t="s">
        <v>45</v>
      </c>
      <c r="I846" s="1" t="s">
        <v>24</v>
      </c>
      <c r="J846" s="7" t="s">
        <v>1469</v>
      </c>
      <c r="K846" s="2">
        <v>45841</v>
      </c>
      <c r="L846" s="1">
        <v>11</v>
      </c>
      <c r="M846" s="1" t="s">
        <v>48</v>
      </c>
      <c r="N846" s="1" t="s">
        <v>82</v>
      </c>
      <c r="O846" s="1">
        <v>60814.13</v>
      </c>
      <c r="P846" s="1">
        <v>4</v>
      </c>
      <c r="Q846" s="1" t="s">
        <v>72</v>
      </c>
    </row>
    <row r="847" spans="1:17">
      <c r="A847" s="1" t="s">
        <v>1470</v>
      </c>
      <c r="B847" s="1" t="s">
        <v>548</v>
      </c>
      <c r="C847" s="1">
        <v>90</v>
      </c>
      <c r="D847" s="1" t="s">
        <v>27</v>
      </c>
      <c r="E847" s="1" t="s">
        <v>159</v>
      </c>
      <c r="F847" s="1" t="s">
        <v>21</v>
      </c>
      <c r="G847" s="1" t="s">
        <v>53</v>
      </c>
      <c r="H847" s="1" t="s">
        <v>76</v>
      </c>
      <c r="I847" s="1" t="s">
        <v>36</v>
      </c>
      <c r="J847" s="7" t="s">
        <v>482</v>
      </c>
      <c r="K847" s="1" t="s">
        <v>484</v>
      </c>
      <c r="L847" s="1">
        <v>1</v>
      </c>
      <c r="M847" s="1" t="s">
        <v>97</v>
      </c>
      <c r="N847" s="1" t="s">
        <v>39</v>
      </c>
      <c r="O847" s="1">
        <v>26794.69</v>
      </c>
      <c r="P847" s="1">
        <v>5</v>
      </c>
      <c r="Q847" s="1" t="s">
        <v>29</v>
      </c>
    </row>
    <row r="848" spans="1:17">
      <c r="A848" s="1" t="s">
        <v>1471</v>
      </c>
      <c r="B848" s="1" t="s">
        <v>264</v>
      </c>
      <c r="C848" s="1">
        <v>49</v>
      </c>
      <c r="D848" s="1" t="s">
        <v>19</v>
      </c>
      <c r="E848" s="1" t="s">
        <v>66</v>
      </c>
      <c r="F848" s="1" t="s">
        <v>21</v>
      </c>
      <c r="G848" s="1" t="s">
        <v>104</v>
      </c>
      <c r="H848" s="1" t="s">
        <v>61</v>
      </c>
      <c r="I848" s="1" t="s">
        <v>36</v>
      </c>
      <c r="J848" s="7">
        <v>45423</v>
      </c>
      <c r="K848" s="2">
        <v>45484</v>
      </c>
      <c r="L848" s="1">
        <v>2</v>
      </c>
      <c r="M848" s="1" t="s">
        <v>27</v>
      </c>
      <c r="N848" s="1" t="s">
        <v>90</v>
      </c>
      <c r="O848" s="1">
        <v>64109.440000000002</v>
      </c>
      <c r="P848" s="1">
        <v>5</v>
      </c>
      <c r="Q848" s="1" t="s">
        <v>72</v>
      </c>
    </row>
    <row r="849" spans="1:17">
      <c r="A849" s="1" t="s">
        <v>1472</v>
      </c>
      <c r="B849" s="1" t="s">
        <v>226</v>
      </c>
      <c r="C849" s="1">
        <v>57</v>
      </c>
      <c r="D849" s="1" t="s">
        <v>43</v>
      </c>
      <c r="E849" s="1" t="s">
        <v>32</v>
      </c>
      <c r="F849" s="1" t="s">
        <v>75</v>
      </c>
      <c r="G849" s="1" t="s">
        <v>53</v>
      </c>
      <c r="H849" s="1" t="s">
        <v>23</v>
      </c>
      <c r="I849" s="1" t="s">
        <v>36</v>
      </c>
      <c r="J849" s="7">
        <v>45931</v>
      </c>
      <c r="K849" s="1" t="s">
        <v>525</v>
      </c>
      <c r="L849" s="1">
        <v>3</v>
      </c>
      <c r="M849" s="1" t="s">
        <v>38</v>
      </c>
      <c r="N849" s="1" t="s">
        <v>63</v>
      </c>
      <c r="O849" s="1">
        <v>32138.71</v>
      </c>
      <c r="P849" s="1">
        <v>3</v>
      </c>
      <c r="Q849" s="1" t="s">
        <v>40</v>
      </c>
    </row>
    <row r="850" spans="1:17">
      <c r="A850" s="1" t="s">
        <v>1473</v>
      </c>
      <c r="B850" s="1" t="s">
        <v>548</v>
      </c>
      <c r="C850" s="1">
        <v>61</v>
      </c>
      <c r="D850" s="1" t="s">
        <v>43</v>
      </c>
      <c r="E850" s="1" t="s">
        <v>51</v>
      </c>
      <c r="F850" s="1" t="s">
        <v>120</v>
      </c>
      <c r="G850" s="1" t="s">
        <v>22</v>
      </c>
      <c r="H850" s="1" t="s">
        <v>99</v>
      </c>
      <c r="I850" s="1" t="s">
        <v>24</v>
      </c>
      <c r="J850" s="7">
        <v>45722</v>
      </c>
      <c r="K850" s="1" t="s">
        <v>1264</v>
      </c>
      <c r="L850" s="1">
        <v>15</v>
      </c>
      <c r="M850" s="1" t="s">
        <v>38</v>
      </c>
      <c r="N850" s="1" t="s">
        <v>57</v>
      </c>
      <c r="O850" s="1">
        <v>29782.07</v>
      </c>
      <c r="P850" s="1">
        <v>4</v>
      </c>
      <c r="Q850" s="1" t="s">
        <v>72</v>
      </c>
    </row>
    <row r="851" spans="1:17">
      <c r="A851" s="1" t="s">
        <v>1474</v>
      </c>
      <c r="B851" s="1" t="s">
        <v>18</v>
      </c>
      <c r="C851" s="1">
        <v>85</v>
      </c>
      <c r="D851" s="1" t="s">
        <v>19</v>
      </c>
      <c r="E851" s="1" t="s">
        <v>51</v>
      </c>
      <c r="F851" s="1" t="s">
        <v>52</v>
      </c>
      <c r="G851" s="1" t="s">
        <v>36</v>
      </c>
      <c r="H851" s="1" t="s">
        <v>99</v>
      </c>
      <c r="I851" s="1" t="s">
        <v>62</v>
      </c>
      <c r="J851" s="7" t="s">
        <v>431</v>
      </c>
      <c r="K851" s="1" t="s">
        <v>738</v>
      </c>
      <c r="L851" s="1">
        <v>2</v>
      </c>
      <c r="M851" s="1" t="s">
        <v>27</v>
      </c>
      <c r="N851" s="1" t="s">
        <v>90</v>
      </c>
      <c r="O851" s="1">
        <v>39145.67</v>
      </c>
      <c r="P851" s="1">
        <v>4</v>
      </c>
      <c r="Q851" s="1" t="s">
        <v>72</v>
      </c>
    </row>
    <row r="852" spans="1:17">
      <c r="A852" s="1" t="s">
        <v>1475</v>
      </c>
      <c r="B852" s="1" t="s">
        <v>553</v>
      </c>
      <c r="C852" s="1">
        <v>39</v>
      </c>
      <c r="D852" s="1" t="s">
        <v>19</v>
      </c>
      <c r="E852" s="1" t="s">
        <v>51</v>
      </c>
      <c r="F852" s="1" t="s">
        <v>52</v>
      </c>
      <c r="G852" s="1" t="s">
        <v>132</v>
      </c>
      <c r="H852" s="1" t="s">
        <v>93</v>
      </c>
      <c r="I852" s="1" t="s">
        <v>24</v>
      </c>
      <c r="J852" s="7" t="s">
        <v>349</v>
      </c>
      <c r="K852" s="2">
        <v>45394</v>
      </c>
      <c r="L852" s="1">
        <v>11</v>
      </c>
      <c r="M852" s="1" t="s">
        <v>27</v>
      </c>
      <c r="N852" s="1" t="s">
        <v>39</v>
      </c>
      <c r="O852" s="1">
        <v>58642.63</v>
      </c>
      <c r="P852" s="1">
        <v>3</v>
      </c>
      <c r="Q852" s="1" t="s">
        <v>72</v>
      </c>
    </row>
    <row r="853" spans="1:17">
      <c r="A853" s="1" t="s">
        <v>1476</v>
      </c>
      <c r="B853" s="1" t="s">
        <v>570</v>
      </c>
      <c r="C853" s="1">
        <v>19</v>
      </c>
      <c r="D853" s="1" t="s">
        <v>27</v>
      </c>
      <c r="E853" s="1" t="s">
        <v>137</v>
      </c>
      <c r="F853" s="1" t="s">
        <v>52</v>
      </c>
      <c r="G853" s="1" t="s">
        <v>104</v>
      </c>
      <c r="H853" s="1" t="s">
        <v>23</v>
      </c>
      <c r="I853" s="1" t="s">
        <v>62</v>
      </c>
      <c r="J853" s="7">
        <v>45570</v>
      </c>
      <c r="K853" s="2">
        <v>45601</v>
      </c>
      <c r="L853" s="1">
        <v>1</v>
      </c>
      <c r="M853" s="1" t="s">
        <v>56</v>
      </c>
      <c r="N853" s="1" t="s">
        <v>39</v>
      </c>
      <c r="O853" s="1">
        <v>84260.29</v>
      </c>
      <c r="P853" s="1">
        <v>2</v>
      </c>
      <c r="Q853" s="1" t="s">
        <v>40</v>
      </c>
    </row>
    <row r="854" spans="1:17">
      <c r="A854" s="1" t="s">
        <v>1477</v>
      </c>
      <c r="B854" s="1" t="s">
        <v>529</v>
      </c>
      <c r="C854" s="1">
        <v>53</v>
      </c>
      <c r="D854" s="1" t="s">
        <v>19</v>
      </c>
      <c r="E854" s="1" t="s">
        <v>66</v>
      </c>
      <c r="F854" s="1" t="s">
        <v>33</v>
      </c>
      <c r="G854" s="1" t="s">
        <v>34</v>
      </c>
      <c r="H854" s="1" t="s">
        <v>61</v>
      </c>
      <c r="I854" s="1" t="s">
        <v>24</v>
      </c>
      <c r="J854" s="7" t="s">
        <v>1478</v>
      </c>
      <c r="K854" s="1" t="s">
        <v>148</v>
      </c>
      <c r="L854" s="1">
        <v>12</v>
      </c>
      <c r="M854" s="1" t="s">
        <v>27</v>
      </c>
      <c r="N854" s="1" t="s">
        <v>57</v>
      </c>
      <c r="O854" s="1">
        <v>155453.45000000001</v>
      </c>
      <c r="P854" s="1">
        <v>4</v>
      </c>
      <c r="Q854" s="1" t="s">
        <v>29</v>
      </c>
    </row>
    <row r="855" spans="1:17">
      <c r="A855" s="1" t="s">
        <v>1479</v>
      </c>
      <c r="B855" s="1" t="s">
        <v>636</v>
      </c>
      <c r="C855" s="1">
        <v>31</v>
      </c>
      <c r="D855" s="1" t="s">
        <v>27</v>
      </c>
      <c r="E855" s="1" t="s">
        <v>247</v>
      </c>
      <c r="F855" s="1" t="s">
        <v>120</v>
      </c>
      <c r="G855" s="1" t="s">
        <v>34</v>
      </c>
      <c r="H855" s="1" t="s">
        <v>76</v>
      </c>
      <c r="I855" s="1" t="s">
        <v>62</v>
      </c>
      <c r="J855" s="7" t="s">
        <v>155</v>
      </c>
      <c r="K855" s="1" t="s">
        <v>1100</v>
      </c>
      <c r="L855" s="1">
        <v>4</v>
      </c>
      <c r="M855" s="1" t="s">
        <v>38</v>
      </c>
      <c r="N855" s="1" t="s">
        <v>57</v>
      </c>
      <c r="O855" s="1">
        <v>21496.91</v>
      </c>
      <c r="P855" s="1">
        <v>5</v>
      </c>
      <c r="Q855" s="1" t="s">
        <v>40</v>
      </c>
    </row>
    <row r="856" spans="1:17">
      <c r="A856" s="1" t="s">
        <v>1480</v>
      </c>
      <c r="B856" s="1" t="s">
        <v>453</v>
      </c>
      <c r="C856" s="1">
        <v>39</v>
      </c>
      <c r="D856" s="1" t="s">
        <v>27</v>
      </c>
      <c r="E856" s="1" t="s">
        <v>159</v>
      </c>
      <c r="F856" s="1" t="s">
        <v>120</v>
      </c>
      <c r="G856" s="1" t="s">
        <v>104</v>
      </c>
      <c r="H856" s="1" t="s">
        <v>23</v>
      </c>
      <c r="I856" s="1" t="s">
        <v>36</v>
      </c>
      <c r="J856" s="7">
        <v>45970</v>
      </c>
      <c r="K856" s="1" t="s">
        <v>1481</v>
      </c>
      <c r="L856" s="1">
        <v>16</v>
      </c>
      <c r="M856" s="1" t="s">
        <v>97</v>
      </c>
      <c r="N856" s="1" t="s">
        <v>82</v>
      </c>
      <c r="O856" s="1">
        <v>59510.61</v>
      </c>
      <c r="P856" s="1">
        <v>5</v>
      </c>
      <c r="Q856" s="1" t="s">
        <v>72</v>
      </c>
    </row>
    <row r="857" spans="1:17">
      <c r="A857" s="1" t="s">
        <v>1482</v>
      </c>
      <c r="B857" s="1" t="s">
        <v>419</v>
      </c>
      <c r="C857" s="1">
        <v>33</v>
      </c>
      <c r="D857" s="1" t="s">
        <v>27</v>
      </c>
      <c r="E857" s="1" t="s">
        <v>117</v>
      </c>
      <c r="F857" s="1" t="s">
        <v>120</v>
      </c>
      <c r="G857" s="1" t="s">
        <v>53</v>
      </c>
      <c r="H857" s="1" t="s">
        <v>61</v>
      </c>
      <c r="I857" s="1" t="s">
        <v>24</v>
      </c>
      <c r="J857" s="7">
        <v>45301</v>
      </c>
      <c r="K857" s="2">
        <v>45361</v>
      </c>
      <c r="L857" s="1">
        <v>2</v>
      </c>
      <c r="M857" s="1" t="s">
        <v>97</v>
      </c>
      <c r="N857" s="1" t="s">
        <v>63</v>
      </c>
      <c r="O857" s="1">
        <v>80707.070000000007</v>
      </c>
      <c r="P857" s="1">
        <v>3</v>
      </c>
      <c r="Q857" s="1" t="s">
        <v>29</v>
      </c>
    </row>
    <row r="858" spans="1:17">
      <c r="A858" s="1" t="s">
        <v>1483</v>
      </c>
      <c r="B858" s="1" t="s">
        <v>507</v>
      </c>
      <c r="C858" s="1">
        <v>79</v>
      </c>
      <c r="D858" s="1" t="s">
        <v>19</v>
      </c>
      <c r="E858" s="1" t="s">
        <v>20</v>
      </c>
      <c r="F858" s="1" t="s">
        <v>67</v>
      </c>
      <c r="G858" s="1" t="s">
        <v>53</v>
      </c>
      <c r="H858" s="1" t="s">
        <v>61</v>
      </c>
      <c r="I858" s="1" t="s">
        <v>24</v>
      </c>
      <c r="J858" s="7">
        <v>45789</v>
      </c>
      <c r="K858" s="2">
        <v>45850</v>
      </c>
      <c r="L858" s="1">
        <v>2</v>
      </c>
      <c r="M858" s="1" t="s">
        <v>38</v>
      </c>
      <c r="N858" s="1" t="s">
        <v>85</v>
      </c>
      <c r="O858" s="1">
        <v>121091.83</v>
      </c>
      <c r="P858" s="1">
        <v>3</v>
      </c>
      <c r="Q858" s="1" t="s">
        <v>58</v>
      </c>
    </row>
    <row r="859" spans="1:17">
      <c r="A859" s="1" t="s">
        <v>1484</v>
      </c>
      <c r="B859" s="1" t="s">
        <v>515</v>
      </c>
      <c r="C859" s="1">
        <v>48</v>
      </c>
      <c r="D859" s="1" t="s">
        <v>19</v>
      </c>
      <c r="E859" s="1" t="s">
        <v>32</v>
      </c>
      <c r="F859" s="1" t="s">
        <v>33</v>
      </c>
      <c r="G859" s="1" t="s">
        <v>104</v>
      </c>
      <c r="H859" s="1" t="s">
        <v>23</v>
      </c>
      <c r="I859" s="1" t="s">
        <v>24</v>
      </c>
      <c r="J859" s="7">
        <v>45779</v>
      </c>
      <c r="K859" s="2">
        <v>45993</v>
      </c>
      <c r="L859" s="1">
        <v>7</v>
      </c>
      <c r="M859" s="1" t="s">
        <v>97</v>
      </c>
      <c r="N859" s="1" t="s">
        <v>28</v>
      </c>
      <c r="O859" s="1">
        <v>36922.160000000003</v>
      </c>
      <c r="P859" s="1">
        <v>3</v>
      </c>
      <c r="Q859" s="1" t="s">
        <v>72</v>
      </c>
    </row>
    <row r="860" spans="1:17">
      <c r="A860" s="1" t="s">
        <v>1485</v>
      </c>
      <c r="B860" s="1" t="s">
        <v>194</v>
      </c>
      <c r="C860" s="1">
        <v>25</v>
      </c>
      <c r="D860" s="1" t="s">
        <v>43</v>
      </c>
      <c r="E860" s="1" t="s">
        <v>159</v>
      </c>
      <c r="F860" s="1" t="s">
        <v>33</v>
      </c>
      <c r="G860" s="1" t="s">
        <v>36</v>
      </c>
      <c r="H860" s="1" t="s">
        <v>61</v>
      </c>
      <c r="I860" s="1" t="s">
        <v>62</v>
      </c>
      <c r="J860" s="7" t="s">
        <v>934</v>
      </c>
      <c r="K860" s="1" t="s">
        <v>987</v>
      </c>
      <c r="L860" s="1">
        <v>10</v>
      </c>
      <c r="M860" s="1" t="s">
        <v>38</v>
      </c>
      <c r="N860" s="1" t="s">
        <v>28</v>
      </c>
      <c r="O860" s="1">
        <v>39245.230000000003</v>
      </c>
      <c r="P860" s="1">
        <v>5</v>
      </c>
      <c r="Q860" s="1" t="s">
        <v>29</v>
      </c>
    </row>
    <row r="861" spans="1:17">
      <c r="A861" s="1" t="s">
        <v>1486</v>
      </c>
      <c r="B861" s="1" t="s">
        <v>892</v>
      </c>
      <c r="C861" s="1">
        <v>24</v>
      </c>
      <c r="D861" s="1" t="s">
        <v>19</v>
      </c>
      <c r="E861" s="1" t="s">
        <v>202</v>
      </c>
      <c r="F861" s="1" t="s">
        <v>75</v>
      </c>
      <c r="G861" s="1" t="s">
        <v>110</v>
      </c>
      <c r="H861" s="1" t="s">
        <v>45</v>
      </c>
      <c r="I861" s="1" t="s">
        <v>62</v>
      </c>
      <c r="J861" s="7">
        <v>45778</v>
      </c>
      <c r="K861" s="2">
        <v>45809</v>
      </c>
      <c r="L861" s="1">
        <v>1</v>
      </c>
      <c r="M861" s="1" t="s">
        <v>27</v>
      </c>
      <c r="N861" s="1" t="s">
        <v>63</v>
      </c>
      <c r="O861" s="1">
        <v>144679.82</v>
      </c>
      <c r="P861" s="1">
        <v>3</v>
      </c>
      <c r="Q861" s="1" t="s">
        <v>40</v>
      </c>
    </row>
    <row r="862" spans="1:17">
      <c r="A862" s="1" t="s">
        <v>1487</v>
      </c>
      <c r="B862" s="1" t="s">
        <v>510</v>
      </c>
      <c r="C862" s="1">
        <v>37</v>
      </c>
      <c r="D862" s="1" t="s">
        <v>43</v>
      </c>
      <c r="E862" s="1" t="s">
        <v>20</v>
      </c>
      <c r="F862" s="1" t="s">
        <v>21</v>
      </c>
      <c r="G862" s="1" t="s">
        <v>68</v>
      </c>
      <c r="H862" s="1" t="s">
        <v>23</v>
      </c>
      <c r="I862" s="1" t="s">
        <v>62</v>
      </c>
      <c r="J862" s="7">
        <v>45360</v>
      </c>
      <c r="K862" s="2">
        <v>45421</v>
      </c>
      <c r="L862" s="1">
        <v>2</v>
      </c>
      <c r="M862" s="1" t="s">
        <v>56</v>
      </c>
      <c r="N862" s="1" t="s">
        <v>90</v>
      </c>
      <c r="O862" s="1">
        <v>37809.26</v>
      </c>
      <c r="P862" s="1">
        <v>3</v>
      </c>
      <c r="Q862" s="1" t="s">
        <v>72</v>
      </c>
    </row>
    <row r="863" spans="1:17">
      <c r="A863" s="1" t="s">
        <v>1488</v>
      </c>
      <c r="B863" s="1" t="s">
        <v>391</v>
      </c>
      <c r="C863" s="1">
        <v>21</v>
      </c>
      <c r="D863" s="1" t="s">
        <v>19</v>
      </c>
      <c r="E863" s="1" t="s">
        <v>159</v>
      </c>
      <c r="F863" s="1" t="s">
        <v>67</v>
      </c>
      <c r="G863" s="1" t="s">
        <v>104</v>
      </c>
      <c r="H863" s="1" t="s">
        <v>45</v>
      </c>
      <c r="I863" s="1" t="s">
        <v>36</v>
      </c>
      <c r="J863" s="7">
        <v>45846</v>
      </c>
      <c r="K863" s="2">
        <v>45999</v>
      </c>
      <c r="L863" s="1">
        <v>5</v>
      </c>
      <c r="M863" s="1" t="s">
        <v>56</v>
      </c>
      <c r="N863" s="1" t="s">
        <v>85</v>
      </c>
      <c r="O863" s="1">
        <v>18984.91</v>
      </c>
      <c r="P863" s="1">
        <v>5</v>
      </c>
      <c r="Q863" s="1" t="s">
        <v>40</v>
      </c>
    </row>
    <row r="864" spans="1:17">
      <c r="A864" s="1" t="s">
        <v>1489</v>
      </c>
      <c r="B864" s="1" t="s">
        <v>766</v>
      </c>
      <c r="C864" s="1">
        <v>14</v>
      </c>
      <c r="D864" s="1" t="s">
        <v>19</v>
      </c>
      <c r="E864" s="1" t="s">
        <v>159</v>
      </c>
      <c r="F864" s="1" t="s">
        <v>33</v>
      </c>
      <c r="G864" s="1" t="s">
        <v>36</v>
      </c>
      <c r="H864" s="1" t="s">
        <v>93</v>
      </c>
      <c r="I864" s="1" t="s">
        <v>36</v>
      </c>
      <c r="J864" s="7">
        <v>45300</v>
      </c>
      <c r="K864" s="2">
        <v>45360</v>
      </c>
      <c r="L864" s="1">
        <v>2</v>
      </c>
      <c r="M864" s="1" t="s">
        <v>97</v>
      </c>
      <c r="N864" s="1" t="s">
        <v>39</v>
      </c>
      <c r="O864" s="1">
        <v>27577.31</v>
      </c>
      <c r="P864" s="1">
        <v>2</v>
      </c>
      <c r="Q864" s="1" t="s">
        <v>58</v>
      </c>
    </row>
    <row r="865" spans="1:17">
      <c r="A865" s="1" t="s">
        <v>1490</v>
      </c>
      <c r="B865" s="1" t="s">
        <v>529</v>
      </c>
      <c r="C865" s="1">
        <v>3</v>
      </c>
      <c r="D865" s="1" t="s">
        <v>27</v>
      </c>
      <c r="E865" s="1" t="s">
        <v>247</v>
      </c>
      <c r="F865" s="1" t="s">
        <v>21</v>
      </c>
      <c r="G865" s="1" t="s">
        <v>53</v>
      </c>
      <c r="H865" s="1" t="s">
        <v>99</v>
      </c>
      <c r="I865" s="1" t="s">
        <v>24</v>
      </c>
      <c r="J865" s="7">
        <v>45422</v>
      </c>
      <c r="K865" s="1" t="s">
        <v>460</v>
      </c>
      <c r="L865" s="1">
        <v>9</v>
      </c>
      <c r="M865" s="1" t="s">
        <v>48</v>
      </c>
      <c r="N865" s="1" t="s">
        <v>90</v>
      </c>
      <c r="O865" s="1">
        <v>106185.83</v>
      </c>
      <c r="P865" s="1">
        <v>5</v>
      </c>
      <c r="Q865" s="1" t="s">
        <v>58</v>
      </c>
    </row>
    <row r="866" spans="1:17">
      <c r="A866" s="1" t="s">
        <v>1491</v>
      </c>
      <c r="B866" s="1" t="s">
        <v>857</v>
      </c>
      <c r="C866" s="1">
        <v>22</v>
      </c>
      <c r="D866" s="1" t="s">
        <v>43</v>
      </c>
      <c r="E866" s="1" t="s">
        <v>44</v>
      </c>
      <c r="F866" s="1" t="s">
        <v>21</v>
      </c>
      <c r="G866" s="1" t="s">
        <v>132</v>
      </c>
      <c r="H866" s="1" t="s">
        <v>105</v>
      </c>
      <c r="I866" s="1" t="s">
        <v>24</v>
      </c>
      <c r="J866" s="7" t="s">
        <v>262</v>
      </c>
      <c r="K866" s="2">
        <v>45330</v>
      </c>
      <c r="L866" s="1">
        <v>2</v>
      </c>
      <c r="M866" s="1" t="s">
        <v>48</v>
      </c>
      <c r="N866" s="1" t="s">
        <v>57</v>
      </c>
      <c r="O866" s="1">
        <v>77587.039999999994</v>
      </c>
      <c r="P866" s="1">
        <v>4</v>
      </c>
      <c r="Q866" s="1" t="s">
        <v>72</v>
      </c>
    </row>
    <row r="867" spans="1:17">
      <c r="A867" s="1" t="s">
        <v>1492</v>
      </c>
      <c r="B867" s="1" t="s">
        <v>712</v>
      </c>
      <c r="C867" s="1">
        <v>50</v>
      </c>
      <c r="D867" s="1" t="s">
        <v>27</v>
      </c>
      <c r="E867" s="1" t="s">
        <v>247</v>
      </c>
      <c r="F867" s="1" t="s">
        <v>120</v>
      </c>
      <c r="G867" s="1" t="s">
        <v>104</v>
      </c>
      <c r="H867" s="1" t="s">
        <v>76</v>
      </c>
      <c r="I867" s="1" t="s">
        <v>62</v>
      </c>
      <c r="J867" s="7" t="s">
        <v>441</v>
      </c>
      <c r="K867" s="1" t="s">
        <v>217</v>
      </c>
      <c r="L867" s="1">
        <v>3</v>
      </c>
      <c r="M867" s="1" t="s">
        <v>56</v>
      </c>
      <c r="N867" s="1" t="s">
        <v>85</v>
      </c>
      <c r="O867" s="1">
        <v>18530.650000000001</v>
      </c>
      <c r="P867" s="1">
        <v>3</v>
      </c>
      <c r="Q867" s="1" t="s">
        <v>29</v>
      </c>
    </row>
    <row r="868" spans="1:17">
      <c r="A868" s="1" t="s">
        <v>1493</v>
      </c>
      <c r="B868" s="1" t="s">
        <v>234</v>
      </c>
      <c r="C868" s="1">
        <v>75</v>
      </c>
      <c r="D868" s="1" t="s">
        <v>27</v>
      </c>
      <c r="E868" s="1" t="s">
        <v>44</v>
      </c>
      <c r="F868" s="1" t="s">
        <v>52</v>
      </c>
      <c r="G868" s="1" t="s">
        <v>34</v>
      </c>
      <c r="H868" s="1" t="s">
        <v>76</v>
      </c>
      <c r="I868" s="1" t="s">
        <v>24</v>
      </c>
      <c r="J868" s="7" t="s">
        <v>787</v>
      </c>
      <c r="K868" s="1" t="s">
        <v>155</v>
      </c>
      <c r="L868" s="1">
        <v>4</v>
      </c>
      <c r="M868" s="1" t="s">
        <v>48</v>
      </c>
      <c r="N868" s="1" t="s">
        <v>82</v>
      </c>
      <c r="O868" s="1">
        <v>72772.98</v>
      </c>
      <c r="P868" s="1">
        <v>2</v>
      </c>
      <c r="Q868" s="1" t="s">
        <v>72</v>
      </c>
    </row>
    <row r="869" spans="1:17">
      <c r="A869" s="1" t="s">
        <v>1494</v>
      </c>
      <c r="B869" s="1" t="s">
        <v>492</v>
      </c>
      <c r="C869" s="1">
        <v>68</v>
      </c>
      <c r="D869" s="1" t="s">
        <v>43</v>
      </c>
      <c r="E869" s="1" t="s">
        <v>20</v>
      </c>
      <c r="F869" s="1" t="s">
        <v>75</v>
      </c>
      <c r="G869" s="1" t="s">
        <v>68</v>
      </c>
      <c r="H869" s="1" t="s">
        <v>35</v>
      </c>
      <c r="I869" s="1" t="s">
        <v>24</v>
      </c>
      <c r="J869" s="7">
        <v>45873</v>
      </c>
      <c r="K869" s="2">
        <v>45934</v>
      </c>
      <c r="L869" s="1">
        <v>2</v>
      </c>
      <c r="M869" s="1" t="s">
        <v>48</v>
      </c>
      <c r="N869" s="1" t="s">
        <v>90</v>
      </c>
      <c r="O869" s="1">
        <v>28723.47</v>
      </c>
      <c r="P869" s="1">
        <v>3</v>
      </c>
      <c r="Q869" s="1" t="s">
        <v>29</v>
      </c>
    </row>
    <row r="870" spans="1:17">
      <c r="A870" s="1" t="s">
        <v>1495</v>
      </c>
      <c r="B870" s="1" t="s">
        <v>762</v>
      </c>
      <c r="C870" s="1">
        <v>37</v>
      </c>
      <c r="D870" s="1" t="s">
        <v>27</v>
      </c>
      <c r="E870" s="1" t="s">
        <v>51</v>
      </c>
      <c r="F870" s="1" t="s">
        <v>21</v>
      </c>
      <c r="G870" s="1" t="s">
        <v>110</v>
      </c>
      <c r="H870" s="1" t="s">
        <v>23</v>
      </c>
      <c r="I870" s="1" t="s">
        <v>36</v>
      </c>
      <c r="J870" s="7" t="s">
        <v>1496</v>
      </c>
      <c r="K870" s="1" t="s">
        <v>101</v>
      </c>
      <c r="L870" s="1">
        <v>1</v>
      </c>
      <c r="M870" s="1" t="s">
        <v>48</v>
      </c>
      <c r="N870" s="1" t="s">
        <v>82</v>
      </c>
      <c r="O870" s="1">
        <v>34042.199999999997</v>
      </c>
      <c r="P870" s="1">
        <v>5</v>
      </c>
      <c r="Q870" s="1" t="s">
        <v>29</v>
      </c>
    </row>
    <row r="871" spans="1:17">
      <c r="A871" s="1" t="s">
        <v>1497</v>
      </c>
      <c r="B871" s="1" t="s">
        <v>42</v>
      </c>
      <c r="C871" s="1">
        <v>35</v>
      </c>
      <c r="D871" s="1" t="s">
        <v>27</v>
      </c>
      <c r="E871" s="1" t="s">
        <v>44</v>
      </c>
      <c r="F871" s="1" t="s">
        <v>120</v>
      </c>
      <c r="G871" s="1" t="s">
        <v>110</v>
      </c>
      <c r="H871" s="1" t="s">
        <v>35</v>
      </c>
      <c r="I871" s="1" t="s">
        <v>62</v>
      </c>
      <c r="J871" s="7" t="s">
        <v>445</v>
      </c>
      <c r="K871" s="1" t="s">
        <v>25</v>
      </c>
      <c r="L871" s="1">
        <v>4</v>
      </c>
      <c r="M871" s="1" t="s">
        <v>56</v>
      </c>
      <c r="N871" s="1" t="s">
        <v>57</v>
      </c>
      <c r="O871" s="1">
        <v>20814</v>
      </c>
      <c r="P871" s="1">
        <v>3</v>
      </c>
      <c r="Q871" s="1" t="s">
        <v>29</v>
      </c>
    </row>
    <row r="872" spans="1:17">
      <c r="A872" s="1" t="s">
        <v>1498</v>
      </c>
      <c r="B872" s="1" t="s">
        <v>212</v>
      </c>
      <c r="C872" s="1">
        <v>15</v>
      </c>
      <c r="D872" s="1" t="s">
        <v>27</v>
      </c>
      <c r="E872" s="1" t="s">
        <v>137</v>
      </c>
      <c r="F872" s="1" t="s">
        <v>67</v>
      </c>
      <c r="G872" s="1" t="s">
        <v>22</v>
      </c>
      <c r="H872" s="1" t="s">
        <v>76</v>
      </c>
      <c r="I872" s="1" t="s">
        <v>24</v>
      </c>
      <c r="J872" s="7">
        <v>45605</v>
      </c>
      <c r="K872" s="1" t="s">
        <v>890</v>
      </c>
      <c r="L872" s="1">
        <v>6</v>
      </c>
      <c r="M872" s="1" t="s">
        <v>97</v>
      </c>
      <c r="N872" s="1" t="s">
        <v>90</v>
      </c>
      <c r="O872" s="1">
        <v>21921.01</v>
      </c>
      <c r="P872" s="1">
        <v>3</v>
      </c>
      <c r="Q872" s="1" t="s">
        <v>58</v>
      </c>
    </row>
    <row r="873" spans="1:17">
      <c r="A873" s="1" t="s">
        <v>1499</v>
      </c>
      <c r="B873" s="1" t="s">
        <v>212</v>
      </c>
      <c r="C873" s="1">
        <v>83</v>
      </c>
      <c r="D873" s="1" t="s">
        <v>27</v>
      </c>
      <c r="E873" s="1" t="s">
        <v>66</v>
      </c>
      <c r="F873" s="1" t="s">
        <v>75</v>
      </c>
      <c r="G873" s="1" t="s">
        <v>36</v>
      </c>
      <c r="H873" s="1" t="s">
        <v>105</v>
      </c>
      <c r="I873" s="1" t="s">
        <v>36</v>
      </c>
      <c r="J873" s="7" t="s">
        <v>95</v>
      </c>
      <c r="K873" s="2">
        <v>45689</v>
      </c>
      <c r="L873" s="1">
        <v>5</v>
      </c>
      <c r="M873" s="1" t="s">
        <v>48</v>
      </c>
      <c r="N873" s="1" t="s">
        <v>90</v>
      </c>
      <c r="O873" s="1">
        <v>50213.34</v>
      </c>
      <c r="P873" s="1">
        <v>4</v>
      </c>
      <c r="Q873" s="1" t="s">
        <v>40</v>
      </c>
    </row>
    <row r="874" spans="1:17">
      <c r="A874" s="1" t="s">
        <v>1500</v>
      </c>
      <c r="B874" s="1" t="s">
        <v>169</v>
      </c>
      <c r="C874" s="1">
        <v>39</v>
      </c>
      <c r="D874" s="1" t="s">
        <v>19</v>
      </c>
      <c r="E874" s="1" t="s">
        <v>44</v>
      </c>
      <c r="F874" s="1" t="s">
        <v>52</v>
      </c>
      <c r="G874" s="1" t="s">
        <v>34</v>
      </c>
      <c r="H874" s="1" t="s">
        <v>88</v>
      </c>
      <c r="I874" s="1" t="s">
        <v>36</v>
      </c>
      <c r="J874" s="7">
        <v>45939</v>
      </c>
      <c r="K874" s="1" t="s">
        <v>243</v>
      </c>
      <c r="L874" s="1">
        <v>3</v>
      </c>
      <c r="M874" s="1" t="s">
        <v>38</v>
      </c>
      <c r="N874" s="1" t="s">
        <v>57</v>
      </c>
      <c r="O874" s="1">
        <v>89201.79</v>
      </c>
      <c r="P874" s="1">
        <v>3</v>
      </c>
      <c r="Q874" s="1" t="s">
        <v>29</v>
      </c>
    </row>
    <row r="875" spans="1:17">
      <c r="A875" s="1" t="s">
        <v>1501</v>
      </c>
      <c r="B875" s="1" t="s">
        <v>428</v>
      </c>
      <c r="C875" s="1">
        <v>19</v>
      </c>
      <c r="D875" s="1" t="s">
        <v>19</v>
      </c>
      <c r="E875" s="1" t="s">
        <v>20</v>
      </c>
      <c r="F875" s="1" t="s">
        <v>21</v>
      </c>
      <c r="G875" s="1" t="s">
        <v>104</v>
      </c>
      <c r="H875" s="1" t="s">
        <v>88</v>
      </c>
      <c r="I875" s="1" t="s">
        <v>24</v>
      </c>
      <c r="J875" s="7" t="s">
        <v>1502</v>
      </c>
      <c r="K875" s="1" t="s">
        <v>617</v>
      </c>
      <c r="L875" s="1">
        <v>2</v>
      </c>
      <c r="M875" s="1" t="s">
        <v>48</v>
      </c>
      <c r="N875" s="1" t="s">
        <v>82</v>
      </c>
      <c r="O875" s="1">
        <v>76413.990000000005</v>
      </c>
      <c r="P875" s="1">
        <v>4</v>
      </c>
      <c r="Q875" s="1" t="s">
        <v>40</v>
      </c>
    </row>
    <row r="876" spans="1:17">
      <c r="A876" s="1" t="s">
        <v>1503</v>
      </c>
      <c r="B876" s="1" t="s">
        <v>103</v>
      </c>
      <c r="C876" s="1">
        <v>7</v>
      </c>
      <c r="D876" s="1" t="s">
        <v>43</v>
      </c>
      <c r="E876" s="1" t="s">
        <v>202</v>
      </c>
      <c r="F876" s="1" t="s">
        <v>33</v>
      </c>
      <c r="G876" s="1" t="s">
        <v>22</v>
      </c>
      <c r="H876" s="1" t="s">
        <v>69</v>
      </c>
      <c r="I876" s="1" t="s">
        <v>36</v>
      </c>
      <c r="J876" s="7" t="s">
        <v>1183</v>
      </c>
      <c r="K876" s="2">
        <v>45752</v>
      </c>
      <c r="L876" s="1">
        <v>13</v>
      </c>
      <c r="M876" s="1" t="s">
        <v>38</v>
      </c>
      <c r="N876" s="1" t="s">
        <v>82</v>
      </c>
      <c r="O876" s="1">
        <v>41823.03</v>
      </c>
      <c r="P876" s="1">
        <v>5</v>
      </c>
      <c r="Q876" s="1" t="s">
        <v>29</v>
      </c>
    </row>
    <row r="877" spans="1:17">
      <c r="A877" s="1" t="s">
        <v>1504</v>
      </c>
      <c r="B877" s="1" t="s">
        <v>992</v>
      </c>
      <c r="C877" s="1">
        <v>40</v>
      </c>
      <c r="D877" s="1" t="s">
        <v>27</v>
      </c>
      <c r="E877" s="1" t="s">
        <v>44</v>
      </c>
      <c r="F877" s="1" t="s">
        <v>33</v>
      </c>
      <c r="G877" s="1" t="s">
        <v>34</v>
      </c>
      <c r="H877" s="1" t="s">
        <v>23</v>
      </c>
      <c r="I877" s="1" t="s">
        <v>62</v>
      </c>
      <c r="J877" s="7" t="s">
        <v>107</v>
      </c>
      <c r="K877" s="1" t="s">
        <v>512</v>
      </c>
      <c r="L877" s="1">
        <v>7</v>
      </c>
      <c r="M877" s="1" t="s">
        <v>27</v>
      </c>
      <c r="N877" s="1" t="s">
        <v>82</v>
      </c>
      <c r="O877" s="1">
        <v>46672.49</v>
      </c>
      <c r="P877" s="1">
        <v>1</v>
      </c>
      <c r="Q877" s="1" t="s">
        <v>40</v>
      </c>
    </row>
    <row r="878" spans="1:17">
      <c r="A878" s="1" t="s">
        <v>1505</v>
      </c>
      <c r="B878" s="1" t="s">
        <v>154</v>
      </c>
      <c r="C878" s="1">
        <v>48</v>
      </c>
      <c r="D878" s="1" t="s">
        <v>19</v>
      </c>
      <c r="E878" s="1" t="s">
        <v>66</v>
      </c>
      <c r="F878" s="1" t="s">
        <v>33</v>
      </c>
      <c r="G878" s="1" t="s">
        <v>104</v>
      </c>
      <c r="H878" s="1" t="s">
        <v>76</v>
      </c>
      <c r="I878" s="1" t="s">
        <v>62</v>
      </c>
      <c r="J878" s="7" t="s">
        <v>787</v>
      </c>
      <c r="K878" s="1" t="s">
        <v>346</v>
      </c>
      <c r="L878" s="1">
        <v>1</v>
      </c>
      <c r="M878" s="1" t="s">
        <v>97</v>
      </c>
      <c r="N878" s="1" t="s">
        <v>63</v>
      </c>
      <c r="O878" s="1">
        <v>67745.69</v>
      </c>
      <c r="P878" s="1">
        <v>1</v>
      </c>
      <c r="Q878" s="1" t="s">
        <v>40</v>
      </c>
    </row>
    <row r="879" spans="1:17">
      <c r="A879" s="1" t="s">
        <v>1506</v>
      </c>
      <c r="B879" s="1" t="s">
        <v>1359</v>
      </c>
      <c r="C879" s="1">
        <v>19</v>
      </c>
      <c r="D879" s="1" t="s">
        <v>19</v>
      </c>
      <c r="E879" s="1" t="s">
        <v>137</v>
      </c>
      <c r="F879" s="1" t="s">
        <v>67</v>
      </c>
      <c r="G879" s="1" t="s">
        <v>132</v>
      </c>
      <c r="H879" s="1" t="s">
        <v>99</v>
      </c>
      <c r="I879" s="1" t="s">
        <v>36</v>
      </c>
      <c r="J879" s="7" t="s">
        <v>685</v>
      </c>
      <c r="K879" s="1" t="s">
        <v>240</v>
      </c>
      <c r="L879" s="1">
        <v>5</v>
      </c>
      <c r="M879" s="1" t="s">
        <v>97</v>
      </c>
      <c r="N879" s="1" t="s">
        <v>39</v>
      </c>
      <c r="O879" s="1">
        <v>15212.98</v>
      </c>
      <c r="P879" s="1">
        <v>1</v>
      </c>
      <c r="Q879" s="1" t="s">
        <v>29</v>
      </c>
    </row>
    <row r="880" spans="1:17">
      <c r="A880" s="1" t="s">
        <v>1507</v>
      </c>
      <c r="B880" s="1" t="s">
        <v>194</v>
      </c>
      <c r="C880" s="1">
        <v>55</v>
      </c>
      <c r="D880" s="1" t="s">
        <v>27</v>
      </c>
      <c r="E880" s="1" t="s">
        <v>32</v>
      </c>
      <c r="F880" s="1" t="s">
        <v>52</v>
      </c>
      <c r="G880" s="1" t="s">
        <v>22</v>
      </c>
      <c r="H880" s="1" t="s">
        <v>61</v>
      </c>
      <c r="I880" s="1" t="s">
        <v>62</v>
      </c>
      <c r="J880" s="7">
        <v>45755</v>
      </c>
      <c r="K880" s="2">
        <v>45785</v>
      </c>
      <c r="L880" s="1">
        <v>1</v>
      </c>
      <c r="M880" s="1" t="s">
        <v>38</v>
      </c>
      <c r="N880" s="1" t="s">
        <v>90</v>
      </c>
      <c r="O880" s="1">
        <v>46186.38</v>
      </c>
      <c r="P880" s="1">
        <v>5</v>
      </c>
      <c r="Q880" s="1" t="s">
        <v>40</v>
      </c>
    </row>
    <row r="881" spans="1:17">
      <c r="A881" s="1" t="s">
        <v>1508</v>
      </c>
      <c r="B881" s="1" t="s">
        <v>659</v>
      </c>
      <c r="C881" s="1">
        <v>61</v>
      </c>
      <c r="D881" s="1" t="s">
        <v>43</v>
      </c>
      <c r="E881" s="1" t="s">
        <v>44</v>
      </c>
      <c r="F881" s="1" t="s">
        <v>21</v>
      </c>
      <c r="G881" s="1" t="s">
        <v>53</v>
      </c>
      <c r="H881" s="1" t="s">
        <v>88</v>
      </c>
      <c r="I881" s="1" t="s">
        <v>36</v>
      </c>
      <c r="J881" s="7" t="s">
        <v>1262</v>
      </c>
      <c r="K881" s="1" t="s">
        <v>289</v>
      </c>
      <c r="L881" s="1">
        <v>4</v>
      </c>
      <c r="M881" s="1" t="s">
        <v>48</v>
      </c>
      <c r="N881" s="1" t="s">
        <v>57</v>
      </c>
      <c r="O881" s="1">
        <v>90858.86</v>
      </c>
      <c r="P881" s="1">
        <v>5</v>
      </c>
      <c r="Q881" s="1" t="s">
        <v>58</v>
      </c>
    </row>
    <row r="882" spans="1:17">
      <c r="A882" s="1" t="s">
        <v>1509</v>
      </c>
      <c r="B882" s="1" t="s">
        <v>780</v>
      </c>
      <c r="C882" s="1">
        <v>35</v>
      </c>
      <c r="D882" s="1" t="s">
        <v>43</v>
      </c>
      <c r="E882" s="1" t="s">
        <v>66</v>
      </c>
      <c r="F882" s="1" t="s">
        <v>67</v>
      </c>
      <c r="G882" s="1" t="s">
        <v>36</v>
      </c>
      <c r="H882" s="1" t="s">
        <v>99</v>
      </c>
      <c r="I882" s="1" t="s">
        <v>36</v>
      </c>
      <c r="J882" s="7">
        <v>45783</v>
      </c>
      <c r="K882" s="2">
        <v>45906</v>
      </c>
      <c r="L882" s="1">
        <v>4</v>
      </c>
      <c r="M882" s="1" t="s">
        <v>56</v>
      </c>
      <c r="N882" s="1" t="s">
        <v>85</v>
      </c>
      <c r="O882" s="1">
        <v>81503.33</v>
      </c>
      <c r="P882" s="1">
        <v>3</v>
      </c>
      <c r="Q882" s="1" t="s">
        <v>58</v>
      </c>
    </row>
    <row r="883" spans="1:17">
      <c r="A883" s="1" t="s">
        <v>1510</v>
      </c>
      <c r="B883" s="1" t="s">
        <v>1318</v>
      </c>
      <c r="C883" s="1">
        <v>20</v>
      </c>
      <c r="D883" s="1" t="s">
        <v>19</v>
      </c>
      <c r="E883" s="1" t="s">
        <v>44</v>
      </c>
      <c r="F883" s="1" t="s">
        <v>33</v>
      </c>
      <c r="G883" s="1" t="s">
        <v>36</v>
      </c>
      <c r="H883" s="1" t="s">
        <v>76</v>
      </c>
      <c r="I883" s="1" t="s">
        <v>24</v>
      </c>
      <c r="J883" s="7" t="s">
        <v>438</v>
      </c>
      <c r="K883" s="1" t="s">
        <v>1511</v>
      </c>
      <c r="L883" s="1">
        <v>4</v>
      </c>
      <c r="M883" s="1" t="s">
        <v>48</v>
      </c>
      <c r="N883" s="1" t="s">
        <v>39</v>
      </c>
      <c r="O883" s="1">
        <v>53359.82</v>
      </c>
      <c r="P883" s="1">
        <v>3</v>
      </c>
      <c r="Q883" s="1" t="s">
        <v>40</v>
      </c>
    </row>
    <row r="884" spans="1:17">
      <c r="A884" s="1" t="s">
        <v>1512</v>
      </c>
      <c r="B884" s="1" t="s">
        <v>266</v>
      </c>
      <c r="C884" s="1">
        <v>8</v>
      </c>
      <c r="D884" s="1" t="s">
        <v>43</v>
      </c>
      <c r="E884" s="1" t="s">
        <v>44</v>
      </c>
      <c r="F884" s="1" t="s">
        <v>21</v>
      </c>
      <c r="G884" s="1" t="s">
        <v>34</v>
      </c>
      <c r="H884" s="1" t="s">
        <v>88</v>
      </c>
      <c r="I884" s="1" t="s">
        <v>62</v>
      </c>
      <c r="J884" s="7" t="s">
        <v>1324</v>
      </c>
      <c r="K884" s="1" t="s">
        <v>989</v>
      </c>
      <c r="L884" s="1">
        <v>1</v>
      </c>
      <c r="M884" s="1" t="s">
        <v>97</v>
      </c>
      <c r="N884" s="1" t="s">
        <v>39</v>
      </c>
      <c r="O884" s="1">
        <v>105092.82</v>
      </c>
      <c r="P884" s="1">
        <v>3</v>
      </c>
      <c r="Q884" s="1" t="s">
        <v>29</v>
      </c>
    </row>
    <row r="885" spans="1:17">
      <c r="A885" s="1" t="s">
        <v>1513</v>
      </c>
      <c r="B885" s="1" t="s">
        <v>190</v>
      </c>
      <c r="C885" s="1">
        <v>37</v>
      </c>
      <c r="D885" s="1" t="s">
        <v>19</v>
      </c>
      <c r="E885" s="1" t="s">
        <v>51</v>
      </c>
      <c r="F885" s="1" t="s">
        <v>33</v>
      </c>
      <c r="G885" s="1" t="s">
        <v>36</v>
      </c>
      <c r="H885" s="1" t="s">
        <v>45</v>
      </c>
      <c r="I885" s="1" t="s">
        <v>62</v>
      </c>
      <c r="J885" s="7" t="s">
        <v>150</v>
      </c>
      <c r="K885" s="1" t="s">
        <v>151</v>
      </c>
      <c r="L885" s="1">
        <v>3</v>
      </c>
      <c r="M885" s="1" t="s">
        <v>48</v>
      </c>
      <c r="N885" s="1" t="s">
        <v>39</v>
      </c>
      <c r="O885" s="1">
        <v>19348.169999999998</v>
      </c>
      <c r="P885" s="1">
        <v>2</v>
      </c>
      <c r="Q885" s="1" t="s">
        <v>29</v>
      </c>
    </row>
    <row r="886" spans="1:17">
      <c r="A886" s="1" t="s">
        <v>1514</v>
      </c>
      <c r="B886" s="1" t="s">
        <v>393</v>
      </c>
      <c r="C886" s="1">
        <v>7</v>
      </c>
      <c r="D886" s="1" t="s">
        <v>19</v>
      </c>
      <c r="E886" s="1" t="s">
        <v>32</v>
      </c>
      <c r="F886" s="1" t="s">
        <v>75</v>
      </c>
      <c r="G886" s="1" t="s">
        <v>53</v>
      </c>
      <c r="H886" s="1" t="s">
        <v>88</v>
      </c>
      <c r="I886" s="1" t="s">
        <v>24</v>
      </c>
      <c r="J886" s="7" t="s">
        <v>101</v>
      </c>
      <c r="K886" s="1" t="s">
        <v>546</v>
      </c>
      <c r="L886" s="1">
        <v>1</v>
      </c>
      <c r="M886" s="1" t="s">
        <v>48</v>
      </c>
      <c r="N886" s="1" t="s">
        <v>28</v>
      </c>
      <c r="O886" s="1">
        <v>77521.8</v>
      </c>
      <c r="P886" s="1">
        <v>3</v>
      </c>
      <c r="Q886" s="1" t="s">
        <v>72</v>
      </c>
    </row>
    <row r="887" spans="1:17">
      <c r="A887" s="1" t="s">
        <v>1515</v>
      </c>
      <c r="B887" s="1" t="s">
        <v>437</v>
      </c>
      <c r="C887" s="1">
        <v>25</v>
      </c>
      <c r="D887" s="1" t="s">
        <v>19</v>
      </c>
      <c r="E887" s="1" t="s">
        <v>66</v>
      </c>
      <c r="F887" s="1" t="s">
        <v>52</v>
      </c>
      <c r="G887" s="1" t="s">
        <v>22</v>
      </c>
      <c r="H887" s="1" t="s">
        <v>69</v>
      </c>
      <c r="I887" s="1" t="s">
        <v>24</v>
      </c>
      <c r="J887" s="7">
        <v>45749</v>
      </c>
      <c r="K887" s="2">
        <v>45779</v>
      </c>
      <c r="L887" s="1">
        <v>1</v>
      </c>
      <c r="M887" s="1" t="s">
        <v>27</v>
      </c>
      <c r="N887" s="1" t="s">
        <v>28</v>
      </c>
      <c r="O887" s="1">
        <v>32764.47</v>
      </c>
      <c r="P887" s="1">
        <v>2</v>
      </c>
      <c r="Q887" s="1" t="s">
        <v>58</v>
      </c>
    </row>
    <row r="888" spans="1:17">
      <c r="A888" s="1" t="s">
        <v>1516</v>
      </c>
      <c r="B888" s="1" t="s">
        <v>308</v>
      </c>
      <c r="C888" s="1">
        <v>78</v>
      </c>
      <c r="D888" s="1" t="s">
        <v>19</v>
      </c>
      <c r="E888" s="1" t="s">
        <v>137</v>
      </c>
      <c r="F888" s="1" t="s">
        <v>21</v>
      </c>
      <c r="G888" s="1" t="s">
        <v>110</v>
      </c>
      <c r="H888" s="1" t="s">
        <v>93</v>
      </c>
      <c r="I888" s="1" t="s">
        <v>62</v>
      </c>
      <c r="J888" s="7">
        <v>45820</v>
      </c>
      <c r="K888" s="2">
        <v>45850</v>
      </c>
      <c r="L888" s="1">
        <v>1</v>
      </c>
      <c r="M888" s="1" t="s">
        <v>38</v>
      </c>
      <c r="N888" s="1" t="s">
        <v>85</v>
      </c>
      <c r="O888" s="1">
        <v>108352.33</v>
      </c>
      <c r="P888" s="1">
        <v>4</v>
      </c>
      <c r="Q888" s="1" t="s">
        <v>29</v>
      </c>
    </row>
    <row r="889" spans="1:17">
      <c r="A889" s="1" t="s">
        <v>1517</v>
      </c>
      <c r="B889" s="1" t="s">
        <v>79</v>
      </c>
      <c r="C889" s="1">
        <v>60</v>
      </c>
      <c r="D889" s="1" t="s">
        <v>19</v>
      </c>
      <c r="E889" s="1" t="s">
        <v>20</v>
      </c>
      <c r="F889" s="1" t="s">
        <v>33</v>
      </c>
      <c r="G889" s="1" t="s">
        <v>53</v>
      </c>
      <c r="H889" s="1" t="s">
        <v>88</v>
      </c>
      <c r="I889" s="1" t="s">
        <v>24</v>
      </c>
      <c r="J889" s="7" t="s">
        <v>1518</v>
      </c>
      <c r="K889" s="1" t="s">
        <v>634</v>
      </c>
      <c r="L889" s="1">
        <v>7</v>
      </c>
      <c r="M889" s="1" t="s">
        <v>48</v>
      </c>
      <c r="N889" s="1" t="s">
        <v>82</v>
      </c>
      <c r="O889" s="1">
        <v>100255.46</v>
      </c>
      <c r="P889" s="1">
        <v>4</v>
      </c>
      <c r="Q889" s="1" t="s">
        <v>29</v>
      </c>
    </row>
    <row r="890" spans="1:17">
      <c r="A890" s="1" t="s">
        <v>1519</v>
      </c>
      <c r="B890" s="1" t="s">
        <v>992</v>
      </c>
      <c r="C890" s="1">
        <v>51</v>
      </c>
      <c r="D890" s="1" t="s">
        <v>19</v>
      </c>
      <c r="E890" s="1" t="s">
        <v>159</v>
      </c>
      <c r="F890" s="1" t="s">
        <v>21</v>
      </c>
      <c r="G890" s="1" t="s">
        <v>68</v>
      </c>
      <c r="H890" s="1" t="s">
        <v>76</v>
      </c>
      <c r="I890" s="1" t="s">
        <v>62</v>
      </c>
      <c r="J890" s="7" t="s">
        <v>441</v>
      </c>
      <c r="K890" s="1" t="s">
        <v>447</v>
      </c>
      <c r="L890" s="1">
        <v>1</v>
      </c>
      <c r="M890" s="1" t="s">
        <v>97</v>
      </c>
      <c r="N890" s="1" t="s">
        <v>63</v>
      </c>
      <c r="O890" s="1">
        <v>25619.06</v>
      </c>
      <c r="P890" s="1">
        <v>4</v>
      </c>
      <c r="Q890" s="1" t="s">
        <v>40</v>
      </c>
    </row>
    <row r="891" spans="1:17">
      <c r="A891" s="1" t="s">
        <v>1520</v>
      </c>
      <c r="B891" s="1" t="s">
        <v>246</v>
      </c>
      <c r="C891" s="1">
        <v>73</v>
      </c>
      <c r="D891" s="1" t="s">
        <v>27</v>
      </c>
      <c r="E891" s="1" t="s">
        <v>20</v>
      </c>
      <c r="F891" s="1" t="s">
        <v>52</v>
      </c>
      <c r="G891" s="1" t="s">
        <v>53</v>
      </c>
      <c r="H891" s="1" t="s">
        <v>35</v>
      </c>
      <c r="I891" s="1" t="s">
        <v>36</v>
      </c>
      <c r="J891" s="7">
        <v>45480</v>
      </c>
      <c r="K891" s="2">
        <v>45542</v>
      </c>
      <c r="L891" s="1">
        <v>2</v>
      </c>
      <c r="M891" s="1" t="s">
        <v>97</v>
      </c>
      <c r="N891" s="1" t="s">
        <v>28</v>
      </c>
      <c r="O891" s="1">
        <v>19984.61</v>
      </c>
      <c r="P891" s="1">
        <v>4</v>
      </c>
      <c r="Q891" s="1" t="s">
        <v>72</v>
      </c>
    </row>
    <row r="892" spans="1:17">
      <c r="A892" s="1" t="s">
        <v>1521</v>
      </c>
      <c r="B892" s="1" t="s">
        <v>837</v>
      </c>
      <c r="C892" s="1">
        <v>81</v>
      </c>
      <c r="D892" s="1" t="s">
        <v>43</v>
      </c>
      <c r="E892" s="1" t="s">
        <v>247</v>
      </c>
      <c r="F892" s="1" t="s">
        <v>52</v>
      </c>
      <c r="G892" s="1" t="s">
        <v>34</v>
      </c>
      <c r="H892" s="1" t="s">
        <v>45</v>
      </c>
      <c r="I892" s="1" t="s">
        <v>24</v>
      </c>
      <c r="J892" s="7" t="s">
        <v>847</v>
      </c>
      <c r="K892" s="2">
        <v>46204</v>
      </c>
      <c r="L892" s="1">
        <v>9</v>
      </c>
      <c r="M892" s="1" t="s">
        <v>27</v>
      </c>
      <c r="N892" s="1" t="s">
        <v>82</v>
      </c>
      <c r="O892" s="1">
        <v>114679.09</v>
      </c>
      <c r="P892" s="1">
        <v>4</v>
      </c>
      <c r="Q892" s="1" t="s">
        <v>58</v>
      </c>
    </row>
    <row r="893" spans="1:17">
      <c r="A893" s="1" t="s">
        <v>1522</v>
      </c>
      <c r="B893" s="1" t="s">
        <v>502</v>
      </c>
      <c r="C893" s="1">
        <v>68</v>
      </c>
      <c r="D893" s="1" t="s">
        <v>27</v>
      </c>
      <c r="E893" s="1" t="s">
        <v>117</v>
      </c>
      <c r="F893" s="1" t="s">
        <v>120</v>
      </c>
      <c r="G893" s="1" t="s">
        <v>34</v>
      </c>
      <c r="H893" s="1" t="s">
        <v>93</v>
      </c>
      <c r="I893" s="1" t="s">
        <v>36</v>
      </c>
      <c r="J893" s="7" t="s">
        <v>763</v>
      </c>
      <c r="K893" s="1" t="s">
        <v>1523</v>
      </c>
      <c r="L893" s="1">
        <v>2</v>
      </c>
      <c r="M893" s="1" t="s">
        <v>97</v>
      </c>
      <c r="N893" s="1" t="s">
        <v>90</v>
      </c>
      <c r="O893" s="1">
        <v>142676.24</v>
      </c>
      <c r="P893" s="1">
        <v>3</v>
      </c>
      <c r="Q893" s="1" t="s">
        <v>72</v>
      </c>
    </row>
    <row r="894" spans="1:17">
      <c r="A894" s="1" t="s">
        <v>1524</v>
      </c>
      <c r="B894" s="1" t="s">
        <v>283</v>
      </c>
      <c r="C894" s="1">
        <v>61</v>
      </c>
      <c r="D894" s="1" t="s">
        <v>43</v>
      </c>
      <c r="E894" s="1" t="s">
        <v>44</v>
      </c>
      <c r="F894" s="1" t="s">
        <v>120</v>
      </c>
      <c r="G894" s="1" t="s">
        <v>132</v>
      </c>
      <c r="H894" s="1" t="s">
        <v>93</v>
      </c>
      <c r="I894" s="1" t="s">
        <v>62</v>
      </c>
      <c r="J894" s="7" t="s">
        <v>1525</v>
      </c>
      <c r="K894" s="1" t="s">
        <v>367</v>
      </c>
      <c r="L894" s="1">
        <v>5</v>
      </c>
      <c r="M894" s="1" t="s">
        <v>38</v>
      </c>
      <c r="N894" s="1" t="s">
        <v>28</v>
      </c>
      <c r="O894" s="1">
        <v>31323.14</v>
      </c>
      <c r="P894" s="1">
        <v>5</v>
      </c>
      <c r="Q894" s="1" t="s">
        <v>29</v>
      </c>
    </row>
    <row r="895" spans="1:17">
      <c r="A895" s="1" t="s">
        <v>1526</v>
      </c>
      <c r="B895" s="1" t="s">
        <v>428</v>
      </c>
      <c r="C895" s="1">
        <v>6</v>
      </c>
      <c r="D895" s="1" t="s">
        <v>19</v>
      </c>
      <c r="E895" s="1" t="s">
        <v>51</v>
      </c>
      <c r="F895" s="1" t="s">
        <v>52</v>
      </c>
      <c r="G895" s="1" t="s">
        <v>22</v>
      </c>
      <c r="H895" s="1" t="s">
        <v>105</v>
      </c>
      <c r="I895" s="1" t="s">
        <v>24</v>
      </c>
      <c r="J895" s="7">
        <v>45781</v>
      </c>
      <c r="K895" s="2">
        <v>45873</v>
      </c>
      <c r="L895" s="1">
        <v>3</v>
      </c>
      <c r="M895" s="1" t="s">
        <v>38</v>
      </c>
      <c r="N895" s="1" t="s">
        <v>39</v>
      </c>
      <c r="O895" s="1">
        <v>51073.81</v>
      </c>
      <c r="P895" s="1">
        <v>5</v>
      </c>
      <c r="Q895" s="1" t="s">
        <v>72</v>
      </c>
    </row>
    <row r="896" spans="1:17">
      <c r="A896" s="1" t="s">
        <v>1527</v>
      </c>
      <c r="B896" s="1" t="s">
        <v>123</v>
      </c>
      <c r="C896" s="1">
        <v>64</v>
      </c>
      <c r="D896" s="1" t="s">
        <v>27</v>
      </c>
      <c r="E896" s="1" t="s">
        <v>51</v>
      </c>
      <c r="F896" s="1" t="s">
        <v>52</v>
      </c>
      <c r="G896" s="1" t="s">
        <v>22</v>
      </c>
      <c r="H896" s="1" t="s">
        <v>61</v>
      </c>
      <c r="I896" s="1" t="s">
        <v>36</v>
      </c>
      <c r="J896" s="7">
        <v>45451</v>
      </c>
      <c r="K896" s="2">
        <v>45634</v>
      </c>
      <c r="L896" s="1">
        <v>6</v>
      </c>
      <c r="M896" s="1" t="s">
        <v>48</v>
      </c>
      <c r="N896" s="1" t="s">
        <v>63</v>
      </c>
      <c r="O896" s="1">
        <v>79570.929999999993</v>
      </c>
      <c r="P896" s="1">
        <v>4</v>
      </c>
      <c r="Q896" s="1" t="s">
        <v>58</v>
      </c>
    </row>
    <row r="897" spans="1:17">
      <c r="A897" s="1" t="s">
        <v>1528</v>
      </c>
      <c r="B897" s="1" t="s">
        <v>1529</v>
      </c>
      <c r="C897" s="1">
        <v>11</v>
      </c>
      <c r="D897" s="1" t="s">
        <v>43</v>
      </c>
      <c r="E897" s="1" t="s">
        <v>137</v>
      </c>
      <c r="F897" s="1" t="s">
        <v>21</v>
      </c>
      <c r="G897" s="1" t="s">
        <v>68</v>
      </c>
      <c r="H897" s="1" t="s">
        <v>35</v>
      </c>
      <c r="I897" s="1" t="s">
        <v>24</v>
      </c>
      <c r="J897" s="7" t="s">
        <v>306</v>
      </c>
      <c r="K897" s="1" t="s">
        <v>471</v>
      </c>
      <c r="L897" s="1">
        <v>1</v>
      </c>
      <c r="M897" s="1" t="s">
        <v>56</v>
      </c>
      <c r="N897" s="1" t="s">
        <v>82</v>
      </c>
      <c r="O897" s="1">
        <v>59994.37</v>
      </c>
      <c r="P897" s="1">
        <v>4</v>
      </c>
      <c r="Q897" s="1" t="s">
        <v>72</v>
      </c>
    </row>
    <row r="898" spans="1:17">
      <c r="A898" s="1" t="s">
        <v>1530</v>
      </c>
      <c r="B898" s="1" t="s">
        <v>735</v>
      </c>
      <c r="C898" s="1">
        <v>37</v>
      </c>
      <c r="D898" s="1" t="s">
        <v>43</v>
      </c>
      <c r="E898" s="1" t="s">
        <v>32</v>
      </c>
      <c r="F898" s="1" t="s">
        <v>33</v>
      </c>
      <c r="G898" s="1" t="s">
        <v>110</v>
      </c>
      <c r="H898" s="1" t="s">
        <v>45</v>
      </c>
      <c r="I898" s="1" t="s">
        <v>62</v>
      </c>
      <c r="J898" s="7">
        <v>45907</v>
      </c>
      <c r="K898" s="1" t="s">
        <v>163</v>
      </c>
      <c r="L898" s="1">
        <v>4</v>
      </c>
      <c r="M898" s="1" t="s">
        <v>48</v>
      </c>
      <c r="N898" s="1" t="s">
        <v>90</v>
      </c>
      <c r="O898" s="1">
        <v>89347.92</v>
      </c>
      <c r="P898" s="1">
        <v>3</v>
      </c>
      <c r="Q898" s="1" t="s">
        <v>58</v>
      </c>
    </row>
    <row r="899" spans="1:17">
      <c r="A899" s="1" t="s">
        <v>1531</v>
      </c>
      <c r="B899" s="1" t="s">
        <v>255</v>
      </c>
      <c r="C899" s="1">
        <v>66</v>
      </c>
      <c r="D899" s="1" t="s">
        <v>19</v>
      </c>
      <c r="E899" s="1" t="s">
        <v>44</v>
      </c>
      <c r="F899" s="1" t="s">
        <v>75</v>
      </c>
      <c r="G899" s="1" t="s">
        <v>53</v>
      </c>
      <c r="H899" s="1" t="s">
        <v>45</v>
      </c>
      <c r="I899" s="1" t="s">
        <v>36</v>
      </c>
      <c r="J899" s="7">
        <v>45843</v>
      </c>
      <c r="K899" s="2">
        <v>45996</v>
      </c>
      <c r="L899" s="1">
        <v>5</v>
      </c>
      <c r="M899" s="1" t="s">
        <v>56</v>
      </c>
      <c r="N899" s="1" t="s">
        <v>85</v>
      </c>
      <c r="O899" s="1">
        <v>58534.84</v>
      </c>
      <c r="P899" s="1">
        <v>3</v>
      </c>
      <c r="Q899" s="1" t="s">
        <v>40</v>
      </c>
    </row>
    <row r="900" spans="1:17">
      <c r="A900" s="1" t="s">
        <v>1532</v>
      </c>
      <c r="B900" s="1" t="s">
        <v>375</v>
      </c>
      <c r="C900" s="1">
        <v>21</v>
      </c>
      <c r="D900" s="1" t="s">
        <v>27</v>
      </c>
      <c r="E900" s="1" t="s">
        <v>20</v>
      </c>
      <c r="F900" s="1" t="s">
        <v>21</v>
      </c>
      <c r="G900" s="1" t="s">
        <v>53</v>
      </c>
      <c r="H900" s="1" t="s">
        <v>99</v>
      </c>
      <c r="I900" s="1" t="s">
        <v>36</v>
      </c>
      <c r="J900" s="7">
        <v>45850</v>
      </c>
      <c r="K900" s="2">
        <v>45912</v>
      </c>
      <c r="L900" s="1">
        <v>2</v>
      </c>
      <c r="M900" s="1" t="s">
        <v>27</v>
      </c>
      <c r="N900" s="1" t="s">
        <v>63</v>
      </c>
      <c r="O900" s="1">
        <v>57104.36</v>
      </c>
      <c r="P900" s="1">
        <v>5</v>
      </c>
      <c r="Q900" s="1" t="s">
        <v>58</v>
      </c>
    </row>
    <row r="901" spans="1:17">
      <c r="A901" s="1" t="s">
        <v>1533</v>
      </c>
      <c r="B901" s="1" t="s">
        <v>65</v>
      </c>
      <c r="C901" s="1">
        <v>76</v>
      </c>
      <c r="D901" s="1" t="s">
        <v>27</v>
      </c>
      <c r="E901" s="1" t="s">
        <v>202</v>
      </c>
      <c r="F901" s="1" t="s">
        <v>75</v>
      </c>
      <c r="G901" s="1" t="s">
        <v>104</v>
      </c>
      <c r="H901" s="1" t="s">
        <v>23</v>
      </c>
      <c r="I901" s="1" t="s">
        <v>62</v>
      </c>
      <c r="J901" s="7" t="s">
        <v>438</v>
      </c>
      <c r="K901" s="1" t="s">
        <v>1391</v>
      </c>
      <c r="L901" s="1">
        <v>10</v>
      </c>
      <c r="M901" s="1" t="s">
        <v>56</v>
      </c>
      <c r="N901" s="1" t="s">
        <v>28</v>
      </c>
      <c r="O901" s="1">
        <v>85339.06</v>
      </c>
      <c r="P901" s="1">
        <v>4</v>
      </c>
      <c r="Q901" s="1" t="s">
        <v>40</v>
      </c>
    </row>
    <row r="902" spans="1:17">
      <c r="A902" s="1" t="s">
        <v>1534</v>
      </c>
      <c r="B902" s="1" t="s">
        <v>109</v>
      </c>
      <c r="C902" s="1">
        <v>3</v>
      </c>
      <c r="D902" s="1" t="s">
        <v>27</v>
      </c>
      <c r="E902" s="1" t="s">
        <v>44</v>
      </c>
      <c r="F902" s="1" t="s">
        <v>21</v>
      </c>
      <c r="G902" s="1" t="s">
        <v>34</v>
      </c>
      <c r="H902" s="1" t="s">
        <v>88</v>
      </c>
      <c r="I902" s="1" t="s">
        <v>62</v>
      </c>
      <c r="J902" s="7" t="s">
        <v>1285</v>
      </c>
      <c r="K902" s="1" t="s">
        <v>1219</v>
      </c>
      <c r="L902" s="1">
        <v>3</v>
      </c>
      <c r="M902" s="1" t="s">
        <v>97</v>
      </c>
      <c r="N902" s="1" t="s">
        <v>90</v>
      </c>
      <c r="O902" s="1">
        <v>95658.87</v>
      </c>
      <c r="P902" s="1">
        <v>5</v>
      </c>
      <c r="Q902" s="1" t="s">
        <v>40</v>
      </c>
    </row>
    <row r="903" spans="1:17">
      <c r="A903" s="1" t="s">
        <v>1535</v>
      </c>
      <c r="B903" s="1" t="s">
        <v>310</v>
      </c>
      <c r="C903" s="1">
        <v>16</v>
      </c>
      <c r="D903" s="1" t="s">
        <v>27</v>
      </c>
      <c r="E903" s="1" t="s">
        <v>117</v>
      </c>
      <c r="F903" s="1" t="s">
        <v>33</v>
      </c>
      <c r="G903" s="1" t="s">
        <v>36</v>
      </c>
      <c r="H903" s="1" t="s">
        <v>105</v>
      </c>
      <c r="I903" s="1" t="s">
        <v>36</v>
      </c>
      <c r="J903" s="7">
        <v>45353</v>
      </c>
      <c r="K903" s="2">
        <v>45414</v>
      </c>
      <c r="L903" s="1">
        <v>2</v>
      </c>
      <c r="M903" s="1" t="s">
        <v>38</v>
      </c>
      <c r="N903" s="1" t="s">
        <v>82</v>
      </c>
      <c r="O903" s="1">
        <v>14842.53</v>
      </c>
      <c r="P903" s="1">
        <v>2</v>
      </c>
      <c r="Q903" s="1" t="s">
        <v>58</v>
      </c>
    </row>
    <row r="904" spans="1:17">
      <c r="A904" s="1" t="s">
        <v>1536</v>
      </c>
      <c r="B904" s="1" t="s">
        <v>234</v>
      </c>
      <c r="C904" s="1">
        <v>10</v>
      </c>
      <c r="D904" s="1" t="s">
        <v>27</v>
      </c>
      <c r="E904" s="1" t="s">
        <v>66</v>
      </c>
      <c r="F904" s="1" t="s">
        <v>67</v>
      </c>
      <c r="G904" s="1" t="s">
        <v>36</v>
      </c>
      <c r="H904" s="1" t="s">
        <v>99</v>
      </c>
      <c r="I904" s="1" t="s">
        <v>24</v>
      </c>
      <c r="J904" s="7">
        <v>45839</v>
      </c>
      <c r="K904" s="2">
        <v>45962</v>
      </c>
      <c r="L904" s="1">
        <v>4</v>
      </c>
      <c r="M904" s="1" t="s">
        <v>27</v>
      </c>
      <c r="N904" s="1" t="s">
        <v>39</v>
      </c>
      <c r="O904" s="1">
        <v>13908.79</v>
      </c>
      <c r="P904" s="1">
        <v>3</v>
      </c>
      <c r="Q904" s="1" t="s">
        <v>72</v>
      </c>
    </row>
    <row r="905" spans="1:17">
      <c r="A905" s="1" t="s">
        <v>1537</v>
      </c>
      <c r="B905" s="1" t="s">
        <v>60</v>
      </c>
      <c r="C905" s="1">
        <v>47</v>
      </c>
      <c r="D905" s="1" t="s">
        <v>19</v>
      </c>
      <c r="E905" s="1" t="s">
        <v>202</v>
      </c>
      <c r="F905" s="1" t="s">
        <v>120</v>
      </c>
      <c r="G905" s="1" t="s">
        <v>22</v>
      </c>
      <c r="H905" s="1" t="s">
        <v>35</v>
      </c>
      <c r="I905" s="1" t="s">
        <v>62</v>
      </c>
      <c r="J905" s="7">
        <v>45477</v>
      </c>
      <c r="K905" s="1" t="s">
        <v>195</v>
      </c>
      <c r="L905" s="1">
        <v>8</v>
      </c>
      <c r="M905" s="1" t="s">
        <v>27</v>
      </c>
      <c r="N905" s="1" t="s">
        <v>39</v>
      </c>
      <c r="O905" s="1">
        <v>67597.539999999994</v>
      </c>
      <c r="P905" s="1">
        <v>4</v>
      </c>
      <c r="Q905" s="1" t="s">
        <v>72</v>
      </c>
    </row>
    <row r="906" spans="1:17">
      <c r="A906" s="1" t="s">
        <v>1538</v>
      </c>
      <c r="B906" s="1" t="s">
        <v>242</v>
      </c>
      <c r="C906" s="1">
        <v>71</v>
      </c>
      <c r="D906" s="1" t="s">
        <v>27</v>
      </c>
      <c r="E906" s="1" t="s">
        <v>137</v>
      </c>
      <c r="F906" s="1" t="s">
        <v>75</v>
      </c>
      <c r="G906" s="1" t="s">
        <v>68</v>
      </c>
      <c r="H906" s="1" t="s">
        <v>45</v>
      </c>
      <c r="I906" s="1" t="s">
        <v>24</v>
      </c>
      <c r="J906" s="7">
        <v>45881</v>
      </c>
      <c r="K906" s="2">
        <v>45942</v>
      </c>
      <c r="L906" s="1">
        <v>2</v>
      </c>
      <c r="M906" s="1" t="s">
        <v>38</v>
      </c>
      <c r="N906" s="1" t="s">
        <v>82</v>
      </c>
      <c r="O906" s="1">
        <v>77358.78</v>
      </c>
      <c r="P906" s="1">
        <v>5</v>
      </c>
      <c r="Q906" s="1" t="s">
        <v>72</v>
      </c>
    </row>
    <row r="907" spans="1:17">
      <c r="A907" s="1" t="s">
        <v>1539</v>
      </c>
      <c r="B907" s="1" t="s">
        <v>570</v>
      </c>
      <c r="C907" s="1">
        <v>18</v>
      </c>
      <c r="D907" s="1" t="s">
        <v>19</v>
      </c>
      <c r="E907" s="1" t="s">
        <v>32</v>
      </c>
      <c r="F907" s="1" t="s">
        <v>120</v>
      </c>
      <c r="G907" s="1" t="s">
        <v>34</v>
      </c>
      <c r="H907" s="1" t="s">
        <v>93</v>
      </c>
      <c r="I907" s="1" t="s">
        <v>36</v>
      </c>
      <c r="J907" s="7">
        <v>45447</v>
      </c>
      <c r="K907" s="2">
        <v>45477</v>
      </c>
      <c r="L907" s="1">
        <v>1</v>
      </c>
      <c r="M907" s="1" t="s">
        <v>56</v>
      </c>
      <c r="N907" s="1" t="s">
        <v>63</v>
      </c>
      <c r="O907" s="1">
        <v>111289.11</v>
      </c>
      <c r="P907" s="1">
        <v>2</v>
      </c>
      <c r="Q907" s="1" t="s">
        <v>72</v>
      </c>
    </row>
    <row r="908" spans="1:17">
      <c r="A908" s="1" t="s">
        <v>1540</v>
      </c>
      <c r="B908" s="1" t="s">
        <v>826</v>
      </c>
      <c r="C908" s="1">
        <v>81</v>
      </c>
      <c r="D908" s="1" t="s">
        <v>19</v>
      </c>
      <c r="E908" s="1" t="s">
        <v>159</v>
      </c>
      <c r="F908" s="1" t="s">
        <v>67</v>
      </c>
      <c r="G908" s="1" t="s">
        <v>132</v>
      </c>
      <c r="H908" s="1" t="s">
        <v>76</v>
      </c>
      <c r="I908" s="1" t="s">
        <v>36</v>
      </c>
      <c r="J908" s="7" t="s">
        <v>1496</v>
      </c>
      <c r="K908" s="2">
        <v>45721</v>
      </c>
      <c r="L908" s="1">
        <v>7</v>
      </c>
      <c r="M908" s="1" t="s">
        <v>48</v>
      </c>
      <c r="N908" s="1" t="s">
        <v>57</v>
      </c>
      <c r="O908" s="1">
        <v>12385.91</v>
      </c>
      <c r="P908" s="1">
        <v>4</v>
      </c>
      <c r="Q908" s="1" t="s">
        <v>29</v>
      </c>
    </row>
    <row r="909" spans="1:17">
      <c r="A909" s="1" t="s">
        <v>1541</v>
      </c>
      <c r="B909" s="1" t="s">
        <v>375</v>
      </c>
      <c r="C909" s="1">
        <v>79</v>
      </c>
      <c r="D909" s="1" t="s">
        <v>27</v>
      </c>
      <c r="E909" s="1" t="s">
        <v>117</v>
      </c>
      <c r="F909" s="1" t="s">
        <v>52</v>
      </c>
      <c r="G909" s="1" t="s">
        <v>36</v>
      </c>
      <c r="H909" s="1" t="s">
        <v>69</v>
      </c>
      <c r="I909" s="1" t="s">
        <v>24</v>
      </c>
      <c r="J909" s="7">
        <v>45659</v>
      </c>
      <c r="K909" s="2">
        <v>45690</v>
      </c>
      <c r="L909" s="1">
        <v>1</v>
      </c>
      <c r="M909" s="1" t="s">
        <v>97</v>
      </c>
      <c r="N909" s="1" t="s">
        <v>28</v>
      </c>
      <c r="O909" s="1">
        <v>32999.379999999997</v>
      </c>
      <c r="P909" s="1">
        <v>3</v>
      </c>
      <c r="Q909" s="1" t="s">
        <v>72</v>
      </c>
    </row>
    <row r="910" spans="1:17">
      <c r="A910" s="1" t="s">
        <v>1542</v>
      </c>
      <c r="B910" s="1" t="s">
        <v>283</v>
      </c>
      <c r="C910" s="1">
        <v>52</v>
      </c>
      <c r="D910" s="1" t="s">
        <v>27</v>
      </c>
      <c r="E910" s="1" t="s">
        <v>20</v>
      </c>
      <c r="F910" s="1" t="s">
        <v>52</v>
      </c>
      <c r="G910" s="1" t="s">
        <v>110</v>
      </c>
      <c r="H910" s="1" t="s">
        <v>69</v>
      </c>
      <c r="I910" s="1" t="s">
        <v>36</v>
      </c>
      <c r="J910" s="7" t="s">
        <v>336</v>
      </c>
      <c r="K910" s="1" t="s">
        <v>424</v>
      </c>
      <c r="L910" s="1">
        <v>2</v>
      </c>
      <c r="M910" s="1" t="s">
        <v>48</v>
      </c>
      <c r="N910" s="1" t="s">
        <v>63</v>
      </c>
      <c r="O910" s="1">
        <v>37446.410000000003</v>
      </c>
      <c r="P910" s="1">
        <v>3</v>
      </c>
      <c r="Q910" s="1" t="s">
        <v>58</v>
      </c>
    </row>
    <row r="911" spans="1:17">
      <c r="A911" s="1" t="s">
        <v>1543</v>
      </c>
      <c r="B911" s="1" t="s">
        <v>1038</v>
      </c>
      <c r="C911" s="1">
        <v>18</v>
      </c>
      <c r="D911" s="1" t="s">
        <v>19</v>
      </c>
      <c r="E911" s="1" t="s">
        <v>66</v>
      </c>
      <c r="F911" s="1" t="s">
        <v>52</v>
      </c>
      <c r="G911" s="1" t="s">
        <v>22</v>
      </c>
      <c r="H911" s="1" t="s">
        <v>99</v>
      </c>
      <c r="I911" s="1" t="s">
        <v>24</v>
      </c>
      <c r="J911" s="7">
        <v>45575</v>
      </c>
      <c r="K911" s="1" t="s">
        <v>522</v>
      </c>
      <c r="L911" s="1">
        <v>5</v>
      </c>
      <c r="M911" s="1" t="s">
        <v>48</v>
      </c>
      <c r="N911" s="1" t="s">
        <v>39</v>
      </c>
      <c r="O911" s="1">
        <v>42174.98</v>
      </c>
      <c r="P911" s="1">
        <v>4</v>
      </c>
      <c r="Q911" s="1" t="s">
        <v>40</v>
      </c>
    </row>
    <row r="912" spans="1:17">
      <c r="A912" s="1" t="s">
        <v>1544</v>
      </c>
      <c r="B912" s="1" t="s">
        <v>816</v>
      </c>
      <c r="C912" s="1">
        <v>42</v>
      </c>
      <c r="D912" s="1" t="s">
        <v>43</v>
      </c>
      <c r="E912" s="1" t="s">
        <v>159</v>
      </c>
      <c r="F912" s="1" t="s">
        <v>120</v>
      </c>
      <c r="G912" s="1" t="s">
        <v>132</v>
      </c>
      <c r="H912" s="1" t="s">
        <v>35</v>
      </c>
      <c r="I912" s="1" t="s">
        <v>62</v>
      </c>
      <c r="J912" s="7" t="s">
        <v>665</v>
      </c>
      <c r="K912" s="1" t="s">
        <v>785</v>
      </c>
      <c r="L912" s="1">
        <v>4</v>
      </c>
      <c r="M912" s="1" t="s">
        <v>48</v>
      </c>
      <c r="N912" s="1" t="s">
        <v>82</v>
      </c>
      <c r="O912" s="1">
        <v>27095.05</v>
      </c>
      <c r="P912" s="1">
        <v>4</v>
      </c>
      <c r="Q912" s="1" t="s">
        <v>72</v>
      </c>
    </row>
    <row r="913" spans="1:17">
      <c r="A913" s="1" t="s">
        <v>1545</v>
      </c>
      <c r="B913" s="1" t="s">
        <v>310</v>
      </c>
      <c r="C913" s="1">
        <v>56</v>
      </c>
      <c r="D913" s="1" t="s">
        <v>43</v>
      </c>
      <c r="E913" s="1" t="s">
        <v>117</v>
      </c>
      <c r="F913" s="1" t="s">
        <v>120</v>
      </c>
      <c r="G913" s="1" t="s">
        <v>104</v>
      </c>
      <c r="H913" s="1" t="s">
        <v>23</v>
      </c>
      <c r="I913" s="1" t="s">
        <v>36</v>
      </c>
      <c r="J913" s="7">
        <v>45602</v>
      </c>
      <c r="K913" s="1" t="s">
        <v>129</v>
      </c>
      <c r="L913" s="1">
        <v>8</v>
      </c>
      <c r="M913" s="1" t="s">
        <v>97</v>
      </c>
      <c r="N913" s="1" t="s">
        <v>39</v>
      </c>
      <c r="O913" s="1">
        <v>41377.9</v>
      </c>
      <c r="P913" s="1">
        <v>4</v>
      </c>
      <c r="Q913" s="1" t="s">
        <v>72</v>
      </c>
    </row>
    <row r="914" spans="1:17">
      <c r="A914" s="1" t="s">
        <v>1546</v>
      </c>
      <c r="B914" s="1" t="s">
        <v>266</v>
      </c>
      <c r="C914" s="1">
        <v>61</v>
      </c>
      <c r="D914" s="1" t="s">
        <v>27</v>
      </c>
      <c r="E914" s="1" t="s">
        <v>117</v>
      </c>
      <c r="F914" s="1" t="s">
        <v>21</v>
      </c>
      <c r="G914" s="1" t="s">
        <v>132</v>
      </c>
      <c r="H914" s="1" t="s">
        <v>93</v>
      </c>
      <c r="I914" s="1" t="s">
        <v>62</v>
      </c>
      <c r="J914" s="7">
        <v>45476</v>
      </c>
      <c r="K914" s="2">
        <v>45568</v>
      </c>
      <c r="L914" s="1">
        <v>3</v>
      </c>
      <c r="M914" s="1" t="s">
        <v>56</v>
      </c>
      <c r="N914" s="1" t="s">
        <v>57</v>
      </c>
      <c r="O914" s="1">
        <v>26667.45</v>
      </c>
      <c r="P914" s="1">
        <v>5</v>
      </c>
      <c r="Q914" s="1" t="s">
        <v>29</v>
      </c>
    </row>
    <row r="915" spans="1:17">
      <c r="A915" s="1" t="s">
        <v>1547</v>
      </c>
      <c r="B915" s="1" t="s">
        <v>79</v>
      </c>
      <c r="C915" s="1">
        <v>3</v>
      </c>
      <c r="D915" s="1" t="s">
        <v>19</v>
      </c>
      <c r="E915" s="1" t="s">
        <v>51</v>
      </c>
      <c r="F915" s="1" t="s">
        <v>120</v>
      </c>
      <c r="G915" s="1" t="s">
        <v>110</v>
      </c>
      <c r="H915" s="1" t="s">
        <v>45</v>
      </c>
      <c r="I915" s="1" t="s">
        <v>24</v>
      </c>
      <c r="J915" s="7" t="s">
        <v>399</v>
      </c>
      <c r="K915" s="1" t="s">
        <v>471</v>
      </c>
      <c r="L915" s="1">
        <v>3</v>
      </c>
      <c r="M915" s="1" t="s">
        <v>97</v>
      </c>
      <c r="N915" s="1" t="s">
        <v>28</v>
      </c>
      <c r="O915" s="1">
        <v>48375.01</v>
      </c>
      <c r="P915" s="1">
        <v>3</v>
      </c>
      <c r="Q915" s="1" t="s">
        <v>72</v>
      </c>
    </row>
    <row r="916" spans="1:17">
      <c r="A916" s="1" t="s">
        <v>1548</v>
      </c>
      <c r="B916" s="1" t="s">
        <v>419</v>
      </c>
      <c r="C916" s="1">
        <v>73</v>
      </c>
      <c r="D916" s="1" t="s">
        <v>19</v>
      </c>
      <c r="E916" s="1" t="s">
        <v>44</v>
      </c>
      <c r="F916" s="1" t="s">
        <v>120</v>
      </c>
      <c r="G916" s="1" t="s">
        <v>110</v>
      </c>
      <c r="H916" s="1" t="s">
        <v>93</v>
      </c>
      <c r="I916" s="1" t="s">
        <v>36</v>
      </c>
      <c r="J916" s="7">
        <v>45391</v>
      </c>
      <c r="K916" s="2">
        <v>45452</v>
      </c>
      <c r="L916" s="1">
        <v>2</v>
      </c>
      <c r="M916" s="1" t="s">
        <v>97</v>
      </c>
      <c r="N916" s="1" t="s">
        <v>85</v>
      </c>
      <c r="O916" s="1">
        <v>100277.65</v>
      </c>
      <c r="P916" s="1">
        <v>5</v>
      </c>
      <c r="Q916" s="1" t="s">
        <v>29</v>
      </c>
    </row>
    <row r="917" spans="1:17">
      <c r="A917" s="1" t="s">
        <v>1549</v>
      </c>
      <c r="B917" s="1" t="s">
        <v>42</v>
      </c>
      <c r="C917" s="1">
        <v>14</v>
      </c>
      <c r="D917" s="1" t="s">
        <v>27</v>
      </c>
      <c r="E917" s="1" t="s">
        <v>32</v>
      </c>
      <c r="F917" s="1" t="s">
        <v>33</v>
      </c>
      <c r="G917" s="1" t="s">
        <v>68</v>
      </c>
      <c r="H917" s="1" t="s">
        <v>69</v>
      </c>
      <c r="I917" s="1" t="s">
        <v>62</v>
      </c>
      <c r="J917" s="7">
        <v>45546</v>
      </c>
      <c r="K917" s="1" t="s">
        <v>517</v>
      </c>
      <c r="L917" s="1">
        <v>8</v>
      </c>
      <c r="M917" s="1" t="s">
        <v>27</v>
      </c>
      <c r="N917" s="1" t="s">
        <v>85</v>
      </c>
      <c r="O917" s="1">
        <v>33201.339999999997</v>
      </c>
      <c r="P917" s="1">
        <v>4</v>
      </c>
      <c r="Q917" s="1" t="s">
        <v>29</v>
      </c>
    </row>
    <row r="918" spans="1:17">
      <c r="A918" s="1" t="s">
        <v>1550</v>
      </c>
      <c r="B918" s="1" t="s">
        <v>291</v>
      </c>
      <c r="C918" s="1">
        <v>42</v>
      </c>
      <c r="D918" s="1" t="s">
        <v>19</v>
      </c>
      <c r="E918" s="1" t="s">
        <v>44</v>
      </c>
      <c r="F918" s="1" t="s">
        <v>21</v>
      </c>
      <c r="G918" s="1" t="s">
        <v>53</v>
      </c>
      <c r="H918" s="1" t="s">
        <v>93</v>
      </c>
      <c r="I918" s="1" t="s">
        <v>36</v>
      </c>
      <c r="J918" s="7">
        <v>45577</v>
      </c>
      <c r="K918" s="1" t="s">
        <v>984</v>
      </c>
      <c r="L918" s="1">
        <v>4</v>
      </c>
      <c r="M918" s="1" t="s">
        <v>97</v>
      </c>
      <c r="N918" s="1" t="s">
        <v>39</v>
      </c>
      <c r="O918" s="1">
        <v>58993.25</v>
      </c>
      <c r="P918" s="1">
        <v>1</v>
      </c>
      <c r="Q918" s="1" t="s">
        <v>72</v>
      </c>
    </row>
    <row r="919" spans="1:17">
      <c r="A919" s="1" t="s">
        <v>1551</v>
      </c>
      <c r="B919" s="1" t="s">
        <v>285</v>
      </c>
      <c r="C919" s="1">
        <v>27</v>
      </c>
      <c r="D919" s="1" t="s">
        <v>43</v>
      </c>
      <c r="E919" s="1" t="s">
        <v>202</v>
      </c>
      <c r="F919" s="1" t="s">
        <v>120</v>
      </c>
      <c r="G919" s="1" t="s">
        <v>104</v>
      </c>
      <c r="H919" s="1" t="s">
        <v>35</v>
      </c>
      <c r="I919" s="1" t="s">
        <v>36</v>
      </c>
      <c r="J919" s="7" t="s">
        <v>463</v>
      </c>
      <c r="K919" s="2">
        <v>45750</v>
      </c>
      <c r="L919" s="1">
        <v>6</v>
      </c>
      <c r="M919" s="1" t="s">
        <v>27</v>
      </c>
      <c r="N919" s="1" t="s">
        <v>57</v>
      </c>
      <c r="O919" s="1">
        <v>28113.45</v>
      </c>
      <c r="P919" s="1">
        <v>3</v>
      </c>
      <c r="Q919" s="1" t="s">
        <v>72</v>
      </c>
    </row>
    <row r="920" spans="1:17">
      <c r="A920" s="1" t="s">
        <v>1552</v>
      </c>
      <c r="B920" s="1" t="s">
        <v>909</v>
      </c>
      <c r="C920" s="1">
        <v>36</v>
      </c>
      <c r="D920" s="1" t="s">
        <v>27</v>
      </c>
      <c r="E920" s="1" t="s">
        <v>159</v>
      </c>
      <c r="F920" s="1" t="s">
        <v>21</v>
      </c>
      <c r="G920" s="1" t="s">
        <v>132</v>
      </c>
      <c r="H920" s="1" t="s">
        <v>99</v>
      </c>
      <c r="I920" s="1" t="s">
        <v>62</v>
      </c>
      <c r="J920" s="7" t="s">
        <v>880</v>
      </c>
      <c r="K920" s="1" t="s">
        <v>191</v>
      </c>
      <c r="L920" s="1">
        <v>1</v>
      </c>
      <c r="M920" s="1" t="s">
        <v>38</v>
      </c>
      <c r="N920" s="1" t="s">
        <v>28</v>
      </c>
      <c r="O920" s="1">
        <v>46748.91</v>
      </c>
      <c r="P920" s="1">
        <v>3</v>
      </c>
      <c r="Q920" s="1" t="s">
        <v>72</v>
      </c>
    </row>
    <row r="921" spans="1:17">
      <c r="A921" s="1" t="s">
        <v>1553</v>
      </c>
      <c r="B921" s="1" t="s">
        <v>726</v>
      </c>
      <c r="C921" s="1">
        <v>65</v>
      </c>
      <c r="D921" s="1" t="s">
        <v>27</v>
      </c>
      <c r="E921" s="1" t="s">
        <v>117</v>
      </c>
      <c r="F921" s="1" t="s">
        <v>21</v>
      </c>
      <c r="G921" s="1" t="s">
        <v>53</v>
      </c>
      <c r="H921" s="1" t="s">
        <v>88</v>
      </c>
      <c r="I921" s="1" t="s">
        <v>36</v>
      </c>
      <c r="J921" s="7" t="s">
        <v>617</v>
      </c>
      <c r="K921" s="1" t="s">
        <v>273</v>
      </c>
      <c r="L921" s="1">
        <v>2</v>
      </c>
      <c r="M921" s="1" t="s">
        <v>56</v>
      </c>
      <c r="N921" s="1" t="s">
        <v>85</v>
      </c>
      <c r="O921" s="1">
        <v>113932.02</v>
      </c>
      <c r="P921" s="1">
        <v>3</v>
      </c>
      <c r="Q921" s="1" t="s">
        <v>72</v>
      </c>
    </row>
    <row r="922" spans="1:17">
      <c r="A922" s="1" t="s">
        <v>1554</v>
      </c>
      <c r="B922" s="1" t="s">
        <v>1414</v>
      </c>
      <c r="C922" s="1">
        <v>23</v>
      </c>
      <c r="D922" s="1" t="s">
        <v>19</v>
      </c>
      <c r="E922" s="1" t="s">
        <v>117</v>
      </c>
      <c r="F922" s="1" t="s">
        <v>52</v>
      </c>
      <c r="G922" s="1" t="s">
        <v>104</v>
      </c>
      <c r="H922" s="1" t="s">
        <v>61</v>
      </c>
      <c r="I922" s="1" t="s">
        <v>62</v>
      </c>
      <c r="J922" s="7">
        <v>45330</v>
      </c>
      <c r="K922" s="2">
        <v>45359</v>
      </c>
      <c r="L922" s="1">
        <v>1</v>
      </c>
      <c r="M922" s="1" t="s">
        <v>56</v>
      </c>
      <c r="N922" s="1" t="s">
        <v>63</v>
      </c>
      <c r="O922" s="1">
        <v>57161.17</v>
      </c>
      <c r="P922" s="1">
        <v>1</v>
      </c>
      <c r="Q922" s="1" t="s">
        <v>72</v>
      </c>
    </row>
    <row r="923" spans="1:17">
      <c r="A923" s="1" t="s">
        <v>1555</v>
      </c>
      <c r="B923" s="1" t="s">
        <v>50</v>
      </c>
      <c r="C923" s="1">
        <v>21</v>
      </c>
      <c r="D923" s="1" t="s">
        <v>43</v>
      </c>
      <c r="E923" s="1" t="s">
        <v>137</v>
      </c>
      <c r="F923" s="1" t="s">
        <v>75</v>
      </c>
      <c r="G923" s="1" t="s">
        <v>36</v>
      </c>
      <c r="H923" s="1" t="s">
        <v>45</v>
      </c>
      <c r="I923" s="1" t="s">
        <v>62</v>
      </c>
      <c r="J923" s="7" t="s">
        <v>665</v>
      </c>
      <c r="K923" s="1" t="s">
        <v>733</v>
      </c>
      <c r="L923" s="1">
        <v>1</v>
      </c>
      <c r="M923" s="1" t="s">
        <v>56</v>
      </c>
      <c r="N923" s="1" t="s">
        <v>63</v>
      </c>
      <c r="O923" s="1">
        <v>18192.39</v>
      </c>
      <c r="P923" s="1">
        <v>3</v>
      </c>
      <c r="Q923" s="1" t="s">
        <v>29</v>
      </c>
    </row>
    <row r="924" spans="1:17">
      <c r="A924" s="1" t="s">
        <v>1556</v>
      </c>
      <c r="B924" s="1" t="s">
        <v>204</v>
      </c>
      <c r="C924" s="1">
        <v>35</v>
      </c>
      <c r="D924" s="1" t="s">
        <v>27</v>
      </c>
      <c r="E924" s="1" t="s">
        <v>159</v>
      </c>
      <c r="F924" s="1" t="s">
        <v>33</v>
      </c>
      <c r="G924" s="1" t="s">
        <v>53</v>
      </c>
      <c r="H924" s="1" t="s">
        <v>93</v>
      </c>
      <c r="I924" s="1" t="s">
        <v>36</v>
      </c>
      <c r="J924" s="7" t="s">
        <v>730</v>
      </c>
      <c r="K924" s="1" t="s">
        <v>467</v>
      </c>
      <c r="L924" s="1">
        <v>4</v>
      </c>
      <c r="M924" s="1" t="s">
        <v>27</v>
      </c>
      <c r="N924" s="1" t="s">
        <v>39</v>
      </c>
      <c r="O924" s="1">
        <v>49270.16</v>
      </c>
      <c r="P924" s="1">
        <v>4</v>
      </c>
      <c r="Q924" s="1" t="s">
        <v>58</v>
      </c>
    </row>
    <row r="925" spans="1:17">
      <c r="A925" s="1" t="s">
        <v>1557</v>
      </c>
      <c r="B925" s="1" t="s">
        <v>291</v>
      </c>
      <c r="C925" s="1">
        <v>36</v>
      </c>
      <c r="D925" s="1" t="s">
        <v>43</v>
      </c>
      <c r="E925" s="1" t="s">
        <v>66</v>
      </c>
      <c r="F925" s="1" t="s">
        <v>75</v>
      </c>
      <c r="G925" s="1" t="s">
        <v>34</v>
      </c>
      <c r="H925" s="1" t="s">
        <v>61</v>
      </c>
      <c r="I925" s="1" t="s">
        <v>36</v>
      </c>
      <c r="J925" s="7" t="s">
        <v>1462</v>
      </c>
      <c r="K925" s="1" t="s">
        <v>287</v>
      </c>
      <c r="L925" s="1">
        <v>2</v>
      </c>
      <c r="M925" s="1" t="s">
        <v>27</v>
      </c>
      <c r="N925" s="1" t="s">
        <v>39</v>
      </c>
      <c r="O925" s="1">
        <v>64017.5</v>
      </c>
      <c r="P925" s="1">
        <v>4</v>
      </c>
      <c r="Q925" s="1" t="s">
        <v>72</v>
      </c>
    </row>
    <row r="926" spans="1:17">
      <c r="A926" s="1" t="s">
        <v>1558</v>
      </c>
      <c r="B926" s="1" t="s">
        <v>1359</v>
      </c>
      <c r="C926" s="1">
        <v>72</v>
      </c>
      <c r="D926" s="1" t="s">
        <v>43</v>
      </c>
      <c r="E926" s="1" t="s">
        <v>202</v>
      </c>
      <c r="F926" s="1" t="s">
        <v>67</v>
      </c>
      <c r="G926" s="1" t="s">
        <v>110</v>
      </c>
      <c r="H926" s="1" t="s">
        <v>99</v>
      </c>
      <c r="I926" s="1" t="s">
        <v>24</v>
      </c>
      <c r="J926" s="7">
        <v>45871</v>
      </c>
      <c r="K926" s="1" t="s">
        <v>1559</v>
      </c>
      <c r="L926" s="1">
        <v>5</v>
      </c>
      <c r="M926" s="1" t="s">
        <v>27</v>
      </c>
      <c r="N926" s="1" t="s">
        <v>28</v>
      </c>
      <c r="O926" s="1">
        <v>83937.1</v>
      </c>
      <c r="P926" s="1">
        <v>3</v>
      </c>
      <c r="Q926" s="1" t="s">
        <v>29</v>
      </c>
    </row>
    <row r="927" spans="1:17">
      <c r="A927" s="1" t="s">
        <v>1560</v>
      </c>
      <c r="B927" s="1" t="s">
        <v>585</v>
      </c>
      <c r="C927" s="1">
        <v>69</v>
      </c>
      <c r="D927" s="1" t="s">
        <v>27</v>
      </c>
      <c r="E927" s="1" t="s">
        <v>159</v>
      </c>
      <c r="F927" s="1" t="s">
        <v>21</v>
      </c>
      <c r="G927" s="1" t="s">
        <v>68</v>
      </c>
      <c r="H927" s="1" t="s">
        <v>88</v>
      </c>
      <c r="I927" s="1" t="s">
        <v>36</v>
      </c>
      <c r="J927" s="7" t="s">
        <v>927</v>
      </c>
      <c r="K927" s="1" t="s">
        <v>930</v>
      </c>
      <c r="L927" s="1">
        <v>4</v>
      </c>
      <c r="M927" s="1" t="s">
        <v>56</v>
      </c>
      <c r="N927" s="1" t="s">
        <v>63</v>
      </c>
      <c r="O927" s="1">
        <v>52070.239999999998</v>
      </c>
      <c r="P927" s="1">
        <v>5</v>
      </c>
      <c r="Q927" s="1" t="s">
        <v>72</v>
      </c>
    </row>
    <row r="928" spans="1:17">
      <c r="A928" s="1" t="s">
        <v>1561</v>
      </c>
      <c r="B928" s="1" t="s">
        <v>551</v>
      </c>
      <c r="C928" s="1">
        <v>67</v>
      </c>
      <c r="D928" s="1" t="s">
        <v>19</v>
      </c>
      <c r="E928" s="1" t="s">
        <v>202</v>
      </c>
      <c r="F928" s="1" t="s">
        <v>75</v>
      </c>
      <c r="G928" s="1" t="s">
        <v>22</v>
      </c>
      <c r="H928" s="1" t="s">
        <v>88</v>
      </c>
      <c r="I928" s="1" t="s">
        <v>36</v>
      </c>
      <c r="J928" s="7">
        <v>45667</v>
      </c>
      <c r="K928" s="2">
        <v>45698</v>
      </c>
      <c r="L928" s="1">
        <v>1</v>
      </c>
      <c r="M928" s="1" t="s">
        <v>48</v>
      </c>
      <c r="N928" s="1" t="s">
        <v>39</v>
      </c>
      <c r="O928" s="1">
        <v>45645.64</v>
      </c>
      <c r="P928" s="1">
        <v>4</v>
      </c>
      <c r="Q928" s="1" t="s">
        <v>72</v>
      </c>
    </row>
    <row r="929" spans="1:17">
      <c r="A929" s="1" t="s">
        <v>1562</v>
      </c>
      <c r="B929" s="1" t="s">
        <v>236</v>
      </c>
      <c r="C929" s="1">
        <v>11</v>
      </c>
      <c r="D929" s="1" t="s">
        <v>43</v>
      </c>
      <c r="E929" s="1" t="s">
        <v>202</v>
      </c>
      <c r="F929" s="1" t="s">
        <v>52</v>
      </c>
      <c r="G929" s="1" t="s">
        <v>22</v>
      </c>
      <c r="H929" s="1" t="s">
        <v>61</v>
      </c>
      <c r="I929" s="1" t="s">
        <v>24</v>
      </c>
      <c r="J929" s="7" t="s">
        <v>106</v>
      </c>
      <c r="K929" s="1" t="s">
        <v>1563</v>
      </c>
      <c r="L929" s="1">
        <v>9</v>
      </c>
      <c r="M929" s="1" t="s">
        <v>27</v>
      </c>
      <c r="N929" s="1" t="s">
        <v>28</v>
      </c>
      <c r="O929" s="1">
        <v>58871.16</v>
      </c>
      <c r="P929" s="1">
        <v>5</v>
      </c>
      <c r="Q929" s="1" t="s">
        <v>29</v>
      </c>
    </row>
    <row r="930" spans="1:17">
      <c r="A930" s="1" t="s">
        <v>1564</v>
      </c>
      <c r="B930" s="1" t="s">
        <v>169</v>
      </c>
      <c r="C930" s="1">
        <v>46</v>
      </c>
      <c r="D930" s="1" t="s">
        <v>43</v>
      </c>
      <c r="E930" s="1" t="s">
        <v>117</v>
      </c>
      <c r="F930" s="1" t="s">
        <v>33</v>
      </c>
      <c r="G930" s="1" t="s">
        <v>68</v>
      </c>
      <c r="H930" s="1" t="s">
        <v>105</v>
      </c>
      <c r="I930" s="1" t="s">
        <v>24</v>
      </c>
      <c r="J930" s="7" t="s">
        <v>733</v>
      </c>
      <c r="K930" s="1" t="s">
        <v>457</v>
      </c>
      <c r="L930" s="1">
        <v>1</v>
      </c>
      <c r="M930" s="1" t="s">
        <v>48</v>
      </c>
      <c r="N930" s="1" t="s">
        <v>85</v>
      </c>
      <c r="O930" s="1">
        <v>31038.7</v>
      </c>
      <c r="P930" s="1">
        <v>2</v>
      </c>
      <c r="Q930" s="1" t="s">
        <v>29</v>
      </c>
    </row>
    <row r="931" spans="1:17">
      <c r="A931" s="1" t="s">
        <v>1565</v>
      </c>
      <c r="B931" s="1" t="s">
        <v>324</v>
      </c>
      <c r="C931" s="1">
        <v>37</v>
      </c>
      <c r="D931" s="1" t="s">
        <v>27</v>
      </c>
      <c r="E931" s="1" t="s">
        <v>20</v>
      </c>
      <c r="F931" s="1" t="s">
        <v>33</v>
      </c>
      <c r="G931" s="1" t="s">
        <v>36</v>
      </c>
      <c r="H931" s="1" t="s">
        <v>93</v>
      </c>
      <c r="I931" s="1" t="s">
        <v>62</v>
      </c>
      <c r="J931" s="7" t="s">
        <v>962</v>
      </c>
      <c r="K931" s="1" t="s">
        <v>963</v>
      </c>
      <c r="L931" s="1">
        <v>2</v>
      </c>
      <c r="M931" s="1" t="s">
        <v>38</v>
      </c>
      <c r="N931" s="1" t="s">
        <v>28</v>
      </c>
      <c r="O931" s="1">
        <v>13916.35</v>
      </c>
      <c r="P931" s="1">
        <v>4</v>
      </c>
      <c r="Q931" s="1" t="s">
        <v>40</v>
      </c>
    </row>
    <row r="932" spans="1:17">
      <c r="A932" s="1" t="s">
        <v>1566</v>
      </c>
      <c r="B932" s="1" t="s">
        <v>116</v>
      </c>
      <c r="C932" s="1">
        <v>67</v>
      </c>
      <c r="D932" s="1" t="s">
        <v>43</v>
      </c>
      <c r="E932" s="1" t="s">
        <v>247</v>
      </c>
      <c r="F932" s="1" t="s">
        <v>52</v>
      </c>
      <c r="G932" s="1" t="s">
        <v>132</v>
      </c>
      <c r="H932" s="1" t="s">
        <v>76</v>
      </c>
      <c r="I932" s="1" t="s">
        <v>36</v>
      </c>
      <c r="J932" s="7" t="s">
        <v>319</v>
      </c>
      <c r="K932" s="1" t="s">
        <v>1316</v>
      </c>
      <c r="L932" s="1">
        <v>3</v>
      </c>
      <c r="M932" s="1" t="s">
        <v>38</v>
      </c>
      <c r="N932" s="1" t="s">
        <v>82</v>
      </c>
      <c r="O932" s="1">
        <v>22896.93</v>
      </c>
      <c r="P932" s="1">
        <v>3</v>
      </c>
      <c r="Q932" s="1" t="s">
        <v>29</v>
      </c>
    </row>
    <row r="933" spans="1:17">
      <c r="A933" s="1" t="s">
        <v>1567</v>
      </c>
      <c r="B933" s="1" t="s">
        <v>103</v>
      </c>
      <c r="C933" s="1">
        <v>74</v>
      </c>
      <c r="D933" s="1" t="s">
        <v>43</v>
      </c>
      <c r="E933" s="1" t="s">
        <v>44</v>
      </c>
      <c r="F933" s="1" t="s">
        <v>120</v>
      </c>
      <c r="G933" s="1" t="s">
        <v>34</v>
      </c>
      <c r="H933" s="1" t="s">
        <v>76</v>
      </c>
      <c r="I933" s="1" t="s">
        <v>36</v>
      </c>
      <c r="J933" s="7">
        <v>45628</v>
      </c>
      <c r="K933" s="1" t="s">
        <v>325</v>
      </c>
      <c r="L933" s="1">
        <v>7</v>
      </c>
      <c r="M933" s="1" t="s">
        <v>27</v>
      </c>
      <c r="N933" s="1" t="s">
        <v>39</v>
      </c>
      <c r="O933" s="1">
        <v>42646.62</v>
      </c>
      <c r="P933" s="1">
        <v>5</v>
      </c>
      <c r="Q933" s="1" t="s">
        <v>29</v>
      </c>
    </row>
    <row r="934" spans="1:17">
      <c r="A934" s="1" t="s">
        <v>1568</v>
      </c>
      <c r="B934" s="1" t="s">
        <v>143</v>
      </c>
      <c r="C934" s="1">
        <v>17</v>
      </c>
      <c r="D934" s="1" t="s">
        <v>19</v>
      </c>
      <c r="E934" s="1" t="s">
        <v>117</v>
      </c>
      <c r="F934" s="1" t="s">
        <v>52</v>
      </c>
      <c r="G934" s="1" t="s">
        <v>36</v>
      </c>
      <c r="H934" s="1" t="s">
        <v>105</v>
      </c>
      <c r="I934" s="1" t="s">
        <v>24</v>
      </c>
      <c r="J934" s="7">
        <v>45354</v>
      </c>
      <c r="K934" s="2">
        <v>45629</v>
      </c>
      <c r="L934" s="1">
        <v>9</v>
      </c>
      <c r="M934" s="1" t="s">
        <v>38</v>
      </c>
      <c r="N934" s="1" t="s">
        <v>39</v>
      </c>
      <c r="O934" s="1">
        <v>91184.46</v>
      </c>
      <c r="P934" s="1">
        <v>3</v>
      </c>
      <c r="Q934" s="1" t="s">
        <v>29</v>
      </c>
    </row>
    <row r="935" spans="1:17">
      <c r="A935" s="1" t="s">
        <v>1569</v>
      </c>
      <c r="B935" s="1" t="s">
        <v>1318</v>
      </c>
      <c r="C935" s="1">
        <v>71</v>
      </c>
      <c r="D935" s="1" t="s">
        <v>43</v>
      </c>
      <c r="E935" s="1" t="s">
        <v>32</v>
      </c>
      <c r="F935" s="1" t="s">
        <v>21</v>
      </c>
      <c r="G935" s="1" t="s">
        <v>132</v>
      </c>
      <c r="H935" s="1" t="s">
        <v>23</v>
      </c>
      <c r="I935" s="1" t="s">
        <v>24</v>
      </c>
      <c r="J935" s="7" t="s">
        <v>370</v>
      </c>
      <c r="K935" s="1" t="s">
        <v>371</v>
      </c>
      <c r="L935" s="1">
        <v>4</v>
      </c>
      <c r="M935" s="1" t="s">
        <v>97</v>
      </c>
      <c r="N935" s="1" t="s">
        <v>90</v>
      </c>
      <c r="O935" s="1">
        <v>59285.21</v>
      </c>
      <c r="P935" s="1">
        <v>4</v>
      </c>
      <c r="Q935" s="1" t="s">
        <v>40</v>
      </c>
    </row>
    <row r="936" spans="1:17">
      <c r="A936" s="1" t="s">
        <v>1570</v>
      </c>
      <c r="B936" s="1" t="s">
        <v>1529</v>
      </c>
      <c r="C936" s="1">
        <v>22</v>
      </c>
      <c r="D936" s="1" t="s">
        <v>27</v>
      </c>
      <c r="E936" s="1" t="s">
        <v>247</v>
      </c>
      <c r="F936" s="1" t="s">
        <v>52</v>
      </c>
      <c r="G936" s="1" t="s">
        <v>36</v>
      </c>
      <c r="H936" s="1" t="s">
        <v>105</v>
      </c>
      <c r="I936" s="1" t="s">
        <v>24</v>
      </c>
      <c r="J936" s="7">
        <v>45877</v>
      </c>
      <c r="K936" s="1" t="s">
        <v>277</v>
      </c>
      <c r="L936" s="1">
        <v>6</v>
      </c>
      <c r="M936" s="1" t="s">
        <v>27</v>
      </c>
      <c r="N936" s="1" t="s">
        <v>57</v>
      </c>
      <c r="O936" s="1">
        <v>23577.279999999999</v>
      </c>
      <c r="P936" s="1">
        <v>3</v>
      </c>
      <c r="Q936" s="1" t="s">
        <v>29</v>
      </c>
    </row>
    <row r="937" spans="1:17">
      <c r="A937" s="1" t="s">
        <v>1571</v>
      </c>
      <c r="B937" s="1" t="s">
        <v>348</v>
      </c>
      <c r="C937" s="1">
        <v>14</v>
      </c>
      <c r="D937" s="1" t="s">
        <v>43</v>
      </c>
      <c r="E937" s="1" t="s">
        <v>247</v>
      </c>
      <c r="F937" s="1" t="s">
        <v>120</v>
      </c>
      <c r="G937" s="1" t="s">
        <v>36</v>
      </c>
      <c r="H937" s="1" t="s">
        <v>105</v>
      </c>
      <c r="I937" s="1" t="s">
        <v>36</v>
      </c>
      <c r="J937" s="7" t="s">
        <v>697</v>
      </c>
      <c r="K937" s="1" t="s">
        <v>286</v>
      </c>
      <c r="L937" s="1">
        <v>4</v>
      </c>
      <c r="M937" s="1" t="s">
        <v>56</v>
      </c>
      <c r="N937" s="1" t="s">
        <v>57</v>
      </c>
      <c r="O937" s="1">
        <v>81018.06</v>
      </c>
      <c r="P937" s="1">
        <v>4</v>
      </c>
      <c r="Q937" s="1" t="s">
        <v>29</v>
      </c>
    </row>
    <row r="938" spans="1:17">
      <c r="A938" s="1" t="s">
        <v>1572</v>
      </c>
      <c r="B938" s="1" t="s">
        <v>396</v>
      </c>
      <c r="C938" s="1">
        <v>87</v>
      </c>
      <c r="D938" s="1" t="s">
        <v>43</v>
      </c>
      <c r="E938" s="1" t="s">
        <v>20</v>
      </c>
      <c r="F938" s="1" t="s">
        <v>52</v>
      </c>
      <c r="G938" s="1" t="s">
        <v>34</v>
      </c>
      <c r="H938" s="1" t="s">
        <v>45</v>
      </c>
      <c r="I938" s="1" t="s">
        <v>36</v>
      </c>
      <c r="J938" s="7" t="s">
        <v>984</v>
      </c>
      <c r="K938" s="1" t="s">
        <v>447</v>
      </c>
      <c r="L938" s="1">
        <v>6</v>
      </c>
      <c r="M938" s="1" t="s">
        <v>38</v>
      </c>
      <c r="N938" s="1" t="s">
        <v>85</v>
      </c>
      <c r="O938" s="1">
        <v>68379.75</v>
      </c>
      <c r="P938" s="1">
        <v>5</v>
      </c>
      <c r="Q938" s="1" t="s">
        <v>29</v>
      </c>
    </row>
    <row r="939" spans="1:17">
      <c r="A939" s="1" t="s">
        <v>1573</v>
      </c>
      <c r="B939" s="1" t="s">
        <v>507</v>
      </c>
      <c r="C939" s="1">
        <v>36</v>
      </c>
      <c r="D939" s="1" t="s">
        <v>43</v>
      </c>
      <c r="E939" s="1" t="s">
        <v>20</v>
      </c>
      <c r="F939" s="1" t="s">
        <v>21</v>
      </c>
      <c r="G939" s="1" t="s">
        <v>53</v>
      </c>
      <c r="H939" s="1" t="s">
        <v>99</v>
      </c>
      <c r="I939" s="1" t="s">
        <v>36</v>
      </c>
      <c r="J939" s="7" t="s">
        <v>311</v>
      </c>
      <c r="K939" s="1" t="s">
        <v>1434</v>
      </c>
      <c r="L939" s="1">
        <v>5</v>
      </c>
      <c r="M939" s="1" t="s">
        <v>38</v>
      </c>
      <c r="N939" s="1" t="s">
        <v>85</v>
      </c>
      <c r="O939" s="1">
        <v>58843.12</v>
      </c>
      <c r="P939" s="1">
        <v>5</v>
      </c>
      <c r="Q939" s="1" t="s">
        <v>40</v>
      </c>
    </row>
    <row r="940" spans="1:17">
      <c r="A940" s="1" t="s">
        <v>1574</v>
      </c>
      <c r="B940" s="1" t="s">
        <v>615</v>
      </c>
      <c r="C940" s="1">
        <v>76</v>
      </c>
      <c r="D940" s="1" t="s">
        <v>43</v>
      </c>
      <c r="E940" s="1" t="s">
        <v>51</v>
      </c>
      <c r="F940" s="1" t="s">
        <v>75</v>
      </c>
      <c r="G940" s="1" t="s">
        <v>110</v>
      </c>
      <c r="H940" s="1" t="s">
        <v>45</v>
      </c>
      <c r="I940" s="1" t="s">
        <v>24</v>
      </c>
      <c r="J940" s="7" t="s">
        <v>1118</v>
      </c>
      <c r="K940" s="1" t="s">
        <v>847</v>
      </c>
      <c r="L940" s="1">
        <v>3</v>
      </c>
      <c r="M940" s="1" t="s">
        <v>56</v>
      </c>
      <c r="N940" s="1" t="s">
        <v>85</v>
      </c>
      <c r="O940" s="1">
        <v>34179.79</v>
      </c>
      <c r="P940" s="1">
        <v>4</v>
      </c>
      <c r="Q940" s="1" t="s">
        <v>72</v>
      </c>
    </row>
    <row r="941" spans="1:17">
      <c r="A941" s="1" t="s">
        <v>1575</v>
      </c>
      <c r="B941" s="1" t="s">
        <v>291</v>
      </c>
      <c r="C941" s="1">
        <v>81</v>
      </c>
      <c r="D941" s="1" t="s">
        <v>27</v>
      </c>
      <c r="E941" s="1" t="s">
        <v>44</v>
      </c>
      <c r="F941" s="1" t="s">
        <v>67</v>
      </c>
      <c r="G941" s="1" t="s">
        <v>53</v>
      </c>
      <c r="H941" s="1" t="s">
        <v>61</v>
      </c>
      <c r="I941" s="1" t="s">
        <v>62</v>
      </c>
      <c r="J941" s="7" t="s">
        <v>1397</v>
      </c>
      <c r="K941" s="1" t="s">
        <v>133</v>
      </c>
      <c r="L941" s="1">
        <v>2</v>
      </c>
      <c r="M941" s="1" t="s">
        <v>38</v>
      </c>
      <c r="N941" s="1" t="s">
        <v>57</v>
      </c>
      <c r="O941" s="1">
        <v>23274.28</v>
      </c>
      <c r="P941" s="1">
        <v>1</v>
      </c>
      <c r="Q941" s="1" t="s">
        <v>72</v>
      </c>
    </row>
    <row r="942" spans="1:17">
      <c r="A942" s="1" t="s">
        <v>1576</v>
      </c>
      <c r="B942" s="1" t="s">
        <v>18</v>
      </c>
      <c r="C942" s="1">
        <v>60</v>
      </c>
      <c r="D942" s="1" t="s">
        <v>27</v>
      </c>
      <c r="E942" s="1" t="s">
        <v>247</v>
      </c>
      <c r="F942" s="1" t="s">
        <v>33</v>
      </c>
      <c r="G942" s="1" t="s">
        <v>34</v>
      </c>
      <c r="H942" s="1" t="s">
        <v>99</v>
      </c>
      <c r="I942" s="1" t="s">
        <v>36</v>
      </c>
      <c r="J942" s="7" t="s">
        <v>989</v>
      </c>
      <c r="K942" s="1" t="s">
        <v>394</v>
      </c>
      <c r="L942" s="1">
        <v>7</v>
      </c>
      <c r="M942" s="1" t="s">
        <v>27</v>
      </c>
      <c r="N942" s="1" t="s">
        <v>85</v>
      </c>
      <c r="O942" s="1">
        <v>109000.83</v>
      </c>
      <c r="P942" s="1">
        <v>1</v>
      </c>
      <c r="Q942" s="1" t="s">
        <v>72</v>
      </c>
    </row>
    <row r="943" spans="1:17">
      <c r="A943" s="1" t="s">
        <v>1577</v>
      </c>
      <c r="B943" s="1" t="s">
        <v>428</v>
      </c>
      <c r="C943" s="1">
        <v>32</v>
      </c>
      <c r="D943" s="1" t="s">
        <v>27</v>
      </c>
      <c r="E943" s="1" t="s">
        <v>44</v>
      </c>
      <c r="F943" s="1" t="s">
        <v>52</v>
      </c>
      <c r="G943" s="1" t="s">
        <v>68</v>
      </c>
      <c r="H943" s="1" t="s">
        <v>105</v>
      </c>
      <c r="I943" s="1" t="s">
        <v>36</v>
      </c>
      <c r="J943" s="7" t="s">
        <v>854</v>
      </c>
      <c r="K943" s="1" t="s">
        <v>803</v>
      </c>
      <c r="L943" s="1">
        <v>4</v>
      </c>
      <c r="M943" s="1" t="s">
        <v>97</v>
      </c>
      <c r="N943" s="1" t="s">
        <v>82</v>
      </c>
      <c r="O943" s="1">
        <v>72081.990000000005</v>
      </c>
      <c r="P943" s="1">
        <v>4</v>
      </c>
      <c r="Q943" s="1" t="s">
        <v>40</v>
      </c>
    </row>
    <row r="944" spans="1:17">
      <c r="A944" s="1" t="s">
        <v>1578</v>
      </c>
      <c r="B944" s="1" t="s">
        <v>538</v>
      </c>
      <c r="C944" s="1">
        <v>18</v>
      </c>
      <c r="D944" s="1" t="s">
        <v>19</v>
      </c>
      <c r="E944" s="1" t="s">
        <v>247</v>
      </c>
      <c r="F944" s="1" t="s">
        <v>75</v>
      </c>
      <c r="G944" s="1" t="s">
        <v>68</v>
      </c>
      <c r="H944" s="1" t="s">
        <v>45</v>
      </c>
      <c r="I944" s="1" t="s">
        <v>24</v>
      </c>
      <c r="J944" s="7" t="s">
        <v>1579</v>
      </c>
      <c r="K944" s="1" t="s">
        <v>1153</v>
      </c>
      <c r="L944" s="1">
        <v>5</v>
      </c>
      <c r="M944" s="1" t="s">
        <v>56</v>
      </c>
      <c r="N944" s="1" t="s">
        <v>39</v>
      </c>
      <c r="O944" s="1">
        <v>51363.74</v>
      </c>
      <c r="P944" s="1">
        <v>3</v>
      </c>
      <c r="Q944" s="1" t="s">
        <v>58</v>
      </c>
    </row>
    <row r="945" spans="1:17">
      <c r="A945" s="1" t="s">
        <v>1580</v>
      </c>
      <c r="B945" s="1" t="s">
        <v>136</v>
      </c>
      <c r="C945" s="1">
        <v>25</v>
      </c>
      <c r="D945" s="1" t="s">
        <v>19</v>
      </c>
      <c r="E945" s="1" t="s">
        <v>32</v>
      </c>
      <c r="F945" s="1" t="s">
        <v>120</v>
      </c>
      <c r="G945" s="1" t="s">
        <v>22</v>
      </c>
      <c r="H945" s="1" t="s">
        <v>61</v>
      </c>
      <c r="I945" s="1" t="s">
        <v>36</v>
      </c>
      <c r="J945" s="7">
        <v>45571</v>
      </c>
      <c r="K945" s="1" t="s">
        <v>1124</v>
      </c>
      <c r="L945" s="1">
        <v>5</v>
      </c>
      <c r="M945" s="1" t="s">
        <v>38</v>
      </c>
      <c r="N945" s="1" t="s">
        <v>85</v>
      </c>
      <c r="O945" s="1">
        <v>44944.31</v>
      </c>
      <c r="P945" s="1">
        <v>4</v>
      </c>
      <c r="Q945" s="1" t="s">
        <v>58</v>
      </c>
    </row>
    <row r="946" spans="1:17">
      <c r="A946" s="1" t="s">
        <v>1581</v>
      </c>
      <c r="B946" s="1" t="s">
        <v>542</v>
      </c>
      <c r="C946" s="1">
        <v>6</v>
      </c>
      <c r="D946" s="1" t="s">
        <v>43</v>
      </c>
      <c r="E946" s="1" t="s">
        <v>32</v>
      </c>
      <c r="F946" s="1" t="s">
        <v>52</v>
      </c>
      <c r="G946" s="1" t="s">
        <v>104</v>
      </c>
      <c r="H946" s="1" t="s">
        <v>76</v>
      </c>
      <c r="I946" s="1" t="s">
        <v>36</v>
      </c>
      <c r="J946" s="7">
        <v>45848</v>
      </c>
      <c r="K946" s="1" t="s">
        <v>124</v>
      </c>
      <c r="L946" s="1">
        <v>8</v>
      </c>
      <c r="M946" s="1" t="s">
        <v>97</v>
      </c>
      <c r="N946" s="1" t="s">
        <v>39</v>
      </c>
      <c r="O946" s="1">
        <v>54116.09</v>
      </c>
      <c r="P946" s="1">
        <v>5</v>
      </c>
      <c r="Q946" s="1" t="s">
        <v>72</v>
      </c>
    </row>
    <row r="947" spans="1:17">
      <c r="A947" s="1" t="s">
        <v>1582</v>
      </c>
      <c r="B947" s="1" t="s">
        <v>792</v>
      </c>
      <c r="C947" s="1">
        <v>6</v>
      </c>
      <c r="D947" s="1" t="s">
        <v>19</v>
      </c>
      <c r="E947" s="1" t="s">
        <v>66</v>
      </c>
      <c r="F947" s="1" t="s">
        <v>21</v>
      </c>
      <c r="G947" s="1" t="s">
        <v>34</v>
      </c>
      <c r="H947" s="1" t="s">
        <v>76</v>
      </c>
      <c r="I947" s="1" t="s">
        <v>62</v>
      </c>
      <c r="J947" s="7" t="s">
        <v>1007</v>
      </c>
      <c r="K947" s="1" t="s">
        <v>410</v>
      </c>
      <c r="L947" s="1">
        <v>3</v>
      </c>
      <c r="M947" s="1" t="s">
        <v>38</v>
      </c>
      <c r="N947" s="1" t="s">
        <v>82</v>
      </c>
      <c r="O947" s="1">
        <v>37420.19</v>
      </c>
      <c r="P947" s="1">
        <v>4</v>
      </c>
      <c r="Q947" s="1" t="s">
        <v>72</v>
      </c>
    </row>
    <row r="948" spans="1:17">
      <c r="A948" s="1" t="s">
        <v>1583</v>
      </c>
      <c r="B948" s="1" t="s">
        <v>1359</v>
      </c>
      <c r="C948" s="1">
        <v>56</v>
      </c>
      <c r="D948" s="1" t="s">
        <v>27</v>
      </c>
      <c r="E948" s="1" t="s">
        <v>51</v>
      </c>
      <c r="F948" s="1" t="s">
        <v>120</v>
      </c>
      <c r="G948" s="1" t="s">
        <v>104</v>
      </c>
      <c r="H948" s="1" t="s">
        <v>76</v>
      </c>
      <c r="I948" s="1" t="s">
        <v>62</v>
      </c>
      <c r="J948" s="7" t="s">
        <v>640</v>
      </c>
      <c r="K948" s="1" t="s">
        <v>1167</v>
      </c>
      <c r="L948" s="1">
        <v>3</v>
      </c>
      <c r="M948" s="1" t="s">
        <v>48</v>
      </c>
      <c r="N948" s="1" t="s">
        <v>28</v>
      </c>
      <c r="O948" s="1">
        <v>67702.789999999994</v>
      </c>
      <c r="P948" s="1">
        <v>4</v>
      </c>
      <c r="Q948" s="1" t="s">
        <v>29</v>
      </c>
    </row>
    <row r="949" spans="1:17">
      <c r="A949" s="1" t="s">
        <v>1584</v>
      </c>
      <c r="B949" s="1" t="s">
        <v>726</v>
      </c>
      <c r="C949" s="1">
        <v>39</v>
      </c>
      <c r="D949" s="1" t="s">
        <v>27</v>
      </c>
      <c r="E949" s="1" t="s">
        <v>32</v>
      </c>
      <c r="F949" s="1" t="s">
        <v>52</v>
      </c>
      <c r="G949" s="1" t="s">
        <v>110</v>
      </c>
      <c r="H949" s="1" t="s">
        <v>76</v>
      </c>
      <c r="I949" s="1" t="s">
        <v>62</v>
      </c>
      <c r="J949" s="7">
        <v>45444</v>
      </c>
      <c r="K949" s="2">
        <v>45536</v>
      </c>
      <c r="L949" s="1">
        <v>3</v>
      </c>
      <c r="M949" s="1" t="s">
        <v>97</v>
      </c>
      <c r="N949" s="1" t="s">
        <v>63</v>
      </c>
      <c r="O949" s="1">
        <v>21672.92</v>
      </c>
      <c r="P949" s="1">
        <v>4</v>
      </c>
      <c r="Q949" s="1" t="s">
        <v>72</v>
      </c>
    </row>
    <row r="950" spans="1:17">
      <c r="A950" s="1" t="s">
        <v>1585</v>
      </c>
      <c r="B950" s="1" t="s">
        <v>553</v>
      </c>
      <c r="C950" s="1">
        <v>78</v>
      </c>
      <c r="D950" s="1" t="s">
        <v>19</v>
      </c>
      <c r="E950" s="1" t="s">
        <v>44</v>
      </c>
      <c r="F950" s="1" t="s">
        <v>52</v>
      </c>
      <c r="G950" s="1" t="s">
        <v>110</v>
      </c>
      <c r="H950" s="1" t="s">
        <v>99</v>
      </c>
      <c r="I950" s="1" t="s">
        <v>24</v>
      </c>
      <c r="J950" s="7">
        <v>45722</v>
      </c>
      <c r="K950" s="2">
        <v>45753</v>
      </c>
      <c r="L950" s="1">
        <v>1</v>
      </c>
      <c r="M950" s="1" t="s">
        <v>27</v>
      </c>
      <c r="N950" s="1" t="s">
        <v>63</v>
      </c>
      <c r="O950" s="1">
        <v>103171.78</v>
      </c>
      <c r="P950" s="1">
        <v>3</v>
      </c>
      <c r="Q950" s="1" t="s">
        <v>58</v>
      </c>
    </row>
    <row r="951" spans="1:17">
      <c r="A951" s="1" t="s">
        <v>1586</v>
      </c>
      <c r="B951" s="1" t="s">
        <v>384</v>
      </c>
      <c r="C951" s="1">
        <v>80</v>
      </c>
      <c r="D951" s="1" t="s">
        <v>27</v>
      </c>
      <c r="E951" s="1" t="s">
        <v>44</v>
      </c>
      <c r="F951" s="1" t="s">
        <v>33</v>
      </c>
      <c r="G951" s="1" t="s">
        <v>104</v>
      </c>
      <c r="H951" s="1" t="s">
        <v>45</v>
      </c>
      <c r="I951" s="1" t="s">
        <v>24</v>
      </c>
      <c r="J951" s="7" t="s">
        <v>1219</v>
      </c>
      <c r="K951" s="1" t="s">
        <v>854</v>
      </c>
      <c r="L951" s="1">
        <v>2</v>
      </c>
      <c r="M951" s="1" t="s">
        <v>27</v>
      </c>
      <c r="N951" s="1" t="s">
        <v>85</v>
      </c>
      <c r="O951" s="1">
        <v>76908.05</v>
      </c>
      <c r="P951" s="1">
        <v>3</v>
      </c>
      <c r="Q951" s="1" t="s">
        <v>29</v>
      </c>
    </row>
    <row r="952" spans="1:17">
      <c r="A952" s="1" t="s">
        <v>1587</v>
      </c>
      <c r="B952" s="1" t="s">
        <v>837</v>
      </c>
      <c r="C952" s="1">
        <v>43</v>
      </c>
      <c r="D952" s="1" t="s">
        <v>27</v>
      </c>
      <c r="E952" s="1" t="s">
        <v>20</v>
      </c>
      <c r="F952" s="1" t="s">
        <v>75</v>
      </c>
      <c r="G952" s="1" t="s">
        <v>68</v>
      </c>
      <c r="H952" s="1" t="s">
        <v>69</v>
      </c>
      <c r="I952" s="1" t="s">
        <v>36</v>
      </c>
      <c r="J952" s="7" t="s">
        <v>195</v>
      </c>
      <c r="K952" s="1" t="s">
        <v>558</v>
      </c>
      <c r="L952" s="1">
        <v>1</v>
      </c>
      <c r="M952" s="1" t="s">
        <v>56</v>
      </c>
      <c r="N952" s="1" t="s">
        <v>82</v>
      </c>
      <c r="O952" s="1">
        <v>57171.199999999997</v>
      </c>
      <c r="P952" s="1">
        <v>5</v>
      </c>
      <c r="Q952" s="1" t="s">
        <v>29</v>
      </c>
    </row>
    <row r="953" spans="1:17">
      <c r="A953" s="1" t="s">
        <v>1588</v>
      </c>
      <c r="B953" s="1" t="s">
        <v>361</v>
      </c>
      <c r="C953" s="1">
        <v>56</v>
      </c>
      <c r="D953" s="1" t="s">
        <v>43</v>
      </c>
      <c r="E953" s="1" t="s">
        <v>66</v>
      </c>
      <c r="F953" s="1" t="s">
        <v>52</v>
      </c>
      <c r="G953" s="1" t="s">
        <v>22</v>
      </c>
      <c r="H953" s="1" t="s">
        <v>93</v>
      </c>
      <c r="I953" s="1" t="s">
        <v>36</v>
      </c>
      <c r="J953" s="7" t="s">
        <v>200</v>
      </c>
      <c r="K953" s="2">
        <v>45755</v>
      </c>
      <c r="L953" s="1">
        <v>4</v>
      </c>
      <c r="M953" s="1" t="s">
        <v>38</v>
      </c>
      <c r="N953" s="1" t="s">
        <v>90</v>
      </c>
      <c r="O953" s="1">
        <v>67756.789999999994</v>
      </c>
      <c r="P953" s="1">
        <v>5</v>
      </c>
      <c r="Q953" s="1" t="s">
        <v>29</v>
      </c>
    </row>
    <row r="954" spans="1:17">
      <c r="A954" s="1" t="s">
        <v>1589</v>
      </c>
      <c r="B954" s="1" t="s">
        <v>143</v>
      </c>
      <c r="C954" s="1">
        <v>67</v>
      </c>
      <c r="D954" s="1" t="s">
        <v>27</v>
      </c>
      <c r="E954" s="1" t="s">
        <v>117</v>
      </c>
      <c r="F954" s="1" t="s">
        <v>75</v>
      </c>
      <c r="G954" s="1" t="s">
        <v>53</v>
      </c>
      <c r="H954" s="1" t="s">
        <v>61</v>
      </c>
      <c r="I954" s="1" t="s">
        <v>62</v>
      </c>
      <c r="J954" s="7" t="s">
        <v>720</v>
      </c>
      <c r="K954" s="1" t="s">
        <v>899</v>
      </c>
      <c r="L954" s="1">
        <v>6</v>
      </c>
      <c r="M954" s="1" t="s">
        <v>97</v>
      </c>
      <c r="N954" s="1" t="s">
        <v>63</v>
      </c>
      <c r="O954" s="1">
        <v>129438.18</v>
      </c>
      <c r="P954" s="1">
        <v>4</v>
      </c>
      <c r="Q954" s="1" t="s">
        <v>72</v>
      </c>
    </row>
    <row r="955" spans="1:17">
      <c r="A955" s="1" t="s">
        <v>1590</v>
      </c>
      <c r="B955" s="1" t="s">
        <v>709</v>
      </c>
      <c r="C955" s="1">
        <v>19</v>
      </c>
      <c r="D955" s="1" t="s">
        <v>27</v>
      </c>
      <c r="E955" s="1" t="s">
        <v>32</v>
      </c>
      <c r="F955" s="1" t="s">
        <v>67</v>
      </c>
      <c r="G955" s="1" t="s">
        <v>110</v>
      </c>
      <c r="H955" s="1" t="s">
        <v>76</v>
      </c>
      <c r="I955" s="1" t="s">
        <v>62</v>
      </c>
      <c r="J955" s="7">
        <v>45696</v>
      </c>
      <c r="K955" s="2">
        <v>45785</v>
      </c>
      <c r="L955" s="1">
        <v>3</v>
      </c>
      <c r="M955" s="1" t="s">
        <v>27</v>
      </c>
      <c r="N955" s="1" t="s">
        <v>57</v>
      </c>
      <c r="O955" s="1">
        <v>83920.28</v>
      </c>
      <c r="P955" s="1">
        <v>4</v>
      </c>
      <c r="Q955" s="1" t="s">
        <v>40</v>
      </c>
    </row>
    <row r="956" spans="1:17">
      <c r="A956" s="1" t="s">
        <v>1591</v>
      </c>
      <c r="B956" s="1" t="s">
        <v>1359</v>
      </c>
      <c r="C956" s="1">
        <v>53</v>
      </c>
      <c r="D956" s="1" t="s">
        <v>27</v>
      </c>
      <c r="E956" s="1" t="s">
        <v>51</v>
      </c>
      <c r="F956" s="1" t="s">
        <v>120</v>
      </c>
      <c r="G956" s="1" t="s">
        <v>36</v>
      </c>
      <c r="H956" s="1" t="s">
        <v>45</v>
      </c>
      <c r="I956" s="1" t="s">
        <v>24</v>
      </c>
      <c r="J956" s="7" t="s">
        <v>210</v>
      </c>
      <c r="K956" s="1" t="s">
        <v>1592</v>
      </c>
      <c r="L956" s="1">
        <v>1</v>
      </c>
      <c r="M956" s="1" t="s">
        <v>38</v>
      </c>
      <c r="N956" s="1" t="s">
        <v>39</v>
      </c>
      <c r="O956" s="1">
        <v>61056.85</v>
      </c>
      <c r="P956" s="1">
        <v>4</v>
      </c>
      <c r="Q956" s="1" t="s">
        <v>72</v>
      </c>
    </row>
    <row r="957" spans="1:17">
      <c r="A957" s="1" t="s">
        <v>1593</v>
      </c>
      <c r="B957" s="1" t="s">
        <v>190</v>
      </c>
      <c r="C957" s="1">
        <v>33</v>
      </c>
      <c r="D957" s="1" t="s">
        <v>19</v>
      </c>
      <c r="E957" s="1" t="s">
        <v>159</v>
      </c>
      <c r="F957" s="1" t="s">
        <v>21</v>
      </c>
      <c r="G957" s="1" t="s">
        <v>68</v>
      </c>
      <c r="H957" s="1" t="s">
        <v>23</v>
      </c>
      <c r="I957" s="1" t="s">
        <v>36</v>
      </c>
      <c r="J957" s="7" t="s">
        <v>716</v>
      </c>
      <c r="K957" s="2">
        <v>45392</v>
      </c>
      <c r="L957" s="1">
        <v>4</v>
      </c>
      <c r="M957" s="1" t="s">
        <v>48</v>
      </c>
      <c r="N957" s="1" t="s">
        <v>63</v>
      </c>
      <c r="O957" s="1">
        <v>31848.81</v>
      </c>
      <c r="P957" s="1">
        <v>5</v>
      </c>
      <c r="Q957" s="1" t="s">
        <v>58</v>
      </c>
    </row>
    <row r="958" spans="1:17">
      <c r="A958" s="1" t="s">
        <v>1594</v>
      </c>
      <c r="B958" s="1" t="s">
        <v>593</v>
      </c>
      <c r="C958" s="1">
        <v>77</v>
      </c>
      <c r="D958" s="1" t="s">
        <v>43</v>
      </c>
      <c r="E958" s="1" t="s">
        <v>32</v>
      </c>
      <c r="F958" s="1" t="s">
        <v>33</v>
      </c>
      <c r="G958" s="1" t="s">
        <v>132</v>
      </c>
      <c r="H958" s="1" t="s">
        <v>69</v>
      </c>
      <c r="I958" s="1" t="s">
        <v>24</v>
      </c>
      <c r="J958" s="7">
        <v>45690</v>
      </c>
      <c r="K958" s="2">
        <v>45749</v>
      </c>
      <c r="L958" s="1">
        <v>2</v>
      </c>
      <c r="M958" s="1" t="s">
        <v>48</v>
      </c>
      <c r="N958" s="1" t="s">
        <v>90</v>
      </c>
      <c r="O958" s="1">
        <v>36443.39</v>
      </c>
      <c r="P958" s="1">
        <v>5</v>
      </c>
      <c r="Q958" s="1" t="s">
        <v>40</v>
      </c>
    </row>
    <row r="959" spans="1:17">
      <c r="A959" s="1" t="s">
        <v>1595</v>
      </c>
      <c r="B959" s="1" t="s">
        <v>548</v>
      </c>
      <c r="C959" s="1">
        <v>11</v>
      </c>
      <c r="D959" s="1" t="s">
        <v>43</v>
      </c>
      <c r="E959" s="1" t="s">
        <v>137</v>
      </c>
      <c r="F959" s="1" t="s">
        <v>52</v>
      </c>
      <c r="G959" s="1" t="s">
        <v>34</v>
      </c>
      <c r="H959" s="1" t="s">
        <v>93</v>
      </c>
      <c r="I959" s="1" t="s">
        <v>36</v>
      </c>
      <c r="J959" s="7">
        <v>45818</v>
      </c>
      <c r="K959" s="2">
        <v>45848</v>
      </c>
      <c r="L959" s="1">
        <v>1</v>
      </c>
      <c r="M959" s="1" t="s">
        <v>48</v>
      </c>
      <c r="N959" s="1" t="s">
        <v>63</v>
      </c>
      <c r="O959" s="1">
        <v>56783.37</v>
      </c>
      <c r="P959" s="1">
        <v>4</v>
      </c>
      <c r="Q959" s="1" t="s">
        <v>40</v>
      </c>
    </row>
    <row r="960" spans="1:17">
      <c r="A960" s="1" t="s">
        <v>1596</v>
      </c>
      <c r="B960" s="1" t="s">
        <v>1038</v>
      </c>
      <c r="C960" s="1">
        <v>29</v>
      </c>
      <c r="D960" s="1" t="s">
        <v>27</v>
      </c>
      <c r="E960" s="1" t="s">
        <v>137</v>
      </c>
      <c r="F960" s="1" t="s">
        <v>33</v>
      </c>
      <c r="G960" s="1" t="s">
        <v>104</v>
      </c>
      <c r="H960" s="1" t="s">
        <v>69</v>
      </c>
      <c r="I960" s="1" t="s">
        <v>24</v>
      </c>
      <c r="J960" s="7" t="s">
        <v>532</v>
      </c>
      <c r="K960" s="1" t="s">
        <v>460</v>
      </c>
      <c r="L960" s="1">
        <v>1</v>
      </c>
      <c r="M960" s="1" t="s">
        <v>56</v>
      </c>
      <c r="N960" s="1" t="s">
        <v>90</v>
      </c>
      <c r="O960" s="1">
        <v>32549.57</v>
      </c>
      <c r="P960" s="1">
        <v>3</v>
      </c>
      <c r="Q960" s="1" t="s">
        <v>29</v>
      </c>
    </row>
    <row r="961" spans="1:17">
      <c r="A961" s="1" t="s">
        <v>1597</v>
      </c>
      <c r="B961" s="1" t="s">
        <v>521</v>
      </c>
      <c r="C961" s="1">
        <v>45</v>
      </c>
      <c r="D961" s="1" t="s">
        <v>19</v>
      </c>
      <c r="E961" s="1" t="s">
        <v>117</v>
      </c>
      <c r="F961" s="1" t="s">
        <v>75</v>
      </c>
      <c r="G961" s="1" t="s">
        <v>104</v>
      </c>
      <c r="H961" s="1" t="s">
        <v>76</v>
      </c>
      <c r="I961" s="1" t="s">
        <v>62</v>
      </c>
      <c r="J961" s="7" t="s">
        <v>184</v>
      </c>
      <c r="K961" s="1" t="s">
        <v>751</v>
      </c>
      <c r="L961" s="1">
        <v>7</v>
      </c>
      <c r="M961" s="1" t="s">
        <v>27</v>
      </c>
      <c r="N961" s="1" t="s">
        <v>63</v>
      </c>
      <c r="O961" s="1">
        <v>79385.570000000007</v>
      </c>
      <c r="P961" s="1">
        <v>5</v>
      </c>
      <c r="Q961" s="1" t="s">
        <v>40</v>
      </c>
    </row>
    <row r="962" spans="1:17">
      <c r="A962" s="1" t="s">
        <v>1598</v>
      </c>
      <c r="B962" s="1" t="s">
        <v>321</v>
      </c>
      <c r="C962" s="1">
        <v>9</v>
      </c>
      <c r="D962" s="1" t="s">
        <v>19</v>
      </c>
      <c r="E962" s="1" t="s">
        <v>159</v>
      </c>
      <c r="F962" s="1" t="s">
        <v>67</v>
      </c>
      <c r="G962" s="1" t="s">
        <v>110</v>
      </c>
      <c r="H962" s="1" t="s">
        <v>88</v>
      </c>
      <c r="I962" s="1" t="s">
        <v>36</v>
      </c>
      <c r="J962" s="7" t="s">
        <v>239</v>
      </c>
      <c r="K962" s="1" t="s">
        <v>240</v>
      </c>
      <c r="L962" s="1">
        <v>3</v>
      </c>
      <c r="M962" s="1" t="s">
        <v>97</v>
      </c>
      <c r="N962" s="1" t="s">
        <v>28</v>
      </c>
      <c r="O962" s="1">
        <v>77681.919999999998</v>
      </c>
      <c r="P962" s="1">
        <v>3</v>
      </c>
      <c r="Q962" s="1" t="s">
        <v>29</v>
      </c>
    </row>
    <row r="963" spans="1:17">
      <c r="A963" s="1" t="s">
        <v>1599</v>
      </c>
      <c r="B963" s="1" t="s">
        <v>295</v>
      </c>
      <c r="C963" s="1">
        <v>22</v>
      </c>
      <c r="D963" s="1" t="s">
        <v>27</v>
      </c>
      <c r="E963" s="1" t="s">
        <v>51</v>
      </c>
      <c r="F963" s="1" t="s">
        <v>67</v>
      </c>
      <c r="G963" s="1" t="s">
        <v>132</v>
      </c>
      <c r="H963" s="1" t="s">
        <v>23</v>
      </c>
      <c r="I963" s="1" t="s">
        <v>62</v>
      </c>
      <c r="J963" s="7" t="s">
        <v>904</v>
      </c>
      <c r="K963" s="1" t="s">
        <v>195</v>
      </c>
      <c r="L963" s="1">
        <v>1</v>
      </c>
      <c r="M963" s="1" t="s">
        <v>97</v>
      </c>
      <c r="N963" s="1" t="s">
        <v>28</v>
      </c>
      <c r="O963" s="1">
        <v>83506.73</v>
      </c>
      <c r="P963" s="1">
        <v>3</v>
      </c>
      <c r="Q963" s="1" t="s">
        <v>29</v>
      </c>
    </row>
    <row r="964" spans="1:17">
      <c r="A964" s="1" t="s">
        <v>1600</v>
      </c>
      <c r="B964" s="1" t="s">
        <v>208</v>
      </c>
      <c r="C964" s="1">
        <v>28</v>
      </c>
      <c r="D964" s="1" t="s">
        <v>43</v>
      </c>
      <c r="E964" s="1" t="s">
        <v>51</v>
      </c>
      <c r="F964" s="1" t="s">
        <v>75</v>
      </c>
      <c r="G964" s="1" t="s">
        <v>34</v>
      </c>
      <c r="H964" s="1" t="s">
        <v>35</v>
      </c>
      <c r="I964" s="1" t="s">
        <v>36</v>
      </c>
      <c r="J964" s="7" t="s">
        <v>1254</v>
      </c>
      <c r="K964" s="1" t="s">
        <v>952</v>
      </c>
      <c r="L964" s="1">
        <v>4</v>
      </c>
      <c r="M964" s="1" t="s">
        <v>97</v>
      </c>
      <c r="N964" s="1" t="s">
        <v>82</v>
      </c>
      <c r="O964" s="1">
        <v>111972.08</v>
      </c>
      <c r="P964" s="1">
        <v>3</v>
      </c>
      <c r="Q964" s="1" t="s">
        <v>40</v>
      </c>
    </row>
    <row r="965" spans="1:17">
      <c r="A965" s="1" t="s">
        <v>1601</v>
      </c>
      <c r="B965" s="1" t="s">
        <v>295</v>
      </c>
      <c r="C965" s="1">
        <v>7</v>
      </c>
      <c r="D965" s="1" t="s">
        <v>19</v>
      </c>
      <c r="E965" s="1" t="s">
        <v>51</v>
      </c>
      <c r="F965" s="1" t="s">
        <v>21</v>
      </c>
      <c r="G965" s="1" t="s">
        <v>36</v>
      </c>
      <c r="H965" s="1" t="s">
        <v>93</v>
      </c>
      <c r="I965" s="1" t="s">
        <v>36</v>
      </c>
      <c r="J965" s="7">
        <v>45842</v>
      </c>
      <c r="K965" s="1" t="s">
        <v>591</v>
      </c>
      <c r="L965" s="1">
        <v>6</v>
      </c>
      <c r="M965" s="1" t="s">
        <v>48</v>
      </c>
      <c r="N965" s="1" t="s">
        <v>28</v>
      </c>
      <c r="O965" s="1">
        <v>50995.27</v>
      </c>
      <c r="P965" s="1">
        <v>5</v>
      </c>
      <c r="Q965" s="1" t="s">
        <v>29</v>
      </c>
    </row>
    <row r="966" spans="1:17">
      <c r="A966" s="1" t="s">
        <v>1602</v>
      </c>
      <c r="B966" s="1" t="s">
        <v>348</v>
      </c>
      <c r="C966" s="1">
        <v>82</v>
      </c>
      <c r="D966" s="1" t="s">
        <v>19</v>
      </c>
      <c r="E966" s="1" t="s">
        <v>159</v>
      </c>
      <c r="F966" s="1" t="s">
        <v>52</v>
      </c>
      <c r="G966" s="1" t="s">
        <v>132</v>
      </c>
      <c r="H966" s="1" t="s">
        <v>105</v>
      </c>
      <c r="I966" s="1" t="s">
        <v>24</v>
      </c>
      <c r="J966" s="7" t="s">
        <v>484</v>
      </c>
      <c r="K966" s="1" t="s">
        <v>487</v>
      </c>
      <c r="L966" s="1">
        <v>4</v>
      </c>
      <c r="M966" s="1" t="s">
        <v>27</v>
      </c>
      <c r="N966" s="1" t="s">
        <v>57</v>
      </c>
      <c r="O966" s="1">
        <v>49917.99</v>
      </c>
      <c r="P966" s="1">
        <v>5</v>
      </c>
      <c r="Q966" s="1" t="s">
        <v>29</v>
      </c>
    </row>
    <row r="967" spans="1:17">
      <c r="A967" s="1" t="s">
        <v>1603</v>
      </c>
      <c r="B967" s="1" t="s">
        <v>816</v>
      </c>
      <c r="C967" s="1">
        <v>55</v>
      </c>
      <c r="D967" s="1" t="s">
        <v>19</v>
      </c>
      <c r="E967" s="1" t="s">
        <v>202</v>
      </c>
      <c r="F967" s="1" t="s">
        <v>33</v>
      </c>
      <c r="G967" s="1" t="s">
        <v>110</v>
      </c>
      <c r="H967" s="1" t="s">
        <v>23</v>
      </c>
      <c r="I967" s="1" t="s">
        <v>24</v>
      </c>
      <c r="J967" s="7">
        <v>45815</v>
      </c>
      <c r="K967" s="1" t="s">
        <v>641</v>
      </c>
      <c r="L967" s="1">
        <v>12</v>
      </c>
      <c r="M967" s="1" t="s">
        <v>27</v>
      </c>
      <c r="N967" s="1" t="s">
        <v>90</v>
      </c>
      <c r="O967" s="1">
        <v>114750.12</v>
      </c>
      <c r="P967" s="1">
        <v>1</v>
      </c>
      <c r="Q967" s="1" t="s">
        <v>58</v>
      </c>
    </row>
    <row r="968" spans="1:17">
      <c r="A968" s="1" t="s">
        <v>1604</v>
      </c>
      <c r="B968" s="1" t="s">
        <v>636</v>
      </c>
      <c r="C968" s="1">
        <v>52</v>
      </c>
      <c r="D968" s="1" t="s">
        <v>27</v>
      </c>
      <c r="E968" s="1" t="s">
        <v>247</v>
      </c>
      <c r="F968" s="1" t="s">
        <v>75</v>
      </c>
      <c r="G968" s="1" t="s">
        <v>104</v>
      </c>
      <c r="H968" s="1" t="s">
        <v>61</v>
      </c>
      <c r="I968" s="1" t="s">
        <v>62</v>
      </c>
      <c r="J968" s="7">
        <v>45296</v>
      </c>
      <c r="K968" s="2">
        <v>45417</v>
      </c>
      <c r="L968" s="1">
        <v>4</v>
      </c>
      <c r="M968" s="1" t="s">
        <v>27</v>
      </c>
      <c r="N968" s="1" t="s">
        <v>85</v>
      </c>
      <c r="O968" s="1">
        <v>77722.81</v>
      </c>
      <c r="P968" s="1">
        <v>4</v>
      </c>
      <c r="Q968" s="1" t="s">
        <v>72</v>
      </c>
    </row>
    <row r="969" spans="1:17">
      <c r="A969" s="1" t="s">
        <v>1605</v>
      </c>
      <c r="B969" s="1" t="s">
        <v>510</v>
      </c>
      <c r="C969" s="1">
        <v>85</v>
      </c>
      <c r="D969" s="1" t="s">
        <v>19</v>
      </c>
      <c r="E969" s="1" t="s">
        <v>51</v>
      </c>
      <c r="F969" s="1" t="s">
        <v>33</v>
      </c>
      <c r="G969" s="1" t="s">
        <v>110</v>
      </c>
      <c r="H969" s="1" t="s">
        <v>45</v>
      </c>
      <c r="I969" s="1" t="s">
        <v>36</v>
      </c>
      <c r="J969" s="7">
        <v>45358</v>
      </c>
      <c r="K969" s="2">
        <v>45511</v>
      </c>
      <c r="L969" s="1">
        <v>5</v>
      </c>
      <c r="M969" s="1" t="s">
        <v>38</v>
      </c>
      <c r="N969" s="1" t="s">
        <v>57</v>
      </c>
      <c r="O969" s="1">
        <v>152886.54</v>
      </c>
      <c r="P969" s="1">
        <v>4</v>
      </c>
      <c r="Q969" s="1" t="s">
        <v>29</v>
      </c>
    </row>
    <row r="970" spans="1:17">
      <c r="A970" s="1" t="s">
        <v>1606</v>
      </c>
      <c r="B970" s="1" t="s">
        <v>242</v>
      </c>
      <c r="C970" s="1">
        <v>10</v>
      </c>
      <c r="D970" s="1" t="s">
        <v>27</v>
      </c>
      <c r="E970" s="1" t="s">
        <v>20</v>
      </c>
      <c r="F970" s="1" t="s">
        <v>33</v>
      </c>
      <c r="G970" s="1" t="s">
        <v>53</v>
      </c>
      <c r="H970" s="1" t="s">
        <v>69</v>
      </c>
      <c r="I970" s="1" t="s">
        <v>24</v>
      </c>
      <c r="J970" s="7" t="s">
        <v>500</v>
      </c>
      <c r="K970" s="1" t="s">
        <v>1607</v>
      </c>
      <c r="L970" s="1">
        <v>1</v>
      </c>
      <c r="M970" s="1" t="s">
        <v>27</v>
      </c>
      <c r="N970" s="1" t="s">
        <v>90</v>
      </c>
      <c r="O970" s="1">
        <v>66132</v>
      </c>
      <c r="P970" s="1">
        <v>4</v>
      </c>
      <c r="Q970" s="1" t="s">
        <v>40</v>
      </c>
    </row>
    <row r="971" spans="1:17">
      <c r="A971" s="1" t="s">
        <v>1608</v>
      </c>
      <c r="B971" s="1" t="s">
        <v>179</v>
      </c>
      <c r="C971" s="1">
        <v>70</v>
      </c>
      <c r="D971" s="1" t="s">
        <v>19</v>
      </c>
      <c r="E971" s="1" t="s">
        <v>66</v>
      </c>
      <c r="F971" s="1" t="s">
        <v>120</v>
      </c>
      <c r="G971" s="1" t="s">
        <v>132</v>
      </c>
      <c r="H971" s="1" t="s">
        <v>23</v>
      </c>
      <c r="I971" s="1" t="s">
        <v>24</v>
      </c>
      <c r="J971" s="7">
        <v>45602</v>
      </c>
      <c r="K971" s="1" t="s">
        <v>1221</v>
      </c>
      <c r="L971" s="1">
        <v>3</v>
      </c>
      <c r="M971" s="1" t="s">
        <v>38</v>
      </c>
      <c r="N971" s="1" t="s">
        <v>39</v>
      </c>
      <c r="O971" s="1">
        <v>43620.01</v>
      </c>
      <c r="P971" s="1">
        <v>5</v>
      </c>
      <c r="Q971" s="1" t="s">
        <v>72</v>
      </c>
    </row>
    <row r="972" spans="1:17">
      <c r="A972" s="1" t="s">
        <v>1609</v>
      </c>
      <c r="B972" s="1" t="s">
        <v>499</v>
      </c>
      <c r="C972" s="1">
        <v>83</v>
      </c>
      <c r="D972" s="1" t="s">
        <v>19</v>
      </c>
      <c r="E972" s="1" t="s">
        <v>20</v>
      </c>
      <c r="F972" s="1" t="s">
        <v>67</v>
      </c>
      <c r="G972" s="1" t="s">
        <v>104</v>
      </c>
      <c r="H972" s="1" t="s">
        <v>99</v>
      </c>
      <c r="I972" s="1" t="s">
        <v>62</v>
      </c>
      <c r="J972" s="7" t="s">
        <v>358</v>
      </c>
      <c r="K972" s="1" t="s">
        <v>1610</v>
      </c>
      <c r="L972" s="1">
        <v>3</v>
      </c>
      <c r="M972" s="1" t="s">
        <v>97</v>
      </c>
      <c r="N972" s="1" t="s">
        <v>57</v>
      </c>
      <c r="O972" s="1">
        <v>62755.47</v>
      </c>
      <c r="P972" s="1">
        <v>4</v>
      </c>
      <c r="Q972" s="1" t="s">
        <v>58</v>
      </c>
    </row>
    <row r="973" spans="1:17">
      <c r="A973" s="1" t="s">
        <v>1611</v>
      </c>
      <c r="B973" s="1" t="s">
        <v>405</v>
      </c>
      <c r="C973" s="1">
        <v>26</v>
      </c>
      <c r="D973" s="1" t="s">
        <v>27</v>
      </c>
      <c r="E973" s="1" t="s">
        <v>159</v>
      </c>
      <c r="F973" s="1" t="s">
        <v>67</v>
      </c>
      <c r="G973" s="1" t="s">
        <v>68</v>
      </c>
      <c r="H973" s="1" t="s">
        <v>76</v>
      </c>
      <c r="I973" s="1" t="s">
        <v>24</v>
      </c>
      <c r="J973" s="7">
        <v>45727</v>
      </c>
      <c r="K973" s="2">
        <v>45758</v>
      </c>
      <c r="L973" s="1">
        <v>1</v>
      </c>
      <c r="M973" s="1" t="s">
        <v>97</v>
      </c>
      <c r="N973" s="1" t="s">
        <v>57</v>
      </c>
      <c r="O973" s="1">
        <v>68958.100000000006</v>
      </c>
      <c r="P973" s="1">
        <v>5</v>
      </c>
      <c r="Q973" s="1" t="s">
        <v>29</v>
      </c>
    </row>
    <row r="974" spans="1:17">
      <c r="A974" s="1" t="s">
        <v>1612</v>
      </c>
      <c r="B974" s="1" t="s">
        <v>126</v>
      </c>
      <c r="C974" s="1">
        <v>80</v>
      </c>
      <c r="D974" s="1" t="s">
        <v>27</v>
      </c>
      <c r="E974" s="1" t="s">
        <v>51</v>
      </c>
      <c r="F974" s="1" t="s">
        <v>75</v>
      </c>
      <c r="G974" s="1" t="s">
        <v>110</v>
      </c>
      <c r="H974" s="1" t="s">
        <v>88</v>
      </c>
      <c r="I974" s="1" t="s">
        <v>62</v>
      </c>
      <c r="J974" s="7" t="s">
        <v>292</v>
      </c>
      <c r="K974" s="1" t="s">
        <v>667</v>
      </c>
      <c r="L974" s="1">
        <v>4</v>
      </c>
      <c r="M974" s="1" t="s">
        <v>56</v>
      </c>
      <c r="N974" s="1" t="s">
        <v>63</v>
      </c>
      <c r="O974" s="1">
        <v>68381.64</v>
      </c>
      <c r="P974" s="1">
        <v>5</v>
      </c>
      <c r="Q974" s="1" t="s">
        <v>29</v>
      </c>
    </row>
    <row r="975" spans="1:17">
      <c r="A975" s="1" t="s">
        <v>1613</v>
      </c>
      <c r="B975" s="1" t="s">
        <v>892</v>
      </c>
      <c r="C975" s="1">
        <v>48</v>
      </c>
      <c r="D975" s="1" t="s">
        <v>19</v>
      </c>
      <c r="E975" s="1" t="s">
        <v>202</v>
      </c>
      <c r="F975" s="1" t="s">
        <v>52</v>
      </c>
      <c r="G975" s="1" t="s">
        <v>53</v>
      </c>
      <c r="H975" s="1" t="s">
        <v>76</v>
      </c>
      <c r="I975" s="1" t="s">
        <v>36</v>
      </c>
      <c r="J975" s="7" t="s">
        <v>1614</v>
      </c>
      <c r="K975" s="1" t="s">
        <v>1118</v>
      </c>
      <c r="L975" s="1">
        <v>13</v>
      </c>
      <c r="M975" s="1" t="s">
        <v>56</v>
      </c>
      <c r="N975" s="1" t="s">
        <v>82</v>
      </c>
      <c r="O975" s="1">
        <v>87458.67</v>
      </c>
      <c r="P975" s="1">
        <v>4</v>
      </c>
      <c r="Q975" s="1" t="s">
        <v>29</v>
      </c>
    </row>
    <row r="976" spans="1:17">
      <c r="A976" s="1" t="s">
        <v>1615</v>
      </c>
      <c r="B976" s="1" t="s">
        <v>437</v>
      </c>
      <c r="C976" s="1">
        <v>44</v>
      </c>
      <c r="D976" s="1" t="s">
        <v>43</v>
      </c>
      <c r="E976" s="1" t="s">
        <v>66</v>
      </c>
      <c r="F976" s="1" t="s">
        <v>52</v>
      </c>
      <c r="G976" s="1" t="s">
        <v>104</v>
      </c>
      <c r="H976" s="1" t="s">
        <v>69</v>
      </c>
      <c r="I976" s="1" t="s">
        <v>36</v>
      </c>
      <c r="J976" s="7">
        <v>45301</v>
      </c>
      <c r="K976" s="2">
        <v>45332</v>
      </c>
      <c r="L976" s="1">
        <v>1</v>
      </c>
      <c r="M976" s="1" t="s">
        <v>56</v>
      </c>
      <c r="N976" s="1" t="s">
        <v>63</v>
      </c>
      <c r="O976" s="1">
        <v>40766.89</v>
      </c>
      <c r="P976" s="1">
        <v>3</v>
      </c>
      <c r="Q976" s="1" t="s">
        <v>40</v>
      </c>
    </row>
    <row r="977" spans="1:17">
      <c r="A977" s="1" t="s">
        <v>1616</v>
      </c>
      <c r="B977" s="1" t="s">
        <v>613</v>
      </c>
      <c r="C977" s="1">
        <v>51</v>
      </c>
      <c r="D977" s="1" t="s">
        <v>19</v>
      </c>
      <c r="E977" s="1" t="s">
        <v>247</v>
      </c>
      <c r="F977" s="1" t="s">
        <v>33</v>
      </c>
      <c r="G977" s="1" t="s">
        <v>53</v>
      </c>
      <c r="H977" s="1" t="s">
        <v>35</v>
      </c>
      <c r="I977" s="1" t="s">
        <v>36</v>
      </c>
      <c r="J977" s="7" t="s">
        <v>415</v>
      </c>
      <c r="K977" s="1" t="s">
        <v>1138</v>
      </c>
      <c r="L977" s="1">
        <v>1</v>
      </c>
      <c r="M977" s="1" t="s">
        <v>27</v>
      </c>
      <c r="N977" s="1" t="s">
        <v>85</v>
      </c>
      <c r="O977" s="1">
        <v>76576.600000000006</v>
      </c>
      <c r="P977" s="1">
        <v>5</v>
      </c>
      <c r="Q977" s="1" t="s">
        <v>58</v>
      </c>
    </row>
    <row r="978" spans="1:17">
      <c r="A978" s="1" t="s">
        <v>1617</v>
      </c>
      <c r="B978" s="1" t="s">
        <v>226</v>
      </c>
      <c r="C978" s="1">
        <v>76</v>
      </c>
      <c r="D978" s="1" t="s">
        <v>19</v>
      </c>
      <c r="E978" s="1" t="s">
        <v>247</v>
      </c>
      <c r="F978" s="1" t="s">
        <v>120</v>
      </c>
      <c r="G978" s="1" t="s">
        <v>53</v>
      </c>
      <c r="H978" s="1" t="s">
        <v>45</v>
      </c>
      <c r="I978" s="1" t="s">
        <v>36</v>
      </c>
      <c r="J978" s="7">
        <v>46003</v>
      </c>
      <c r="K978" s="1" t="s">
        <v>438</v>
      </c>
      <c r="L978" s="1">
        <v>3</v>
      </c>
      <c r="M978" s="1" t="s">
        <v>97</v>
      </c>
      <c r="N978" s="1" t="s">
        <v>90</v>
      </c>
      <c r="O978" s="1">
        <v>59252.33</v>
      </c>
      <c r="P978" s="1">
        <v>4</v>
      </c>
      <c r="Q978" s="1" t="s">
        <v>40</v>
      </c>
    </row>
    <row r="979" spans="1:17">
      <c r="A979" s="1" t="s">
        <v>1618</v>
      </c>
      <c r="B979" s="1" t="s">
        <v>109</v>
      </c>
      <c r="C979" s="1">
        <v>50</v>
      </c>
      <c r="D979" s="1" t="s">
        <v>27</v>
      </c>
      <c r="E979" s="1" t="s">
        <v>51</v>
      </c>
      <c r="F979" s="1" t="s">
        <v>67</v>
      </c>
      <c r="G979" s="1" t="s">
        <v>68</v>
      </c>
      <c r="H979" s="1" t="s">
        <v>105</v>
      </c>
      <c r="I979" s="1" t="s">
        <v>36</v>
      </c>
      <c r="J979" s="7" t="s">
        <v>214</v>
      </c>
      <c r="K979" s="2">
        <v>45363</v>
      </c>
      <c r="L979" s="1">
        <v>5</v>
      </c>
      <c r="M979" s="1" t="s">
        <v>48</v>
      </c>
      <c r="N979" s="1" t="s">
        <v>57</v>
      </c>
      <c r="O979" s="1">
        <v>28367.09</v>
      </c>
      <c r="P979" s="1">
        <v>3</v>
      </c>
      <c r="Q979" s="1" t="s">
        <v>58</v>
      </c>
    </row>
    <row r="980" spans="1:17">
      <c r="A980" s="1" t="s">
        <v>1619</v>
      </c>
      <c r="B980" s="1" t="s">
        <v>131</v>
      </c>
      <c r="C980" s="1">
        <v>22</v>
      </c>
      <c r="D980" s="1" t="s">
        <v>19</v>
      </c>
      <c r="E980" s="1" t="s">
        <v>159</v>
      </c>
      <c r="F980" s="1" t="s">
        <v>75</v>
      </c>
      <c r="G980" s="1" t="s">
        <v>22</v>
      </c>
      <c r="H980" s="1" t="s">
        <v>88</v>
      </c>
      <c r="I980" s="1" t="s">
        <v>62</v>
      </c>
      <c r="J980" s="7" t="s">
        <v>239</v>
      </c>
      <c r="K980" s="1" t="s">
        <v>1025</v>
      </c>
      <c r="L980" s="1">
        <v>2</v>
      </c>
      <c r="M980" s="1" t="s">
        <v>38</v>
      </c>
      <c r="N980" s="1" t="s">
        <v>85</v>
      </c>
      <c r="O980" s="1">
        <v>27343.57</v>
      </c>
      <c r="P980" s="1">
        <v>3</v>
      </c>
      <c r="Q980" s="1" t="s">
        <v>72</v>
      </c>
    </row>
    <row r="981" spans="1:17">
      <c r="A981" s="1" t="s">
        <v>1620</v>
      </c>
      <c r="B981" s="1" t="s">
        <v>87</v>
      </c>
      <c r="C981" s="1">
        <v>28</v>
      </c>
      <c r="D981" s="1" t="s">
        <v>27</v>
      </c>
      <c r="E981" s="1" t="s">
        <v>137</v>
      </c>
      <c r="F981" s="1" t="s">
        <v>33</v>
      </c>
      <c r="G981" s="1" t="s">
        <v>36</v>
      </c>
      <c r="H981" s="1" t="s">
        <v>93</v>
      </c>
      <c r="I981" s="1" t="s">
        <v>62</v>
      </c>
      <c r="J981" s="7" t="s">
        <v>1563</v>
      </c>
      <c r="K981" s="2">
        <v>45298</v>
      </c>
      <c r="L981" s="1">
        <v>5</v>
      </c>
      <c r="M981" s="1" t="s">
        <v>48</v>
      </c>
      <c r="N981" s="1" t="s">
        <v>28</v>
      </c>
      <c r="O981" s="1">
        <v>65132.44</v>
      </c>
      <c r="P981" s="1">
        <v>5</v>
      </c>
      <c r="Q981" s="1" t="s">
        <v>40</v>
      </c>
    </row>
    <row r="982" spans="1:17">
      <c r="A982" s="1" t="s">
        <v>1621</v>
      </c>
      <c r="B982" s="1" t="s">
        <v>321</v>
      </c>
      <c r="C982" s="1">
        <v>20</v>
      </c>
      <c r="D982" s="1" t="s">
        <v>27</v>
      </c>
      <c r="E982" s="1" t="s">
        <v>44</v>
      </c>
      <c r="F982" s="1" t="s">
        <v>67</v>
      </c>
      <c r="G982" s="1" t="s">
        <v>22</v>
      </c>
      <c r="H982" s="1" t="s">
        <v>99</v>
      </c>
      <c r="I982" s="1" t="s">
        <v>62</v>
      </c>
      <c r="J982" s="7" t="s">
        <v>832</v>
      </c>
      <c r="K982" s="1" t="s">
        <v>399</v>
      </c>
      <c r="L982" s="1">
        <v>2</v>
      </c>
      <c r="M982" s="1" t="s">
        <v>27</v>
      </c>
      <c r="N982" s="1" t="s">
        <v>28</v>
      </c>
      <c r="O982" s="1">
        <v>68672.36</v>
      </c>
      <c r="P982" s="1">
        <v>3</v>
      </c>
      <c r="Q982" s="1" t="s">
        <v>29</v>
      </c>
    </row>
    <row r="983" spans="1:17">
      <c r="A983" s="1" t="s">
        <v>1622</v>
      </c>
      <c r="B983" s="1" t="s">
        <v>494</v>
      </c>
      <c r="C983" s="1">
        <v>62</v>
      </c>
      <c r="D983" s="1" t="s">
        <v>19</v>
      </c>
      <c r="E983" s="1" t="s">
        <v>202</v>
      </c>
      <c r="F983" s="1" t="s">
        <v>120</v>
      </c>
      <c r="G983" s="1" t="s">
        <v>53</v>
      </c>
      <c r="H983" s="1" t="s">
        <v>76</v>
      </c>
      <c r="I983" s="1" t="s">
        <v>24</v>
      </c>
      <c r="J983" s="7">
        <v>45422</v>
      </c>
      <c r="K983" s="2">
        <v>45453</v>
      </c>
      <c r="L983" s="1">
        <v>1</v>
      </c>
      <c r="M983" s="1" t="s">
        <v>27</v>
      </c>
      <c r="N983" s="1" t="s">
        <v>57</v>
      </c>
      <c r="O983" s="1">
        <v>31601.99</v>
      </c>
      <c r="P983" s="1">
        <v>4</v>
      </c>
      <c r="Q983" s="1" t="s">
        <v>58</v>
      </c>
    </row>
    <row r="984" spans="1:17">
      <c r="A984" s="1" t="s">
        <v>1623</v>
      </c>
      <c r="B984" s="1" t="s">
        <v>275</v>
      </c>
      <c r="C984" s="1">
        <v>69</v>
      </c>
      <c r="D984" s="1" t="s">
        <v>43</v>
      </c>
      <c r="E984" s="1" t="s">
        <v>247</v>
      </c>
      <c r="F984" s="1" t="s">
        <v>52</v>
      </c>
      <c r="G984" s="1" t="s">
        <v>68</v>
      </c>
      <c r="H984" s="1" t="s">
        <v>23</v>
      </c>
      <c r="I984" s="1" t="s">
        <v>24</v>
      </c>
      <c r="J984" s="7" t="s">
        <v>532</v>
      </c>
      <c r="K984" s="1" t="s">
        <v>1610</v>
      </c>
      <c r="L984" s="1">
        <v>7</v>
      </c>
      <c r="M984" s="1" t="s">
        <v>38</v>
      </c>
      <c r="N984" s="1" t="s">
        <v>85</v>
      </c>
      <c r="O984" s="1">
        <v>58148.59</v>
      </c>
      <c r="P984" s="1">
        <v>5</v>
      </c>
      <c r="Q984" s="1" t="s">
        <v>29</v>
      </c>
    </row>
    <row r="985" spans="1:17">
      <c r="A985" s="1" t="s">
        <v>1624</v>
      </c>
      <c r="B985" s="1" t="s">
        <v>527</v>
      </c>
      <c r="C985" s="1">
        <v>39</v>
      </c>
      <c r="D985" s="1" t="s">
        <v>27</v>
      </c>
      <c r="E985" s="1" t="s">
        <v>117</v>
      </c>
      <c r="F985" s="1" t="s">
        <v>120</v>
      </c>
      <c r="G985" s="1" t="s">
        <v>53</v>
      </c>
      <c r="H985" s="1" t="s">
        <v>99</v>
      </c>
      <c r="I985" s="1" t="s">
        <v>24</v>
      </c>
      <c r="J985" s="7">
        <v>45296</v>
      </c>
      <c r="K985" s="2">
        <v>45570</v>
      </c>
      <c r="L985" s="1">
        <v>9</v>
      </c>
      <c r="M985" s="1" t="s">
        <v>56</v>
      </c>
      <c r="N985" s="1" t="s">
        <v>90</v>
      </c>
      <c r="O985" s="1">
        <v>53908.12</v>
      </c>
      <c r="P985" s="1">
        <v>5</v>
      </c>
      <c r="Q985" s="1" t="s">
        <v>29</v>
      </c>
    </row>
    <row r="986" spans="1:17">
      <c r="A986" s="1" t="s">
        <v>1625</v>
      </c>
      <c r="B986" s="1" t="s">
        <v>510</v>
      </c>
      <c r="C986" s="1">
        <v>10</v>
      </c>
      <c r="D986" s="1" t="s">
        <v>19</v>
      </c>
      <c r="E986" s="1" t="s">
        <v>247</v>
      </c>
      <c r="F986" s="1" t="s">
        <v>33</v>
      </c>
      <c r="G986" s="1" t="s">
        <v>22</v>
      </c>
      <c r="H986" s="1" t="s">
        <v>88</v>
      </c>
      <c r="I986" s="1" t="s">
        <v>36</v>
      </c>
      <c r="J986" s="7" t="s">
        <v>1165</v>
      </c>
      <c r="K986" s="1" t="s">
        <v>1146</v>
      </c>
      <c r="L986" s="1">
        <v>12</v>
      </c>
      <c r="M986" s="1" t="s">
        <v>27</v>
      </c>
      <c r="N986" s="1" t="s">
        <v>85</v>
      </c>
      <c r="O986" s="1">
        <v>94249.26</v>
      </c>
      <c r="P986" s="1">
        <v>2</v>
      </c>
      <c r="Q986" s="1" t="s">
        <v>58</v>
      </c>
    </row>
    <row r="987" spans="1:17">
      <c r="A987" s="1" t="s">
        <v>1626</v>
      </c>
      <c r="B987" s="1" t="s">
        <v>613</v>
      </c>
      <c r="C987" s="1">
        <v>72</v>
      </c>
      <c r="D987" s="1" t="s">
        <v>27</v>
      </c>
      <c r="E987" s="1" t="s">
        <v>159</v>
      </c>
      <c r="F987" s="1" t="s">
        <v>52</v>
      </c>
      <c r="G987" s="1" t="s">
        <v>36</v>
      </c>
      <c r="H987" s="1" t="s">
        <v>76</v>
      </c>
      <c r="I987" s="1" t="s">
        <v>36</v>
      </c>
      <c r="J987" s="7">
        <v>45419</v>
      </c>
      <c r="K987" s="2">
        <v>45450</v>
      </c>
      <c r="L987" s="1">
        <v>1</v>
      </c>
      <c r="M987" s="1" t="s">
        <v>97</v>
      </c>
      <c r="N987" s="1" t="s">
        <v>57</v>
      </c>
      <c r="O987" s="1">
        <v>54809.65</v>
      </c>
      <c r="P987" s="1">
        <v>5</v>
      </c>
      <c r="Q987" s="1" t="s">
        <v>58</v>
      </c>
    </row>
    <row r="988" spans="1:17">
      <c r="A988" s="1" t="s">
        <v>1627</v>
      </c>
      <c r="B988" s="1" t="s">
        <v>837</v>
      </c>
      <c r="C988" s="1">
        <v>38</v>
      </c>
      <c r="D988" s="1" t="s">
        <v>27</v>
      </c>
      <c r="E988" s="1" t="s">
        <v>51</v>
      </c>
      <c r="F988" s="1" t="s">
        <v>75</v>
      </c>
      <c r="G988" s="1" t="s">
        <v>110</v>
      </c>
      <c r="H988" s="1" t="s">
        <v>88</v>
      </c>
      <c r="I988" s="1" t="s">
        <v>24</v>
      </c>
      <c r="J988" s="7" t="s">
        <v>394</v>
      </c>
      <c r="K988" s="2">
        <v>45933</v>
      </c>
      <c r="L988" s="1">
        <v>11</v>
      </c>
      <c r="M988" s="1" t="s">
        <v>56</v>
      </c>
      <c r="N988" s="1" t="s">
        <v>85</v>
      </c>
      <c r="O988" s="1">
        <v>84803.11</v>
      </c>
      <c r="P988" s="1">
        <v>2</v>
      </c>
      <c r="Q988" s="1" t="s">
        <v>72</v>
      </c>
    </row>
    <row r="989" spans="1:17">
      <c r="A989" s="1" t="s">
        <v>1628</v>
      </c>
      <c r="B989" s="1" t="s">
        <v>18</v>
      </c>
      <c r="C989" s="1">
        <v>17</v>
      </c>
      <c r="D989" s="1" t="s">
        <v>19</v>
      </c>
      <c r="E989" s="1" t="s">
        <v>51</v>
      </c>
      <c r="F989" s="1" t="s">
        <v>21</v>
      </c>
      <c r="G989" s="1" t="s">
        <v>68</v>
      </c>
      <c r="H989" s="1" t="s">
        <v>69</v>
      </c>
      <c r="I989" s="1" t="s">
        <v>62</v>
      </c>
      <c r="J989" s="7" t="s">
        <v>243</v>
      </c>
      <c r="K989" s="1" t="s">
        <v>764</v>
      </c>
      <c r="L989" s="1">
        <v>12</v>
      </c>
      <c r="M989" s="1" t="s">
        <v>38</v>
      </c>
      <c r="N989" s="1" t="s">
        <v>57</v>
      </c>
      <c r="O989" s="1">
        <v>23450.12</v>
      </c>
      <c r="P989" s="1">
        <v>4</v>
      </c>
      <c r="Q989" s="1" t="s">
        <v>29</v>
      </c>
    </row>
    <row r="990" spans="1:17">
      <c r="A990" s="1" t="s">
        <v>1629</v>
      </c>
      <c r="B990" s="1" t="s">
        <v>1038</v>
      </c>
      <c r="C990" s="1">
        <v>27</v>
      </c>
      <c r="D990" s="1" t="s">
        <v>27</v>
      </c>
      <c r="E990" s="1" t="s">
        <v>66</v>
      </c>
      <c r="F990" s="1" t="s">
        <v>120</v>
      </c>
      <c r="G990" s="1" t="s">
        <v>104</v>
      </c>
      <c r="H990" s="1" t="s">
        <v>76</v>
      </c>
      <c r="I990" s="1" t="s">
        <v>62</v>
      </c>
      <c r="J990" s="7" t="s">
        <v>1167</v>
      </c>
      <c r="K990" s="1" t="s">
        <v>637</v>
      </c>
      <c r="L990" s="1">
        <v>3</v>
      </c>
      <c r="M990" s="1" t="s">
        <v>97</v>
      </c>
      <c r="N990" s="1" t="s">
        <v>82</v>
      </c>
      <c r="O990" s="1">
        <v>49863.73</v>
      </c>
      <c r="P990" s="1">
        <v>2</v>
      </c>
      <c r="Q990" s="1" t="s">
        <v>40</v>
      </c>
    </row>
    <row r="991" spans="1:17">
      <c r="A991" s="1" t="s">
        <v>1630</v>
      </c>
      <c r="B991" s="1" t="s">
        <v>335</v>
      </c>
      <c r="C991" s="1">
        <v>47</v>
      </c>
      <c r="D991" s="1" t="s">
        <v>27</v>
      </c>
      <c r="E991" s="1" t="s">
        <v>51</v>
      </c>
      <c r="F991" s="1" t="s">
        <v>21</v>
      </c>
      <c r="G991" s="1" t="s">
        <v>34</v>
      </c>
      <c r="H991" s="1" t="s">
        <v>88</v>
      </c>
      <c r="I991" s="1" t="s">
        <v>24</v>
      </c>
      <c r="J991" s="7">
        <v>45757</v>
      </c>
      <c r="K991" s="2">
        <v>45879</v>
      </c>
      <c r="L991" s="1">
        <v>4</v>
      </c>
      <c r="M991" s="1" t="s">
        <v>48</v>
      </c>
      <c r="N991" s="1" t="s">
        <v>57</v>
      </c>
      <c r="O991" s="1">
        <v>28697.25</v>
      </c>
      <c r="P991" s="1">
        <v>5</v>
      </c>
      <c r="Q991" s="1" t="s">
        <v>72</v>
      </c>
    </row>
    <row r="992" spans="1:17">
      <c r="A992" s="1" t="s">
        <v>1631</v>
      </c>
      <c r="B992" s="1" t="s">
        <v>837</v>
      </c>
      <c r="C992" s="1">
        <v>71</v>
      </c>
      <c r="D992" s="1" t="s">
        <v>19</v>
      </c>
      <c r="E992" s="1" t="s">
        <v>202</v>
      </c>
      <c r="F992" s="1" t="s">
        <v>120</v>
      </c>
      <c r="G992" s="1" t="s">
        <v>104</v>
      </c>
      <c r="H992" s="1" t="s">
        <v>61</v>
      </c>
      <c r="I992" s="1" t="s">
        <v>36</v>
      </c>
      <c r="J992" s="7" t="s">
        <v>667</v>
      </c>
      <c r="K992" s="2">
        <v>45661</v>
      </c>
      <c r="L992" s="1">
        <v>6</v>
      </c>
      <c r="M992" s="1" t="s">
        <v>56</v>
      </c>
      <c r="N992" s="1" t="s">
        <v>85</v>
      </c>
      <c r="O992" s="1">
        <v>26477.45</v>
      </c>
      <c r="P992" s="1">
        <v>5</v>
      </c>
      <c r="Q992" s="1" t="s">
        <v>29</v>
      </c>
    </row>
    <row r="993" spans="1:17">
      <c r="A993" s="1" t="s">
        <v>1632</v>
      </c>
      <c r="B993" s="1" t="s">
        <v>1318</v>
      </c>
      <c r="C993" s="1">
        <v>53</v>
      </c>
      <c r="D993" s="1" t="s">
        <v>19</v>
      </c>
      <c r="E993" s="1" t="s">
        <v>247</v>
      </c>
      <c r="F993" s="1" t="s">
        <v>52</v>
      </c>
      <c r="G993" s="1" t="s">
        <v>22</v>
      </c>
      <c r="H993" s="1" t="s">
        <v>105</v>
      </c>
      <c r="I993" s="1" t="s">
        <v>62</v>
      </c>
      <c r="J993" s="7" t="s">
        <v>1633</v>
      </c>
      <c r="K993" s="1" t="s">
        <v>558</v>
      </c>
      <c r="L993" s="1">
        <v>3</v>
      </c>
      <c r="M993" s="1" t="s">
        <v>56</v>
      </c>
      <c r="N993" s="1" t="s">
        <v>39</v>
      </c>
      <c r="O993" s="1">
        <v>29247.86</v>
      </c>
      <c r="P993" s="1">
        <v>4</v>
      </c>
      <c r="Q993" s="1" t="s">
        <v>29</v>
      </c>
    </row>
    <row r="994" spans="1:17">
      <c r="A994" s="1" t="s">
        <v>1634</v>
      </c>
      <c r="B994" s="1" t="s">
        <v>507</v>
      </c>
      <c r="C994" s="1">
        <v>41</v>
      </c>
      <c r="D994" s="1" t="s">
        <v>27</v>
      </c>
      <c r="E994" s="1" t="s">
        <v>202</v>
      </c>
      <c r="F994" s="1" t="s">
        <v>67</v>
      </c>
      <c r="G994" s="1" t="s">
        <v>104</v>
      </c>
      <c r="H994" s="1" t="s">
        <v>93</v>
      </c>
      <c r="I994" s="1" t="s">
        <v>62</v>
      </c>
      <c r="J994" s="7">
        <v>45607</v>
      </c>
      <c r="K994" s="1" t="s">
        <v>1003</v>
      </c>
      <c r="L994" s="1">
        <v>3</v>
      </c>
      <c r="M994" s="1" t="s">
        <v>38</v>
      </c>
      <c r="N994" s="1" t="s">
        <v>39</v>
      </c>
      <c r="O994" s="1">
        <v>27977.22</v>
      </c>
      <c r="P994" s="1">
        <v>5</v>
      </c>
      <c r="Q994" s="1" t="s">
        <v>40</v>
      </c>
    </row>
    <row r="995" spans="1:17">
      <c r="A995" s="1" t="s">
        <v>1635</v>
      </c>
      <c r="B995" s="1" t="s">
        <v>502</v>
      </c>
      <c r="C995" s="1">
        <v>74</v>
      </c>
      <c r="D995" s="1" t="s">
        <v>43</v>
      </c>
      <c r="E995" s="1" t="s">
        <v>66</v>
      </c>
      <c r="F995" s="1" t="s">
        <v>67</v>
      </c>
      <c r="G995" s="1" t="s">
        <v>104</v>
      </c>
      <c r="H995" s="1" t="s">
        <v>69</v>
      </c>
      <c r="I995" s="1" t="s">
        <v>36</v>
      </c>
      <c r="J995" s="7" t="s">
        <v>150</v>
      </c>
      <c r="K995" s="1" t="s">
        <v>604</v>
      </c>
      <c r="L995" s="1">
        <v>7</v>
      </c>
      <c r="M995" s="1" t="s">
        <v>97</v>
      </c>
      <c r="N995" s="1" t="s">
        <v>28</v>
      </c>
      <c r="O995" s="1">
        <v>72215.44</v>
      </c>
      <c r="P995" s="1">
        <v>5</v>
      </c>
      <c r="Q995" s="1" t="s">
        <v>29</v>
      </c>
    </row>
    <row r="996" spans="1:17">
      <c r="A996" s="1" t="s">
        <v>1636</v>
      </c>
      <c r="B996" s="1" t="s">
        <v>123</v>
      </c>
      <c r="C996" s="1">
        <v>8</v>
      </c>
      <c r="D996" s="1" t="s">
        <v>43</v>
      </c>
      <c r="E996" s="1" t="s">
        <v>44</v>
      </c>
      <c r="F996" s="1" t="s">
        <v>67</v>
      </c>
      <c r="G996" s="1" t="s">
        <v>22</v>
      </c>
      <c r="H996" s="1" t="s">
        <v>61</v>
      </c>
      <c r="I996" s="1" t="s">
        <v>24</v>
      </c>
      <c r="J996" s="7">
        <v>45544</v>
      </c>
      <c r="K996" s="1" t="s">
        <v>696</v>
      </c>
      <c r="L996" s="1">
        <v>4</v>
      </c>
      <c r="M996" s="1" t="s">
        <v>56</v>
      </c>
      <c r="N996" s="1" t="s">
        <v>85</v>
      </c>
      <c r="O996" s="1">
        <v>47793.91</v>
      </c>
      <c r="P996" s="1">
        <v>5</v>
      </c>
      <c r="Q996" s="1" t="s">
        <v>29</v>
      </c>
    </row>
    <row r="997" spans="1:17">
      <c r="A997" s="1" t="s">
        <v>1637</v>
      </c>
      <c r="B997" s="1" t="s">
        <v>103</v>
      </c>
      <c r="C997" s="1">
        <v>4</v>
      </c>
      <c r="D997" s="1" t="s">
        <v>27</v>
      </c>
      <c r="E997" s="1" t="s">
        <v>44</v>
      </c>
      <c r="F997" s="1" t="s">
        <v>52</v>
      </c>
      <c r="G997" s="1" t="s">
        <v>34</v>
      </c>
      <c r="H997" s="1" t="s">
        <v>23</v>
      </c>
      <c r="I997" s="1" t="s">
        <v>62</v>
      </c>
      <c r="J997" s="7">
        <v>45569</v>
      </c>
      <c r="K997" s="1" t="s">
        <v>451</v>
      </c>
      <c r="L997" s="1">
        <v>9</v>
      </c>
      <c r="M997" s="1" t="s">
        <v>27</v>
      </c>
      <c r="N997" s="1" t="s">
        <v>90</v>
      </c>
      <c r="O997" s="1">
        <v>39725.370000000003</v>
      </c>
      <c r="P997" s="1">
        <v>2</v>
      </c>
      <c r="Q997" s="1" t="s">
        <v>58</v>
      </c>
    </row>
    <row r="998" spans="1:17">
      <c r="A998" s="1" t="s">
        <v>1638</v>
      </c>
      <c r="B998" s="1" t="s">
        <v>253</v>
      </c>
      <c r="C998" s="1">
        <v>45</v>
      </c>
      <c r="D998" s="1" t="s">
        <v>27</v>
      </c>
      <c r="E998" s="1" t="s">
        <v>20</v>
      </c>
      <c r="F998" s="1" t="s">
        <v>75</v>
      </c>
      <c r="G998" s="1" t="s">
        <v>53</v>
      </c>
      <c r="H998" s="1" t="s">
        <v>23</v>
      </c>
      <c r="I998" s="1" t="s">
        <v>62</v>
      </c>
      <c r="J998" s="7">
        <v>45359</v>
      </c>
      <c r="K998" s="2">
        <v>45573</v>
      </c>
      <c r="L998" s="1">
        <v>7</v>
      </c>
      <c r="M998" s="1" t="s">
        <v>38</v>
      </c>
      <c r="N998" s="1" t="s">
        <v>85</v>
      </c>
      <c r="O998" s="1">
        <v>53822.2</v>
      </c>
      <c r="P998" s="1">
        <v>4</v>
      </c>
      <c r="Q998" s="1" t="s">
        <v>58</v>
      </c>
    </row>
    <row r="999" spans="1:17">
      <c r="A999" s="1" t="s">
        <v>1639</v>
      </c>
      <c r="B999" s="1" t="s">
        <v>409</v>
      </c>
      <c r="C999" s="1">
        <v>83</v>
      </c>
      <c r="D999" s="1" t="s">
        <v>19</v>
      </c>
      <c r="E999" s="1" t="s">
        <v>66</v>
      </c>
      <c r="F999" s="1" t="s">
        <v>52</v>
      </c>
      <c r="G999" s="1" t="s">
        <v>53</v>
      </c>
      <c r="H999" s="1" t="s">
        <v>35</v>
      </c>
      <c r="I999" s="1" t="s">
        <v>24</v>
      </c>
      <c r="J999" s="7">
        <v>45908</v>
      </c>
      <c r="K999" s="2">
        <v>45969</v>
      </c>
      <c r="L999" s="1">
        <v>2</v>
      </c>
      <c r="M999" s="1" t="s">
        <v>56</v>
      </c>
      <c r="N999" s="1" t="s">
        <v>39</v>
      </c>
      <c r="O999" s="1">
        <v>162057.18</v>
      </c>
      <c r="P999" s="1">
        <v>4</v>
      </c>
      <c r="Q999" s="1" t="s">
        <v>40</v>
      </c>
    </row>
    <row r="1000" spans="1:17">
      <c r="A1000" s="1" t="s">
        <v>1640</v>
      </c>
      <c r="B1000" s="1" t="s">
        <v>158</v>
      </c>
      <c r="C1000" s="1">
        <v>85</v>
      </c>
      <c r="D1000" s="1" t="s">
        <v>19</v>
      </c>
      <c r="E1000" s="1" t="s">
        <v>159</v>
      </c>
      <c r="F1000" s="1" t="s">
        <v>75</v>
      </c>
      <c r="G1000" s="1" t="s">
        <v>132</v>
      </c>
      <c r="H1000" s="1" t="s">
        <v>99</v>
      </c>
      <c r="I1000" s="1" t="s">
        <v>36</v>
      </c>
      <c r="J1000" s="7">
        <v>45386</v>
      </c>
      <c r="K1000" s="2">
        <v>45447</v>
      </c>
      <c r="L1000" s="1">
        <v>2</v>
      </c>
      <c r="M1000" s="1" t="s">
        <v>27</v>
      </c>
      <c r="N1000" s="1" t="s">
        <v>57</v>
      </c>
      <c r="O1000" s="1">
        <v>56681.85</v>
      </c>
      <c r="P1000" s="1">
        <v>3</v>
      </c>
      <c r="Q1000" s="1" t="s">
        <v>72</v>
      </c>
    </row>
    <row r="1001" spans="1:17">
      <c r="A1001" s="1" t="s">
        <v>1641</v>
      </c>
      <c r="B1001" s="1" t="s">
        <v>335</v>
      </c>
      <c r="C1001" s="1">
        <v>78</v>
      </c>
      <c r="D1001" s="1" t="s">
        <v>19</v>
      </c>
      <c r="E1001" s="1" t="s">
        <v>159</v>
      </c>
      <c r="F1001" s="1" t="s">
        <v>52</v>
      </c>
      <c r="G1001" s="1" t="s">
        <v>110</v>
      </c>
      <c r="H1001" s="1" t="s">
        <v>45</v>
      </c>
      <c r="I1001" s="1" t="s">
        <v>36</v>
      </c>
      <c r="J1001" s="7" t="s">
        <v>977</v>
      </c>
      <c r="K1001" s="1" t="s">
        <v>296</v>
      </c>
      <c r="L1001" s="1">
        <v>1</v>
      </c>
      <c r="M1001" s="1" t="s">
        <v>48</v>
      </c>
      <c r="N1001" s="1" t="s">
        <v>28</v>
      </c>
      <c r="O1001" s="1">
        <v>35437.74</v>
      </c>
      <c r="P1001" s="1">
        <v>4</v>
      </c>
      <c r="Q1001" s="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310-A8CC-4759-B6EC-502DBE9FE260}">
  <dimension ref="A1:Y1001"/>
  <sheetViews>
    <sheetView workbookViewId="0">
      <selection activeCell="H1" sqref="H1"/>
    </sheetView>
  </sheetViews>
  <sheetFormatPr defaultRowHeight="15"/>
  <cols>
    <col min="1" max="1" width="13.140625" bestFit="1" customWidth="1"/>
    <col min="2" max="2" width="17.28515625" bestFit="1" customWidth="1"/>
    <col min="3" max="3" width="7.140625" bestFit="1" customWidth="1"/>
    <col min="4" max="4" width="10.28515625" bestFit="1" customWidth="1"/>
    <col min="5" max="5" width="12.5703125" bestFit="1" customWidth="1"/>
    <col min="6" max="6" width="31.42578125" bestFit="1" customWidth="1"/>
    <col min="7" max="7" width="19.7109375" bestFit="1" customWidth="1"/>
    <col min="8" max="8" width="24.42578125" bestFit="1" customWidth="1"/>
    <col min="9" max="10" width="18.28515625" bestFit="1" customWidth="1"/>
    <col min="11" max="11" width="17.7109375" bestFit="1" customWidth="1"/>
    <col min="12" max="12" width="23" bestFit="1" customWidth="1"/>
    <col min="13" max="13" width="22" bestFit="1" customWidth="1"/>
    <col min="14" max="14" width="20.85546875" bestFit="1" customWidth="1"/>
    <col min="15" max="15" width="16.42578125" style="5" bestFit="1" customWidth="1"/>
    <col min="16" max="16" width="20.28515625" bestFit="1" customWidth="1"/>
    <col min="17" max="17" width="32.5703125" bestFit="1" customWidth="1"/>
    <col min="18" max="18" width="15.5703125" customWidth="1"/>
    <col min="19" max="19" width="19.42578125" style="19" bestFit="1" customWidth="1"/>
    <col min="20" max="20" width="29" bestFit="1" customWidth="1"/>
    <col min="21" max="21" width="22.28515625" bestFit="1" customWidth="1"/>
    <col min="22" max="22" width="14" bestFit="1" customWidth="1"/>
    <col min="23" max="23" width="13.85546875" bestFit="1" customWidth="1"/>
    <col min="24" max="24" width="13" bestFit="1" customWidth="1"/>
    <col min="25" max="25" width="19.7109375" bestFit="1" customWidth="1"/>
  </cols>
  <sheetData>
    <row r="1" spans="1: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4" t="s">
        <v>14</v>
      </c>
      <c r="P1" s="23" t="s">
        <v>15</v>
      </c>
      <c r="Q1" s="25" t="s">
        <v>16</v>
      </c>
      <c r="R1" s="26" t="s">
        <v>1642</v>
      </c>
      <c r="S1" s="27" t="s">
        <v>1643</v>
      </c>
      <c r="T1" s="28" t="s">
        <v>1644</v>
      </c>
      <c r="U1" s="29" t="s">
        <v>1645</v>
      </c>
      <c r="V1" s="29" t="s">
        <v>1646</v>
      </c>
      <c r="W1" s="29" t="s">
        <v>1647</v>
      </c>
      <c r="X1" s="29" t="s">
        <v>1648</v>
      </c>
      <c r="Y1" s="29" t="s">
        <v>1649</v>
      </c>
    </row>
    <row r="2" spans="1:25">
      <c r="A2" s="21" t="s">
        <v>17</v>
      </c>
      <c r="B2" s="1" t="s">
        <v>18</v>
      </c>
      <c r="C2" s="1">
        <v>82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2">
        <v>45317</v>
      </c>
      <c r="K2" s="2">
        <v>45319</v>
      </c>
      <c r="L2" s="1">
        <v>2</v>
      </c>
      <c r="M2" s="1" t="s">
        <v>27</v>
      </c>
      <c r="N2" s="1" t="s">
        <v>28</v>
      </c>
      <c r="O2" s="4">
        <v>18346.53</v>
      </c>
      <c r="P2" s="1">
        <v>4</v>
      </c>
      <c r="Q2" s="10" t="s">
        <v>29</v>
      </c>
      <c r="R2" s="14" t="str" cm="1">
        <f t="array" ref="R2">_xlfn.IFS(C2&lt;18,"Under 18",C2&lt;36,"18-35",C2&lt;51,"36-50",C2&lt;66,"51-65",C2&gt;=66,"66+")</f>
        <v>66+</v>
      </c>
      <c r="S2" s="18">
        <v>45292</v>
      </c>
      <c r="T2" s="17">
        <f>SUM(O2:$O$1001)</f>
        <v>60942958.340000033</v>
      </c>
      <c r="U2" s="12">
        <f>COUNTA($A$2:$A$1001)</f>
        <v>1000</v>
      </c>
      <c r="V2" s="13">
        <f>AVERAGE($O$2:$O$1001)</f>
        <v>60942.958340000034</v>
      </c>
      <c r="W2" s="11">
        <f>MAX($O$2:$O$1001)</f>
        <v>201468.87</v>
      </c>
      <c r="X2" s="11">
        <f>MIN($O$2:$O$1001)</f>
        <v>12376.63</v>
      </c>
      <c r="Y2" s="12">
        <f>AVERAGE($L$2:$L$1001)</f>
        <v>3.9980000000000002</v>
      </c>
    </row>
    <row r="3" spans="1:25">
      <c r="A3" s="21" t="s">
        <v>30</v>
      </c>
      <c r="B3" s="1" t="s">
        <v>31</v>
      </c>
      <c r="C3" s="1">
        <v>84</v>
      </c>
      <c r="D3" s="1" t="s">
        <v>27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2">
        <v>45998</v>
      </c>
      <c r="K3" s="2">
        <v>45852</v>
      </c>
      <c r="L3" s="1">
        <v>2</v>
      </c>
      <c r="M3" s="1" t="s">
        <v>38</v>
      </c>
      <c r="N3" s="1" t="s">
        <v>39</v>
      </c>
      <c r="O3" s="4">
        <v>94838.25</v>
      </c>
      <c r="P3" s="1">
        <v>3</v>
      </c>
      <c r="Q3" s="10" t="s">
        <v>40</v>
      </c>
      <c r="R3" s="14" t="str" cm="1">
        <f t="array" ref="R3">_xlfn.IFS(C3&lt;18,"Under 18",C3&lt;36,"18-35",C3&lt;51,"36-50",C3&lt;66,"51-65",C3&gt;=66,"66+")</f>
        <v>66+</v>
      </c>
      <c r="S3" s="18">
        <v>45992</v>
      </c>
      <c r="V3" s="6"/>
    </row>
    <row r="4" spans="1:25">
      <c r="A4" s="21" t="s">
        <v>41</v>
      </c>
      <c r="B4" s="1" t="s">
        <v>42</v>
      </c>
      <c r="C4" s="1">
        <v>78</v>
      </c>
      <c r="D4" s="1" t="s">
        <v>43</v>
      </c>
      <c r="E4" s="1" t="s">
        <v>44</v>
      </c>
      <c r="F4" s="1" t="s">
        <v>21</v>
      </c>
      <c r="G4" s="1" t="s">
        <v>36</v>
      </c>
      <c r="H4" s="1" t="s">
        <v>45</v>
      </c>
      <c r="I4" s="1" t="s">
        <v>24</v>
      </c>
      <c r="J4" s="2">
        <v>45336</v>
      </c>
      <c r="K4" s="2">
        <v>45340</v>
      </c>
      <c r="L4" s="1">
        <v>4</v>
      </c>
      <c r="M4" s="1" t="s">
        <v>48</v>
      </c>
      <c r="N4" s="1" t="s">
        <v>28</v>
      </c>
      <c r="O4" s="4">
        <v>52298.97</v>
      </c>
      <c r="P4" s="1">
        <v>5</v>
      </c>
      <c r="Q4" s="10" t="s">
        <v>29</v>
      </c>
      <c r="R4" s="14" t="str" cm="1">
        <f t="array" ref="R4">_xlfn.IFS(C4&lt;18,"Under 18",C4&lt;36,"18-35",C4&lt;51,"36-50",C4&lt;66,"51-65",C4&gt;=66,"66+")</f>
        <v>66+</v>
      </c>
      <c r="S4" s="18">
        <v>45323</v>
      </c>
      <c r="V4" s="6"/>
    </row>
    <row r="5" spans="1:25">
      <c r="A5" s="21" t="s">
        <v>49</v>
      </c>
      <c r="B5" s="1" t="s">
        <v>50</v>
      </c>
      <c r="C5" s="1">
        <v>38</v>
      </c>
      <c r="D5" s="1" t="s">
        <v>19</v>
      </c>
      <c r="E5" s="1" t="s">
        <v>51</v>
      </c>
      <c r="F5" s="1" t="s">
        <v>52</v>
      </c>
      <c r="G5" s="1" t="s">
        <v>53</v>
      </c>
      <c r="H5" s="1" t="s">
        <v>35</v>
      </c>
      <c r="I5" s="1" t="s">
        <v>36</v>
      </c>
      <c r="J5" s="2">
        <v>45530</v>
      </c>
      <c r="K5" s="2">
        <v>45533</v>
      </c>
      <c r="L5" s="1">
        <v>3</v>
      </c>
      <c r="M5" s="1" t="s">
        <v>56</v>
      </c>
      <c r="N5" s="1" t="s">
        <v>57</v>
      </c>
      <c r="O5" s="4">
        <v>54185.93</v>
      </c>
      <c r="P5" s="1">
        <v>3</v>
      </c>
      <c r="Q5" s="10" t="s">
        <v>58</v>
      </c>
      <c r="R5" s="14" t="str" cm="1">
        <f t="array" ref="R5">_xlfn.IFS(C5&lt;18,"Under 18",C5&lt;36,"18-35",C5&lt;51,"36-50",C5&lt;66,"51-65",C5&gt;=66,"66+")</f>
        <v>36-50</v>
      </c>
      <c r="S5" s="18">
        <v>45505</v>
      </c>
      <c r="V5" s="6"/>
    </row>
    <row r="6" spans="1:25">
      <c r="A6" s="21" t="s">
        <v>59</v>
      </c>
      <c r="B6" s="1" t="s">
        <v>60</v>
      </c>
      <c r="C6" s="1">
        <v>35</v>
      </c>
      <c r="D6" s="1" t="s">
        <v>27</v>
      </c>
      <c r="E6" s="1" t="s">
        <v>44</v>
      </c>
      <c r="F6" s="1" t="s">
        <v>52</v>
      </c>
      <c r="G6" s="1" t="s">
        <v>34</v>
      </c>
      <c r="H6" s="1" t="s">
        <v>61</v>
      </c>
      <c r="I6" s="1" t="s">
        <v>62</v>
      </c>
      <c r="J6" s="2">
        <v>45789</v>
      </c>
      <c r="K6" s="2">
        <v>45850</v>
      </c>
      <c r="L6" s="1">
        <v>2</v>
      </c>
      <c r="M6" s="1" t="s">
        <v>56</v>
      </c>
      <c r="N6" s="1" t="s">
        <v>63</v>
      </c>
      <c r="O6" s="4">
        <v>138550.78</v>
      </c>
      <c r="P6" s="1">
        <v>4</v>
      </c>
      <c r="Q6" s="10" t="s">
        <v>58</v>
      </c>
      <c r="R6" s="14" t="str" cm="1">
        <f t="array" ref="R6">_xlfn.IFS(C6&lt;18,"Under 18",C6&lt;36,"18-35",C6&lt;51,"36-50",C6&lt;66,"51-65",C6&gt;=66,"66+")</f>
        <v>18-35</v>
      </c>
      <c r="S6" s="18">
        <v>45778</v>
      </c>
      <c r="V6" s="6"/>
    </row>
    <row r="7" spans="1:25">
      <c r="A7" s="21" t="s">
        <v>64</v>
      </c>
      <c r="B7" s="1" t="s">
        <v>65</v>
      </c>
      <c r="C7" s="1">
        <v>51</v>
      </c>
      <c r="D7" s="1" t="s">
        <v>27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62</v>
      </c>
      <c r="J7" s="2">
        <v>45761</v>
      </c>
      <c r="K7" s="2">
        <v>45763</v>
      </c>
      <c r="L7" s="1">
        <v>2</v>
      </c>
      <c r="M7" s="1" t="s">
        <v>48</v>
      </c>
      <c r="N7" s="1" t="s">
        <v>39</v>
      </c>
      <c r="O7" s="4">
        <v>43275.67</v>
      </c>
      <c r="P7" s="1">
        <v>4</v>
      </c>
      <c r="Q7" s="10" t="s">
        <v>72</v>
      </c>
      <c r="R7" s="14" t="str" cm="1">
        <f t="array" ref="R7">_xlfn.IFS(C7&lt;18,"Under 18",C7&lt;36,"18-35",C7&lt;51,"36-50",C7&lt;66,"51-65",C7&gt;=66,"66+")</f>
        <v>51-65</v>
      </c>
      <c r="S7" s="18">
        <v>45748</v>
      </c>
      <c r="V7" s="6"/>
    </row>
    <row r="8" spans="1:25">
      <c r="A8" s="21" t="s">
        <v>73</v>
      </c>
      <c r="B8" s="1" t="s">
        <v>74</v>
      </c>
      <c r="C8" s="1">
        <v>15</v>
      </c>
      <c r="D8" s="1" t="s">
        <v>19</v>
      </c>
      <c r="E8" s="1" t="s">
        <v>51</v>
      </c>
      <c r="F8" s="1" t="s">
        <v>75</v>
      </c>
      <c r="G8" s="1" t="s">
        <v>22</v>
      </c>
      <c r="H8" s="1" t="s">
        <v>76</v>
      </c>
      <c r="I8" s="1" t="s">
        <v>24</v>
      </c>
      <c r="J8" s="2">
        <v>45757</v>
      </c>
      <c r="K8" s="2">
        <v>45943</v>
      </c>
      <c r="L8" s="1">
        <v>9</v>
      </c>
      <c r="M8" s="1" t="s">
        <v>48</v>
      </c>
      <c r="N8" s="1" t="s">
        <v>63</v>
      </c>
      <c r="O8" s="4">
        <v>49822.76</v>
      </c>
      <c r="P8" s="1">
        <v>5</v>
      </c>
      <c r="Q8" s="10" t="s">
        <v>40</v>
      </c>
      <c r="R8" s="14" t="str" cm="1">
        <f t="array" ref="R8">_xlfn.IFS(C8&lt;18,"Under 18",C8&lt;36,"18-35",C8&lt;51,"36-50",C8&lt;66,"51-65",C8&gt;=66,"66+")</f>
        <v>Under 18</v>
      </c>
      <c r="S8" s="18">
        <v>45748</v>
      </c>
    </row>
    <row r="9" spans="1:25">
      <c r="A9" s="21" t="s">
        <v>78</v>
      </c>
      <c r="B9" s="1" t="s">
        <v>79</v>
      </c>
      <c r="C9" s="1">
        <v>83</v>
      </c>
      <c r="D9" s="1" t="s">
        <v>43</v>
      </c>
      <c r="E9" s="1" t="s">
        <v>51</v>
      </c>
      <c r="F9" s="1" t="s">
        <v>67</v>
      </c>
      <c r="G9" s="1" t="s">
        <v>68</v>
      </c>
      <c r="H9" s="1" t="s">
        <v>23</v>
      </c>
      <c r="I9" s="1" t="s">
        <v>36</v>
      </c>
      <c r="J9" s="2">
        <v>45406</v>
      </c>
      <c r="K9" s="2">
        <v>45409</v>
      </c>
      <c r="L9" s="1">
        <v>3</v>
      </c>
      <c r="M9" s="1" t="s">
        <v>56</v>
      </c>
      <c r="N9" s="1" t="s">
        <v>82</v>
      </c>
      <c r="O9" s="4">
        <v>67623.240000000005</v>
      </c>
      <c r="P9" s="1">
        <v>4</v>
      </c>
      <c r="Q9" s="10" t="s">
        <v>29</v>
      </c>
      <c r="R9" s="14" t="str" cm="1">
        <f t="array" ref="R9">_xlfn.IFS(C9&lt;18,"Under 18",C9&lt;36,"18-35",C9&lt;51,"36-50",C9&lt;66,"51-65",C9&gt;=66,"66+")</f>
        <v>66+</v>
      </c>
      <c r="S9" s="18">
        <v>45383</v>
      </c>
    </row>
    <row r="10" spans="1:25">
      <c r="A10" s="21" t="s">
        <v>83</v>
      </c>
      <c r="B10" s="1" t="s">
        <v>84</v>
      </c>
      <c r="C10" s="1">
        <v>70</v>
      </c>
      <c r="D10" s="1" t="s">
        <v>27</v>
      </c>
      <c r="E10" s="1" t="s">
        <v>66</v>
      </c>
      <c r="F10" s="1" t="s">
        <v>52</v>
      </c>
      <c r="G10" s="1" t="s">
        <v>22</v>
      </c>
      <c r="H10" s="1" t="s">
        <v>45</v>
      </c>
      <c r="I10" s="1" t="s">
        <v>62</v>
      </c>
      <c r="J10" s="2">
        <v>45292</v>
      </c>
      <c r="K10" s="2">
        <v>45323</v>
      </c>
      <c r="L10" s="1">
        <v>1</v>
      </c>
      <c r="M10" s="1" t="s">
        <v>27</v>
      </c>
      <c r="N10" s="1" t="s">
        <v>85</v>
      </c>
      <c r="O10" s="4">
        <v>65429.25</v>
      </c>
      <c r="P10" s="1">
        <v>5</v>
      </c>
      <c r="Q10" s="10" t="s">
        <v>40</v>
      </c>
      <c r="R10" s="14" t="str" cm="1">
        <f t="array" ref="R10">_xlfn.IFS(C10&lt;18,"Under 18",C10&lt;36,"18-35",C10&lt;51,"36-50",C10&lt;66,"51-65",C10&gt;=66,"66+")</f>
        <v>66+</v>
      </c>
      <c r="S10" s="18">
        <v>45292</v>
      </c>
    </row>
    <row r="11" spans="1:25">
      <c r="A11" s="21" t="s">
        <v>86</v>
      </c>
      <c r="B11" s="1" t="s">
        <v>87</v>
      </c>
      <c r="C11" s="1">
        <v>68</v>
      </c>
      <c r="D11" s="1" t="s">
        <v>27</v>
      </c>
      <c r="E11" s="1" t="s">
        <v>20</v>
      </c>
      <c r="F11" s="1" t="s">
        <v>75</v>
      </c>
      <c r="G11" s="1" t="s">
        <v>36</v>
      </c>
      <c r="H11" s="1" t="s">
        <v>88</v>
      </c>
      <c r="I11" s="1" t="s">
        <v>62</v>
      </c>
      <c r="J11" s="2">
        <v>45903</v>
      </c>
      <c r="K11" s="2">
        <v>45731</v>
      </c>
      <c r="L11" s="1">
        <v>6</v>
      </c>
      <c r="M11" s="1" t="s">
        <v>48</v>
      </c>
      <c r="N11" s="1" t="s">
        <v>90</v>
      </c>
      <c r="O11" s="4">
        <v>43981.31</v>
      </c>
      <c r="P11" s="1">
        <v>4</v>
      </c>
      <c r="Q11" s="10" t="s">
        <v>29</v>
      </c>
      <c r="R11" s="14" t="str" cm="1">
        <f t="array" ref="R11">_xlfn.IFS(C11&lt;18,"Under 18",C11&lt;36,"18-35",C11&lt;51,"36-50",C11&lt;66,"51-65",C11&gt;=66,"66+")</f>
        <v>66+</v>
      </c>
      <c r="S11" s="18">
        <v>45901</v>
      </c>
    </row>
    <row r="12" spans="1:25">
      <c r="A12" s="21" t="s">
        <v>91</v>
      </c>
      <c r="B12" s="1" t="s">
        <v>92</v>
      </c>
      <c r="C12" s="1">
        <v>76</v>
      </c>
      <c r="D12" s="1" t="s">
        <v>19</v>
      </c>
      <c r="E12" s="1" t="s">
        <v>20</v>
      </c>
      <c r="F12" s="1" t="s">
        <v>33</v>
      </c>
      <c r="G12" s="1" t="s">
        <v>68</v>
      </c>
      <c r="H12" s="1" t="s">
        <v>93</v>
      </c>
      <c r="I12" s="1" t="s">
        <v>62</v>
      </c>
      <c r="J12" s="2">
        <v>45505</v>
      </c>
      <c r="K12" s="2">
        <v>45566</v>
      </c>
      <c r="L12" s="1">
        <v>2</v>
      </c>
      <c r="M12" s="1" t="s">
        <v>56</v>
      </c>
      <c r="N12" s="1" t="s">
        <v>28</v>
      </c>
      <c r="O12" s="4">
        <v>27639.29</v>
      </c>
      <c r="P12" s="1">
        <v>3</v>
      </c>
      <c r="Q12" s="10" t="s">
        <v>72</v>
      </c>
      <c r="R12" s="14" t="str" cm="1">
        <f t="array" ref="R12">_xlfn.IFS(C12&lt;18,"Under 18",C12&lt;36,"18-35",C12&lt;51,"36-50",C12&lt;66,"51-65",C12&gt;=66,"66+")</f>
        <v>66+</v>
      </c>
      <c r="S12" s="18">
        <v>45505</v>
      </c>
    </row>
    <row r="13" spans="1:25">
      <c r="A13" s="21" t="s">
        <v>94</v>
      </c>
      <c r="B13" s="1" t="s">
        <v>87</v>
      </c>
      <c r="C13" s="1">
        <v>85</v>
      </c>
      <c r="D13" s="1" t="s">
        <v>43</v>
      </c>
      <c r="E13" s="1" t="s">
        <v>20</v>
      </c>
      <c r="F13" s="1" t="s">
        <v>21</v>
      </c>
      <c r="G13" s="1" t="s">
        <v>34</v>
      </c>
      <c r="H13" s="1" t="s">
        <v>45</v>
      </c>
      <c r="I13" s="1" t="s">
        <v>24</v>
      </c>
      <c r="J13" s="2">
        <v>45654</v>
      </c>
      <c r="K13" s="2">
        <v>45657</v>
      </c>
      <c r="L13" s="1">
        <v>3</v>
      </c>
      <c r="M13" s="1" t="s">
        <v>97</v>
      </c>
      <c r="N13" s="1" t="s">
        <v>85</v>
      </c>
      <c r="O13" s="4">
        <v>30474.31</v>
      </c>
      <c r="P13" s="1">
        <v>5</v>
      </c>
      <c r="Q13" s="10" t="s">
        <v>58</v>
      </c>
      <c r="R13" s="14" t="str" cm="1">
        <f t="array" ref="R13">_xlfn.IFS(C13&lt;18,"Under 18",C13&lt;36,"18-35",C13&lt;51,"36-50",C13&lt;66,"51-65",C13&gt;=66,"66+")</f>
        <v>66+</v>
      </c>
      <c r="S13" s="18">
        <v>45627</v>
      </c>
    </row>
    <row r="14" spans="1:25">
      <c r="A14" s="21" t="s">
        <v>98</v>
      </c>
      <c r="B14" s="1" t="s">
        <v>18</v>
      </c>
      <c r="C14" s="1">
        <v>24</v>
      </c>
      <c r="D14" s="1" t="s">
        <v>43</v>
      </c>
      <c r="E14" s="1" t="s">
        <v>20</v>
      </c>
      <c r="F14" s="1" t="s">
        <v>21</v>
      </c>
      <c r="G14" s="1" t="s">
        <v>22</v>
      </c>
      <c r="H14" s="1" t="s">
        <v>99</v>
      </c>
      <c r="I14" s="1" t="s">
        <v>62</v>
      </c>
      <c r="J14" s="2">
        <v>45765</v>
      </c>
      <c r="K14" s="2">
        <v>45774</v>
      </c>
      <c r="L14" s="1">
        <v>9</v>
      </c>
      <c r="M14" s="1" t="s">
        <v>97</v>
      </c>
      <c r="N14" s="1" t="s">
        <v>57</v>
      </c>
      <c r="O14" s="4">
        <v>74508.22</v>
      </c>
      <c r="P14" s="1">
        <v>4</v>
      </c>
      <c r="Q14" s="10" t="s">
        <v>29</v>
      </c>
      <c r="R14" s="14" t="str" cm="1">
        <f t="array" ref="R14">_xlfn.IFS(C14&lt;18,"Under 18",C14&lt;36,"18-35",C14&lt;51,"36-50",C14&lt;66,"51-65",C14&gt;=66,"66+")</f>
        <v>18-35</v>
      </c>
      <c r="S14" s="18">
        <v>45748</v>
      </c>
    </row>
    <row r="15" spans="1:25">
      <c r="A15" s="21" t="s">
        <v>102</v>
      </c>
      <c r="B15" s="1" t="s">
        <v>103</v>
      </c>
      <c r="C15" s="1">
        <v>52</v>
      </c>
      <c r="D15" s="1" t="s">
        <v>19</v>
      </c>
      <c r="E15" s="1" t="s">
        <v>66</v>
      </c>
      <c r="F15" s="1" t="s">
        <v>21</v>
      </c>
      <c r="G15" s="1" t="s">
        <v>104</v>
      </c>
      <c r="H15" s="1" t="s">
        <v>105</v>
      </c>
      <c r="I15" s="1" t="s">
        <v>62</v>
      </c>
      <c r="J15" s="2">
        <v>45460</v>
      </c>
      <c r="K15" s="2">
        <v>45461</v>
      </c>
      <c r="L15" s="1">
        <v>1</v>
      </c>
      <c r="M15" s="1" t="s">
        <v>56</v>
      </c>
      <c r="N15" s="1" t="s">
        <v>28</v>
      </c>
      <c r="O15" s="4">
        <v>42879.55</v>
      </c>
      <c r="P15" s="1">
        <v>5</v>
      </c>
      <c r="Q15" s="10" t="s">
        <v>72</v>
      </c>
      <c r="R15" s="14" t="str" cm="1">
        <f t="array" ref="R15">_xlfn.IFS(C15&lt;18,"Under 18",C15&lt;36,"18-35",C15&lt;51,"36-50",C15&lt;66,"51-65",C15&gt;=66,"66+")</f>
        <v>51-65</v>
      </c>
      <c r="S15" s="18">
        <v>45444</v>
      </c>
    </row>
    <row r="16" spans="1:25">
      <c r="A16" s="21" t="s">
        <v>108</v>
      </c>
      <c r="B16" s="1" t="s">
        <v>109</v>
      </c>
      <c r="C16" s="1">
        <v>41</v>
      </c>
      <c r="D16" s="1" t="s">
        <v>19</v>
      </c>
      <c r="E16" s="1" t="s">
        <v>20</v>
      </c>
      <c r="F16" s="1" t="s">
        <v>33</v>
      </c>
      <c r="G16" s="1" t="s">
        <v>110</v>
      </c>
      <c r="H16" s="1" t="s">
        <v>99</v>
      </c>
      <c r="I16" s="1" t="s">
        <v>36</v>
      </c>
      <c r="J16" s="2">
        <v>45343</v>
      </c>
      <c r="K16" s="2">
        <v>45347</v>
      </c>
      <c r="L16" s="1">
        <v>4</v>
      </c>
      <c r="M16" s="1" t="s">
        <v>27</v>
      </c>
      <c r="N16" s="1" t="s">
        <v>85</v>
      </c>
      <c r="O16" s="4">
        <v>104486.33</v>
      </c>
      <c r="P16" s="1">
        <v>3</v>
      </c>
      <c r="Q16" s="10" t="s">
        <v>72</v>
      </c>
      <c r="R16" s="14" t="str" cm="1">
        <f t="array" ref="R16">_xlfn.IFS(C16&lt;18,"Under 18",C16&lt;36,"18-35",C16&lt;51,"36-50",C16&lt;66,"51-65",C16&gt;=66,"66+")</f>
        <v>36-50</v>
      </c>
      <c r="S16" s="18">
        <v>45323</v>
      </c>
    </row>
    <row r="17" spans="1:19">
      <c r="A17" s="21" t="s">
        <v>113</v>
      </c>
      <c r="B17" s="1" t="s">
        <v>114</v>
      </c>
      <c r="C17" s="1">
        <v>80</v>
      </c>
      <c r="D17" s="1" t="s">
        <v>19</v>
      </c>
      <c r="E17" s="1" t="s">
        <v>66</v>
      </c>
      <c r="F17" s="1" t="s">
        <v>52</v>
      </c>
      <c r="G17" s="1" t="s">
        <v>68</v>
      </c>
      <c r="H17" s="1" t="s">
        <v>61</v>
      </c>
      <c r="I17" s="1" t="s">
        <v>24</v>
      </c>
      <c r="J17" s="2">
        <v>45780</v>
      </c>
      <c r="K17" s="2">
        <v>45933</v>
      </c>
      <c r="L17" s="1">
        <v>5</v>
      </c>
      <c r="M17" s="1" t="s">
        <v>38</v>
      </c>
      <c r="N17" s="1" t="s">
        <v>57</v>
      </c>
      <c r="O17" s="4">
        <v>60890</v>
      </c>
      <c r="P17" s="1">
        <v>3</v>
      </c>
      <c r="Q17" s="10" t="s">
        <v>40</v>
      </c>
      <c r="R17" s="14" t="str" cm="1">
        <f t="array" ref="R17">_xlfn.IFS(C17&lt;18,"Under 18",C17&lt;36,"18-35",C17&lt;51,"36-50",C17&lt;66,"51-65",C17&gt;=66,"66+")</f>
        <v>66+</v>
      </c>
      <c r="S17" s="18">
        <v>45778</v>
      </c>
    </row>
    <row r="18" spans="1:19">
      <c r="A18" s="21" t="s">
        <v>115</v>
      </c>
      <c r="B18" s="1" t="s">
        <v>116</v>
      </c>
      <c r="C18" s="1">
        <v>10</v>
      </c>
      <c r="D18" s="1" t="s">
        <v>19</v>
      </c>
      <c r="E18" s="1" t="s">
        <v>117</v>
      </c>
      <c r="F18" s="1" t="s">
        <v>21</v>
      </c>
      <c r="G18" s="1" t="s">
        <v>68</v>
      </c>
      <c r="H18" s="1" t="s">
        <v>35</v>
      </c>
      <c r="I18" s="1" t="s">
        <v>62</v>
      </c>
      <c r="J18" s="2">
        <v>45761</v>
      </c>
      <c r="K18" s="2">
        <v>45762</v>
      </c>
      <c r="L18" s="1">
        <v>1</v>
      </c>
      <c r="M18" s="1" t="s">
        <v>27</v>
      </c>
      <c r="N18" s="1" t="s">
        <v>63</v>
      </c>
      <c r="O18" s="4">
        <v>80127.929999999993</v>
      </c>
      <c r="P18" s="1">
        <v>5</v>
      </c>
      <c r="Q18" s="10" t="s">
        <v>40</v>
      </c>
      <c r="R18" s="14" t="str" cm="1">
        <f t="array" ref="R18">_xlfn.IFS(C18&lt;18,"Under 18",C18&lt;36,"18-35",C18&lt;51,"36-50",C18&lt;66,"51-65",C18&gt;=66,"66+")</f>
        <v>Under 18</v>
      </c>
      <c r="S18" s="18">
        <v>45748</v>
      </c>
    </row>
    <row r="19" spans="1:19">
      <c r="A19" s="21" t="s">
        <v>119</v>
      </c>
      <c r="B19" s="1" t="s">
        <v>84</v>
      </c>
      <c r="C19" s="1">
        <v>79</v>
      </c>
      <c r="D19" s="1" t="s">
        <v>27</v>
      </c>
      <c r="E19" s="1" t="s">
        <v>117</v>
      </c>
      <c r="F19" s="1" t="s">
        <v>120</v>
      </c>
      <c r="G19" s="1" t="s">
        <v>22</v>
      </c>
      <c r="H19" s="1" t="s">
        <v>35</v>
      </c>
      <c r="I19" s="1" t="s">
        <v>24</v>
      </c>
      <c r="J19" s="2">
        <v>45833</v>
      </c>
      <c r="K19" s="2">
        <v>45664</v>
      </c>
      <c r="L19" s="1">
        <v>6</v>
      </c>
      <c r="M19" s="1" t="s">
        <v>56</v>
      </c>
      <c r="N19" s="1" t="s">
        <v>63</v>
      </c>
      <c r="O19" s="4">
        <v>31306.01</v>
      </c>
      <c r="P19" s="1">
        <v>5</v>
      </c>
      <c r="Q19" s="10" t="s">
        <v>40</v>
      </c>
      <c r="R19" s="14" t="str" cm="1">
        <f t="array" ref="R19">_xlfn.IFS(C19&lt;18,"Under 18",C19&lt;36,"18-35",C19&lt;51,"36-50",C19&lt;66,"51-65",C19&gt;=66,"66+")</f>
        <v>66+</v>
      </c>
      <c r="S19" s="18">
        <v>45809</v>
      </c>
    </row>
    <row r="20" spans="1:19">
      <c r="A20" s="21" t="s">
        <v>122</v>
      </c>
      <c r="B20" s="1" t="s">
        <v>123</v>
      </c>
      <c r="C20" s="1">
        <v>27</v>
      </c>
      <c r="D20" s="1" t="s">
        <v>27</v>
      </c>
      <c r="E20" s="1" t="s">
        <v>117</v>
      </c>
      <c r="F20" s="1" t="s">
        <v>21</v>
      </c>
      <c r="G20" s="1" t="s">
        <v>34</v>
      </c>
      <c r="H20" s="1" t="s">
        <v>45</v>
      </c>
      <c r="I20" s="1" t="s">
        <v>24</v>
      </c>
      <c r="J20" s="2">
        <v>45971</v>
      </c>
      <c r="K20" s="2">
        <v>45945</v>
      </c>
      <c r="L20" s="1">
        <v>4</v>
      </c>
      <c r="M20" s="1" t="s">
        <v>97</v>
      </c>
      <c r="N20" s="1" t="s">
        <v>90</v>
      </c>
      <c r="O20" s="4">
        <v>113481.28</v>
      </c>
      <c r="P20" s="1">
        <v>2</v>
      </c>
      <c r="Q20" s="10" t="s">
        <v>58</v>
      </c>
      <c r="R20" s="14" t="str" cm="1">
        <f t="array" ref="R20">_xlfn.IFS(C20&lt;18,"Under 18",C20&lt;36,"18-35",C20&lt;51,"36-50",C20&lt;66,"51-65",C20&gt;=66,"66+")</f>
        <v>18-35</v>
      </c>
      <c r="S20" s="18">
        <v>45962</v>
      </c>
    </row>
    <row r="21" spans="1:19">
      <c r="A21" s="21" t="s">
        <v>125</v>
      </c>
      <c r="B21" s="1" t="s">
        <v>126</v>
      </c>
      <c r="C21" s="1">
        <v>72</v>
      </c>
      <c r="D21" s="1" t="s">
        <v>19</v>
      </c>
      <c r="E21" s="1" t="s">
        <v>20</v>
      </c>
      <c r="F21" s="1" t="s">
        <v>52</v>
      </c>
      <c r="G21" s="1" t="s">
        <v>36</v>
      </c>
      <c r="H21" s="1" t="s">
        <v>35</v>
      </c>
      <c r="I21" s="1" t="s">
        <v>36</v>
      </c>
      <c r="J21" s="2">
        <v>45406</v>
      </c>
      <c r="K21" s="2">
        <v>45409</v>
      </c>
      <c r="L21" s="1">
        <v>3</v>
      </c>
      <c r="M21" s="1" t="s">
        <v>48</v>
      </c>
      <c r="N21" s="1" t="s">
        <v>82</v>
      </c>
      <c r="O21" s="4">
        <v>15053.51</v>
      </c>
      <c r="P21" s="1">
        <v>4</v>
      </c>
      <c r="Q21" s="10" t="s">
        <v>58</v>
      </c>
      <c r="R21" s="14" t="str" cm="1">
        <f t="array" ref="R21">_xlfn.IFS(C21&lt;18,"Under 18",C21&lt;36,"18-35",C21&lt;51,"36-50",C21&lt;66,"51-65",C21&gt;=66,"66+")</f>
        <v>66+</v>
      </c>
      <c r="S21" s="18">
        <v>45383</v>
      </c>
    </row>
    <row r="22" spans="1:19">
      <c r="A22" s="21" t="s">
        <v>127</v>
      </c>
      <c r="B22" s="1" t="s">
        <v>128</v>
      </c>
      <c r="C22" s="1">
        <v>80</v>
      </c>
      <c r="D22" s="1" t="s">
        <v>27</v>
      </c>
      <c r="E22" s="1" t="s">
        <v>117</v>
      </c>
      <c r="F22" s="1" t="s">
        <v>21</v>
      </c>
      <c r="G22" s="1" t="s">
        <v>110</v>
      </c>
      <c r="H22" s="1" t="s">
        <v>76</v>
      </c>
      <c r="I22" s="1" t="s">
        <v>24</v>
      </c>
      <c r="J22" s="2">
        <v>45479</v>
      </c>
      <c r="K22" s="2">
        <v>45462</v>
      </c>
      <c r="L22" s="1">
        <v>12</v>
      </c>
      <c r="M22" s="1" t="s">
        <v>48</v>
      </c>
      <c r="N22" s="1" t="s">
        <v>57</v>
      </c>
      <c r="O22" s="4">
        <v>32157.06</v>
      </c>
      <c r="P22" s="1">
        <v>4</v>
      </c>
      <c r="Q22" s="10" t="s">
        <v>72</v>
      </c>
      <c r="R22" s="14" t="str" cm="1">
        <f t="array" ref="R22">_xlfn.IFS(C22&lt;18,"Under 18",C22&lt;36,"18-35",C22&lt;51,"36-50",C22&lt;66,"51-65",C22&gt;=66,"66+")</f>
        <v>66+</v>
      </c>
      <c r="S22" s="18">
        <v>45474</v>
      </c>
    </row>
    <row r="23" spans="1:19">
      <c r="A23" s="21" t="s">
        <v>130</v>
      </c>
      <c r="B23" s="1" t="s">
        <v>131</v>
      </c>
      <c r="C23" s="1">
        <v>61</v>
      </c>
      <c r="D23" s="1" t="s">
        <v>19</v>
      </c>
      <c r="E23" s="1" t="s">
        <v>32</v>
      </c>
      <c r="F23" s="1" t="s">
        <v>120</v>
      </c>
      <c r="G23" s="1" t="s">
        <v>132</v>
      </c>
      <c r="H23" s="1" t="s">
        <v>61</v>
      </c>
      <c r="I23" s="1" t="s">
        <v>62</v>
      </c>
      <c r="J23" s="2">
        <v>45496</v>
      </c>
      <c r="K23" s="2">
        <v>45499</v>
      </c>
      <c r="L23" s="1">
        <v>3</v>
      </c>
      <c r="M23" s="1" t="s">
        <v>27</v>
      </c>
      <c r="N23" s="1" t="s">
        <v>57</v>
      </c>
      <c r="O23" s="4">
        <v>13727.5</v>
      </c>
      <c r="P23" s="1">
        <v>3</v>
      </c>
      <c r="Q23" s="10" t="s">
        <v>40</v>
      </c>
      <c r="R23" s="14" t="str" cm="1">
        <f t="array" ref="R23">_xlfn.IFS(C23&lt;18,"Under 18",C23&lt;36,"18-35",C23&lt;51,"36-50",C23&lt;66,"51-65",C23&gt;=66,"66+")</f>
        <v>51-65</v>
      </c>
      <c r="S23" s="18">
        <v>45474</v>
      </c>
    </row>
    <row r="24" spans="1:19">
      <c r="A24" s="21" t="s">
        <v>135</v>
      </c>
      <c r="B24" s="1" t="s">
        <v>136</v>
      </c>
      <c r="C24" s="1">
        <v>4</v>
      </c>
      <c r="D24" s="1" t="s">
        <v>19</v>
      </c>
      <c r="E24" s="1" t="s">
        <v>137</v>
      </c>
      <c r="F24" s="1" t="s">
        <v>67</v>
      </c>
      <c r="G24" s="1" t="s">
        <v>34</v>
      </c>
      <c r="H24" s="1" t="s">
        <v>45</v>
      </c>
      <c r="I24" s="1" t="s">
        <v>36</v>
      </c>
      <c r="J24" s="2">
        <v>45559</v>
      </c>
      <c r="K24" s="2">
        <v>45564</v>
      </c>
      <c r="L24" s="1">
        <v>5</v>
      </c>
      <c r="M24" s="1" t="s">
        <v>38</v>
      </c>
      <c r="N24" s="1" t="s">
        <v>28</v>
      </c>
      <c r="O24" s="4">
        <v>83942.18</v>
      </c>
      <c r="P24" s="1">
        <v>5</v>
      </c>
      <c r="Q24" s="10" t="s">
        <v>58</v>
      </c>
      <c r="R24" s="14" t="str" cm="1">
        <f t="array" ref="R24">_xlfn.IFS(C24&lt;18,"Under 18",C24&lt;36,"18-35",C24&lt;51,"36-50",C24&lt;66,"51-65",C24&gt;=66,"66+")</f>
        <v>Under 18</v>
      </c>
      <c r="S24" s="18">
        <v>45536</v>
      </c>
    </row>
    <row r="25" spans="1:19">
      <c r="A25" s="21" t="s">
        <v>140</v>
      </c>
      <c r="B25" s="1" t="s">
        <v>141</v>
      </c>
      <c r="C25" s="1">
        <v>1</v>
      </c>
      <c r="D25" s="1" t="s">
        <v>27</v>
      </c>
      <c r="E25" s="1" t="s">
        <v>32</v>
      </c>
      <c r="F25" s="1" t="s">
        <v>52</v>
      </c>
      <c r="G25" s="1" t="s">
        <v>132</v>
      </c>
      <c r="H25" s="1" t="s">
        <v>88</v>
      </c>
      <c r="I25" s="1" t="s">
        <v>62</v>
      </c>
      <c r="J25" s="2">
        <v>45784</v>
      </c>
      <c r="K25" s="2">
        <v>45998</v>
      </c>
      <c r="L25" s="1">
        <v>7</v>
      </c>
      <c r="M25" s="1" t="s">
        <v>27</v>
      </c>
      <c r="N25" s="1" t="s">
        <v>82</v>
      </c>
      <c r="O25" s="4">
        <v>43484.71</v>
      </c>
      <c r="P25" s="1">
        <v>5</v>
      </c>
      <c r="Q25" s="10" t="s">
        <v>58</v>
      </c>
      <c r="R25" s="14" t="str" cm="1">
        <f t="array" ref="R25">_xlfn.IFS(C25&lt;18,"Under 18",C25&lt;36,"18-35",C25&lt;51,"36-50",C25&lt;66,"51-65",C25&gt;=66,"66+")</f>
        <v>Under 18</v>
      </c>
      <c r="S25" s="18">
        <v>45778</v>
      </c>
    </row>
    <row r="26" spans="1:19">
      <c r="A26" s="21" t="s">
        <v>142</v>
      </c>
      <c r="B26" s="1" t="s">
        <v>143</v>
      </c>
      <c r="C26" s="1">
        <v>42</v>
      </c>
      <c r="D26" s="1" t="s">
        <v>43</v>
      </c>
      <c r="E26" s="1" t="s">
        <v>117</v>
      </c>
      <c r="F26" s="1" t="s">
        <v>120</v>
      </c>
      <c r="G26" s="1" t="s">
        <v>36</v>
      </c>
      <c r="H26" s="1" t="s">
        <v>35</v>
      </c>
      <c r="I26" s="1" t="s">
        <v>36</v>
      </c>
      <c r="J26" s="2">
        <v>46005</v>
      </c>
      <c r="K26" s="2">
        <v>46009</v>
      </c>
      <c r="L26" s="1">
        <v>4</v>
      </c>
      <c r="M26" s="1" t="s">
        <v>97</v>
      </c>
      <c r="N26" s="1" t="s">
        <v>39</v>
      </c>
      <c r="O26" s="4">
        <v>56932.59</v>
      </c>
      <c r="P26" s="1">
        <v>3</v>
      </c>
      <c r="Q26" s="10" t="s">
        <v>40</v>
      </c>
      <c r="R26" s="14" t="str" cm="1">
        <f t="array" ref="R26">_xlfn.IFS(C26&lt;18,"Under 18",C26&lt;36,"18-35",C26&lt;51,"36-50",C26&lt;66,"51-65",C26&gt;=66,"66+")</f>
        <v>36-50</v>
      </c>
      <c r="S26" s="18">
        <v>45992</v>
      </c>
    </row>
    <row r="27" spans="1:19">
      <c r="A27" s="21" t="s">
        <v>146</v>
      </c>
      <c r="B27" s="1" t="s">
        <v>60</v>
      </c>
      <c r="C27" s="1">
        <v>60</v>
      </c>
      <c r="D27" s="1" t="s">
        <v>43</v>
      </c>
      <c r="E27" s="1" t="s">
        <v>117</v>
      </c>
      <c r="F27" s="1" t="s">
        <v>21</v>
      </c>
      <c r="G27" s="1" t="s">
        <v>110</v>
      </c>
      <c r="H27" s="1" t="s">
        <v>45</v>
      </c>
      <c r="I27" s="1" t="s">
        <v>36</v>
      </c>
      <c r="J27" s="2">
        <v>45744</v>
      </c>
      <c r="K27" s="2">
        <v>45746</v>
      </c>
      <c r="L27" s="1">
        <v>2</v>
      </c>
      <c r="M27" s="1" t="s">
        <v>56</v>
      </c>
      <c r="N27" s="1" t="s">
        <v>28</v>
      </c>
      <c r="O27" s="4">
        <v>58806.71</v>
      </c>
      <c r="P27" s="1">
        <v>4</v>
      </c>
      <c r="Q27" s="10" t="s">
        <v>72</v>
      </c>
      <c r="R27" s="14" t="str" cm="1">
        <f t="array" ref="R27">_xlfn.IFS(C27&lt;18,"Under 18",C27&lt;36,"18-35",C27&lt;51,"36-50",C27&lt;66,"51-65",C27&gt;=66,"66+")</f>
        <v>51-65</v>
      </c>
      <c r="S27" s="18">
        <v>45717</v>
      </c>
    </row>
    <row r="28" spans="1:19">
      <c r="A28" s="21" t="s">
        <v>149</v>
      </c>
      <c r="B28" s="1" t="s">
        <v>18</v>
      </c>
      <c r="C28" s="1">
        <v>32</v>
      </c>
      <c r="D28" s="1" t="s">
        <v>43</v>
      </c>
      <c r="E28" s="1" t="s">
        <v>137</v>
      </c>
      <c r="F28" s="1" t="s">
        <v>21</v>
      </c>
      <c r="G28" s="1" t="s">
        <v>132</v>
      </c>
      <c r="H28" s="1" t="s">
        <v>76</v>
      </c>
      <c r="I28" s="1" t="s">
        <v>36</v>
      </c>
      <c r="J28" s="2">
        <v>45917</v>
      </c>
      <c r="K28" s="2">
        <v>45920</v>
      </c>
      <c r="L28" s="1">
        <v>3</v>
      </c>
      <c r="M28" s="1" t="s">
        <v>27</v>
      </c>
      <c r="N28" s="1" t="s">
        <v>57</v>
      </c>
      <c r="O28" s="4">
        <v>48089.53</v>
      </c>
      <c r="P28" s="1">
        <v>3</v>
      </c>
      <c r="Q28" s="10" t="s">
        <v>72</v>
      </c>
      <c r="R28" s="14" t="str" cm="1">
        <f t="array" ref="R28">_xlfn.IFS(C28&lt;18,"Under 18",C28&lt;36,"18-35",C28&lt;51,"36-50",C28&lt;66,"51-65",C28&gt;=66,"66+")</f>
        <v>18-35</v>
      </c>
      <c r="S28" s="18">
        <v>45901</v>
      </c>
    </row>
    <row r="29" spans="1:19">
      <c r="A29" s="21" t="s">
        <v>152</v>
      </c>
      <c r="B29" s="1" t="s">
        <v>103</v>
      </c>
      <c r="C29" s="1">
        <v>72</v>
      </c>
      <c r="D29" s="1" t="s">
        <v>19</v>
      </c>
      <c r="E29" s="1" t="s">
        <v>66</v>
      </c>
      <c r="F29" s="1" t="s">
        <v>52</v>
      </c>
      <c r="G29" s="1" t="s">
        <v>53</v>
      </c>
      <c r="H29" s="1" t="s">
        <v>93</v>
      </c>
      <c r="I29" s="1" t="s">
        <v>62</v>
      </c>
      <c r="J29" s="2">
        <v>45387</v>
      </c>
      <c r="K29" s="2">
        <v>45417</v>
      </c>
      <c r="L29" s="1">
        <v>1</v>
      </c>
      <c r="M29" s="1" t="s">
        <v>97</v>
      </c>
      <c r="N29" s="1" t="s">
        <v>82</v>
      </c>
      <c r="O29" s="4">
        <v>104788.18</v>
      </c>
      <c r="P29" s="1">
        <v>4</v>
      </c>
      <c r="Q29" s="10" t="s">
        <v>29</v>
      </c>
      <c r="R29" s="14" t="str" cm="1">
        <f t="array" ref="R29">_xlfn.IFS(C29&lt;18,"Under 18",C29&lt;36,"18-35",C29&lt;51,"36-50",C29&lt;66,"51-65",C29&gt;=66,"66+")</f>
        <v>66+</v>
      </c>
      <c r="S29" s="18">
        <v>45383</v>
      </c>
    </row>
    <row r="30" spans="1:19">
      <c r="A30" s="21" t="s">
        <v>153</v>
      </c>
      <c r="B30" s="1" t="s">
        <v>154</v>
      </c>
      <c r="C30" s="1">
        <v>82</v>
      </c>
      <c r="D30" s="1" t="s">
        <v>43</v>
      </c>
      <c r="E30" s="1" t="s">
        <v>66</v>
      </c>
      <c r="F30" s="1" t="s">
        <v>21</v>
      </c>
      <c r="G30" s="1" t="s">
        <v>22</v>
      </c>
      <c r="H30" s="1" t="s">
        <v>105</v>
      </c>
      <c r="I30" s="1" t="s">
        <v>36</v>
      </c>
      <c r="J30" s="2">
        <v>45825</v>
      </c>
      <c r="K30" s="2">
        <v>45830</v>
      </c>
      <c r="L30" s="1">
        <v>5</v>
      </c>
      <c r="M30" s="1" t="s">
        <v>97</v>
      </c>
      <c r="N30" s="1" t="s">
        <v>63</v>
      </c>
      <c r="O30" s="4">
        <v>29118.03</v>
      </c>
      <c r="P30" s="1">
        <v>4</v>
      </c>
      <c r="Q30" s="10" t="s">
        <v>29</v>
      </c>
      <c r="R30" s="14" t="str" cm="1">
        <f t="array" ref="R30">_xlfn.IFS(C30&lt;18,"Under 18",C30&lt;36,"18-35",C30&lt;51,"36-50",C30&lt;66,"51-65",C30&gt;=66,"66+")</f>
        <v>66+</v>
      </c>
      <c r="S30" s="18">
        <v>45809</v>
      </c>
    </row>
    <row r="31" spans="1:19">
      <c r="A31" s="21" t="s">
        <v>157</v>
      </c>
      <c r="B31" s="1" t="s">
        <v>158</v>
      </c>
      <c r="C31" s="1">
        <v>28</v>
      </c>
      <c r="D31" s="1" t="s">
        <v>19</v>
      </c>
      <c r="E31" s="1" t="s">
        <v>159</v>
      </c>
      <c r="F31" s="1" t="s">
        <v>75</v>
      </c>
      <c r="G31" s="1" t="s">
        <v>34</v>
      </c>
      <c r="H31" s="1" t="s">
        <v>61</v>
      </c>
      <c r="I31" s="1" t="s">
        <v>62</v>
      </c>
      <c r="J31" s="2">
        <v>45716</v>
      </c>
      <c r="K31" s="2">
        <v>45719</v>
      </c>
      <c r="L31" s="1">
        <v>3</v>
      </c>
      <c r="M31" s="1" t="s">
        <v>38</v>
      </c>
      <c r="N31" s="1" t="s">
        <v>39</v>
      </c>
      <c r="O31" s="4">
        <v>112880.16</v>
      </c>
      <c r="P31" s="1">
        <v>5</v>
      </c>
      <c r="Q31" s="10" t="s">
        <v>58</v>
      </c>
      <c r="R31" s="14" t="str" cm="1">
        <f t="array" ref="R31">_xlfn.IFS(C31&lt;18,"Under 18",C31&lt;36,"18-35",C31&lt;51,"36-50",C31&lt;66,"51-65",C31&gt;=66,"66+")</f>
        <v>18-35</v>
      </c>
      <c r="S31" s="18">
        <v>45689</v>
      </c>
    </row>
    <row r="32" spans="1:19">
      <c r="A32" s="21" t="s">
        <v>161</v>
      </c>
      <c r="B32" s="1" t="s">
        <v>162</v>
      </c>
      <c r="C32" s="1">
        <v>54</v>
      </c>
      <c r="D32" s="1" t="s">
        <v>27</v>
      </c>
      <c r="E32" s="1" t="s">
        <v>66</v>
      </c>
      <c r="F32" s="1" t="s">
        <v>67</v>
      </c>
      <c r="G32" s="1" t="s">
        <v>36</v>
      </c>
      <c r="H32" s="1" t="s">
        <v>88</v>
      </c>
      <c r="I32" s="1" t="s">
        <v>24</v>
      </c>
      <c r="J32" s="2">
        <v>45851</v>
      </c>
      <c r="K32" s="2">
        <v>45853</v>
      </c>
      <c r="L32" s="1">
        <v>2</v>
      </c>
      <c r="M32" s="1" t="s">
        <v>48</v>
      </c>
      <c r="N32" s="1" t="s">
        <v>57</v>
      </c>
      <c r="O32" s="4">
        <v>60827.77</v>
      </c>
      <c r="P32" s="1">
        <v>5</v>
      </c>
      <c r="Q32" s="10" t="s">
        <v>72</v>
      </c>
      <c r="R32" s="14" t="str" cm="1">
        <f t="array" ref="R32">_xlfn.IFS(C32&lt;18,"Under 18",C32&lt;36,"18-35",C32&lt;51,"36-50",C32&lt;66,"51-65",C32&gt;=66,"66+")</f>
        <v>51-65</v>
      </c>
      <c r="S32" s="18">
        <v>45839</v>
      </c>
    </row>
    <row r="33" spans="1:19">
      <c r="A33" s="21" t="s">
        <v>165</v>
      </c>
      <c r="B33" s="1" t="s">
        <v>114</v>
      </c>
      <c r="C33" s="1">
        <v>11</v>
      </c>
      <c r="D33" s="1" t="s">
        <v>27</v>
      </c>
      <c r="E33" s="1" t="s">
        <v>117</v>
      </c>
      <c r="F33" s="1" t="s">
        <v>75</v>
      </c>
      <c r="G33" s="1" t="s">
        <v>104</v>
      </c>
      <c r="H33" s="1" t="s">
        <v>88</v>
      </c>
      <c r="I33" s="1" t="s">
        <v>62</v>
      </c>
      <c r="J33" s="2">
        <v>45730</v>
      </c>
      <c r="K33" s="2">
        <v>45732</v>
      </c>
      <c r="L33" s="1">
        <v>2</v>
      </c>
      <c r="M33" s="1" t="s">
        <v>48</v>
      </c>
      <c r="N33" s="1" t="s">
        <v>63</v>
      </c>
      <c r="O33" s="4">
        <v>36637.54</v>
      </c>
      <c r="P33" s="1">
        <v>5</v>
      </c>
      <c r="Q33" s="10" t="s">
        <v>72</v>
      </c>
      <c r="R33" s="14" t="str" cm="1">
        <f t="array" ref="R33">_xlfn.IFS(C33&lt;18,"Under 18",C33&lt;36,"18-35",C33&lt;51,"36-50",C33&lt;66,"51-65",C33&gt;=66,"66+")</f>
        <v>Under 18</v>
      </c>
      <c r="S33" s="18">
        <v>45717</v>
      </c>
    </row>
    <row r="34" spans="1:19">
      <c r="A34" s="21" t="s">
        <v>168</v>
      </c>
      <c r="B34" s="1" t="s">
        <v>169</v>
      </c>
      <c r="C34" s="1">
        <v>45</v>
      </c>
      <c r="D34" s="1" t="s">
        <v>19</v>
      </c>
      <c r="E34" s="1" t="s">
        <v>32</v>
      </c>
      <c r="F34" s="1" t="s">
        <v>67</v>
      </c>
      <c r="G34" s="1" t="s">
        <v>34</v>
      </c>
      <c r="H34" s="1" t="s">
        <v>61</v>
      </c>
      <c r="I34" s="1" t="s">
        <v>36</v>
      </c>
      <c r="J34" s="2">
        <v>45957</v>
      </c>
      <c r="K34" s="2">
        <v>45758</v>
      </c>
      <c r="L34" s="1">
        <v>8</v>
      </c>
      <c r="M34" s="1" t="s">
        <v>97</v>
      </c>
      <c r="N34" s="1" t="s">
        <v>63</v>
      </c>
      <c r="O34" s="4">
        <v>40438.800000000003</v>
      </c>
      <c r="P34" s="1">
        <v>3</v>
      </c>
      <c r="Q34" s="10" t="s">
        <v>40</v>
      </c>
      <c r="R34" s="14" t="str" cm="1">
        <f t="array" ref="R34">_xlfn.IFS(C34&lt;18,"Under 18",C34&lt;36,"18-35",C34&lt;51,"36-50",C34&lt;66,"51-65",C34&gt;=66,"66+")</f>
        <v>36-50</v>
      </c>
      <c r="S34" s="18">
        <v>45931</v>
      </c>
    </row>
    <row r="35" spans="1:19">
      <c r="A35" s="21" t="s">
        <v>171</v>
      </c>
      <c r="B35" s="1" t="s">
        <v>172</v>
      </c>
      <c r="C35" s="1">
        <v>48</v>
      </c>
      <c r="D35" s="1" t="s">
        <v>19</v>
      </c>
      <c r="E35" s="1" t="s">
        <v>32</v>
      </c>
      <c r="F35" s="1" t="s">
        <v>67</v>
      </c>
      <c r="G35" s="1" t="s">
        <v>68</v>
      </c>
      <c r="H35" s="1" t="s">
        <v>69</v>
      </c>
      <c r="I35" s="1" t="s">
        <v>24</v>
      </c>
      <c r="J35" s="2">
        <v>46000</v>
      </c>
      <c r="K35" s="2">
        <v>45914</v>
      </c>
      <c r="L35" s="1">
        <v>2</v>
      </c>
      <c r="M35" s="1" t="s">
        <v>56</v>
      </c>
      <c r="N35" s="1" t="s">
        <v>28</v>
      </c>
      <c r="O35" s="4">
        <v>61446.35</v>
      </c>
      <c r="P35" s="1">
        <v>5</v>
      </c>
      <c r="Q35" s="10" t="s">
        <v>40</v>
      </c>
      <c r="R35" s="14" t="str" cm="1">
        <f t="array" ref="R35">_xlfn.IFS(C35&lt;18,"Under 18",C35&lt;36,"18-35",C35&lt;51,"36-50",C35&lt;66,"51-65",C35&gt;=66,"66+")</f>
        <v>36-50</v>
      </c>
      <c r="S35" s="18">
        <v>45992</v>
      </c>
    </row>
    <row r="36" spans="1:19">
      <c r="A36" s="21" t="s">
        <v>174</v>
      </c>
      <c r="B36" s="1" t="s">
        <v>158</v>
      </c>
      <c r="C36" s="1">
        <v>88</v>
      </c>
      <c r="D36" s="1" t="s">
        <v>27</v>
      </c>
      <c r="E36" s="1" t="s">
        <v>159</v>
      </c>
      <c r="F36" s="1" t="s">
        <v>75</v>
      </c>
      <c r="G36" s="1" t="s">
        <v>36</v>
      </c>
      <c r="H36" s="1" t="s">
        <v>88</v>
      </c>
      <c r="I36" s="1" t="s">
        <v>62</v>
      </c>
      <c r="J36" s="2">
        <v>45356</v>
      </c>
      <c r="K36" s="2">
        <v>45601</v>
      </c>
      <c r="L36" s="1">
        <v>8</v>
      </c>
      <c r="M36" s="1" t="s">
        <v>38</v>
      </c>
      <c r="N36" s="1" t="s">
        <v>63</v>
      </c>
      <c r="O36" s="4">
        <v>21292.3</v>
      </c>
      <c r="P36" s="1">
        <v>4</v>
      </c>
      <c r="Q36" s="10" t="s">
        <v>58</v>
      </c>
      <c r="R36" s="14" t="str" cm="1">
        <f t="array" ref="R36">_xlfn.IFS(C36&lt;18,"Under 18",C36&lt;36,"18-35",C36&lt;51,"36-50",C36&lt;66,"51-65",C36&gt;=66,"66+")</f>
        <v>66+</v>
      </c>
      <c r="S36" s="18">
        <v>45352</v>
      </c>
    </row>
    <row r="37" spans="1:19">
      <c r="A37" s="21" t="s">
        <v>175</v>
      </c>
      <c r="B37" s="1" t="s">
        <v>176</v>
      </c>
      <c r="C37" s="1">
        <v>20</v>
      </c>
      <c r="D37" s="1" t="s">
        <v>43</v>
      </c>
      <c r="E37" s="1" t="s">
        <v>20</v>
      </c>
      <c r="F37" s="1" t="s">
        <v>75</v>
      </c>
      <c r="G37" s="1" t="s">
        <v>104</v>
      </c>
      <c r="H37" s="1" t="s">
        <v>93</v>
      </c>
      <c r="I37" s="1" t="s">
        <v>62</v>
      </c>
      <c r="J37" s="2">
        <v>45472</v>
      </c>
      <c r="K37" s="2">
        <v>45358</v>
      </c>
      <c r="L37" s="1">
        <v>4</v>
      </c>
      <c r="M37" s="1" t="s">
        <v>97</v>
      </c>
      <c r="N37" s="1" t="s">
        <v>85</v>
      </c>
      <c r="O37" s="4">
        <v>43796.94</v>
      </c>
      <c r="P37" s="1">
        <v>5</v>
      </c>
      <c r="Q37" s="10" t="s">
        <v>58</v>
      </c>
      <c r="R37" s="14" t="str" cm="1">
        <f t="array" ref="R37">_xlfn.IFS(C37&lt;18,"Under 18",C37&lt;36,"18-35",C37&lt;51,"36-50",C37&lt;66,"51-65",C37&gt;=66,"66+")</f>
        <v>18-35</v>
      </c>
      <c r="S37" s="18">
        <v>45444</v>
      </c>
    </row>
    <row r="38" spans="1:19">
      <c r="A38" s="21" t="s">
        <v>178</v>
      </c>
      <c r="B38" s="1" t="s">
        <v>179</v>
      </c>
      <c r="C38" s="1">
        <v>73</v>
      </c>
      <c r="D38" s="1" t="s">
        <v>27</v>
      </c>
      <c r="E38" s="1" t="s">
        <v>51</v>
      </c>
      <c r="F38" s="1" t="s">
        <v>75</v>
      </c>
      <c r="G38" s="1" t="s">
        <v>53</v>
      </c>
      <c r="H38" s="1" t="s">
        <v>35</v>
      </c>
      <c r="I38" s="1" t="s">
        <v>24</v>
      </c>
      <c r="J38" s="2">
        <v>45976</v>
      </c>
      <c r="K38" s="2">
        <v>45979</v>
      </c>
      <c r="L38" s="1">
        <v>3</v>
      </c>
      <c r="M38" s="1" t="s">
        <v>56</v>
      </c>
      <c r="N38" s="1" t="s">
        <v>28</v>
      </c>
      <c r="O38" s="4">
        <v>72307.25</v>
      </c>
      <c r="P38" s="1">
        <v>3</v>
      </c>
      <c r="Q38" s="10" t="s">
        <v>29</v>
      </c>
      <c r="R38" s="14" t="str" cm="1">
        <f t="array" ref="R38">_xlfn.IFS(C38&lt;18,"Under 18",C38&lt;36,"18-35",C38&lt;51,"36-50",C38&lt;66,"51-65",C38&gt;=66,"66+")</f>
        <v>66+</v>
      </c>
      <c r="S38" s="18">
        <v>45962</v>
      </c>
    </row>
    <row r="39" spans="1:19">
      <c r="A39" s="21" t="s">
        <v>182</v>
      </c>
      <c r="B39" s="1" t="s">
        <v>183</v>
      </c>
      <c r="C39" s="1">
        <v>53</v>
      </c>
      <c r="D39" s="1" t="s">
        <v>43</v>
      </c>
      <c r="E39" s="1" t="s">
        <v>20</v>
      </c>
      <c r="F39" s="1" t="s">
        <v>120</v>
      </c>
      <c r="G39" s="1" t="s">
        <v>104</v>
      </c>
      <c r="H39" s="1" t="s">
        <v>93</v>
      </c>
      <c r="I39" s="1" t="s">
        <v>24</v>
      </c>
      <c r="J39" s="2">
        <v>45860</v>
      </c>
      <c r="K39" s="2">
        <v>45866</v>
      </c>
      <c r="L39" s="1">
        <v>6</v>
      </c>
      <c r="M39" s="1" t="s">
        <v>27</v>
      </c>
      <c r="N39" s="1" t="s">
        <v>82</v>
      </c>
      <c r="O39" s="4">
        <v>69884.100000000006</v>
      </c>
      <c r="P39" s="1">
        <v>2</v>
      </c>
      <c r="Q39" s="10" t="s">
        <v>58</v>
      </c>
      <c r="R39" s="14" t="str" cm="1">
        <f t="array" ref="R39">_xlfn.IFS(C39&lt;18,"Under 18",C39&lt;36,"18-35",C39&lt;51,"36-50",C39&lt;66,"51-65",C39&gt;=66,"66+")</f>
        <v>51-65</v>
      </c>
      <c r="S39" s="18">
        <v>45839</v>
      </c>
    </row>
    <row r="40" spans="1:19">
      <c r="A40" s="21" t="s">
        <v>186</v>
      </c>
      <c r="B40" s="1" t="s">
        <v>31</v>
      </c>
      <c r="C40" s="1">
        <v>71</v>
      </c>
      <c r="D40" s="1" t="s">
        <v>27</v>
      </c>
      <c r="E40" s="1" t="s">
        <v>51</v>
      </c>
      <c r="F40" s="1" t="s">
        <v>52</v>
      </c>
      <c r="G40" s="1" t="s">
        <v>68</v>
      </c>
      <c r="H40" s="1" t="s">
        <v>105</v>
      </c>
      <c r="I40" s="1" t="s">
        <v>36</v>
      </c>
      <c r="J40" s="2">
        <v>45644</v>
      </c>
      <c r="K40" s="2">
        <v>45647</v>
      </c>
      <c r="L40" s="1">
        <v>3</v>
      </c>
      <c r="M40" s="1" t="s">
        <v>56</v>
      </c>
      <c r="N40" s="1" t="s">
        <v>85</v>
      </c>
      <c r="O40" s="4">
        <v>28829.279999999999</v>
      </c>
      <c r="P40" s="1">
        <v>5</v>
      </c>
      <c r="Q40" s="10" t="s">
        <v>58</v>
      </c>
      <c r="R40" s="14" t="str" cm="1">
        <f t="array" ref="R40">_xlfn.IFS(C40&lt;18,"Under 18",C40&lt;36,"18-35",C40&lt;51,"36-50",C40&lt;66,"51-65",C40&gt;=66,"66+")</f>
        <v>66+</v>
      </c>
      <c r="S40" s="18">
        <v>45627</v>
      </c>
    </row>
    <row r="41" spans="1:19">
      <c r="A41" s="21" t="s">
        <v>189</v>
      </c>
      <c r="B41" s="1" t="s">
        <v>190</v>
      </c>
      <c r="C41" s="1">
        <v>36</v>
      </c>
      <c r="D41" s="1" t="s">
        <v>27</v>
      </c>
      <c r="E41" s="1" t="s">
        <v>117</v>
      </c>
      <c r="F41" s="1" t="s">
        <v>75</v>
      </c>
      <c r="G41" s="1" t="s">
        <v>132</v>
      </c>
      <c r="H41" s="1" t="s">
        <v>105</v>
      </c>
      <c r="I41" s="1" t="s">
        <v>36</v>
      </c>
      <c r="J41" s="2">
        <v>45895</v>
      </c>
      <c r="K41" s="2">
        <v>45900</v>
      </c>
      <c r="L41" s="1">
        <v>5</v>
      </c>
      <c r="M41" s="1" t="s">
        <v>27</v>
      </c>
      <c r="N41" s="1" t="s">
        <v>82</v>
      </c>
      <c r="O41" s="4">
        <v>28606.27</v>
      </c>
      <c r="P41" s="1">
        <v>3</v>
      </c>
      <c r="Q41" s="10" t="s">
        <v>29</v>
      </c>
      <c r="R41" s="14" t="str" cm="1">
        <f t="array" ref="R41">_xlfn.IFS(C41&lt;18,"Under 18",C41&lt;36,"18-35",C41&lt;51,"36-50",C41&lt;66,"51-65",C41&gt;=66,"66+")</f>
        <v>36-50</v>
      </c>
      <c r="S41" s="18">
        <v>45870</v>
      </c>
    </row>
    <row r="42" spans="1:19">
      <c r="A42" s="21" t="s">
        <v>193</v>
      </c>
      <c r="B42" s="1" t="s">
        <v>194</v>
      </c>
      <c r="C42" s="1">
        <v>82</v>
      </c>
      <c r="D42" s="1" t="s">
        <v>43</v>
      </c>
      <c r="E42" s="1" t="s">
        <v>32</v>
      </c>
      <c r="F42" s="1" t="s">
        <v>33</v>
      </c>
      <c r="G42" s="1" t="s">
        <v>104</v>
      </c>
      <c r="H42" s="1" t="s">
        <v>88</v>
      </c>
      <c r="I42" s="1" t="s">
        <v>62</v>
      </c>
      <c r="J42" s="2">
        <v>45397</v>
      </c>
      <c r="K42" s="2">
        <v>45402</v>
      </c>
      <c r="L42" s="1">
        <v>5</v>
      </c>
      <c r="M42" s="1" t="s">
        <v>48</v>
      </c>
      <c r="N42" s="1" t="s">
        <v>90</v>
      </c>
      <c r="O42" s="4">
        <v>25458.55</v>
      </c>
      <c r="P42" s="1">
        <v>2</v>
      </c>
      <c r="Q42" s="10" t="s">
        <v>72</v>
      </c>
      <c r="R42" s="14" t="str" cm="1">
        <f t="array" ref="R42">_xlfn.IFS(C42&lt;18,"Under 18",C42&lt;36,"18-35",C42&lt;51,"36-50",C42&lt;66,"51-65",C42&gt;=66,"66+")</f>
        <v>66+</v>
      </c>
      <c r="S42" s="18">
        <v>45383</v>
      </c>
    </row>
    <row r="43" spans="1:19">
      <c r="A43" s="21" t="s">
        <v>197</v>
      </c>
      <c r="B43" s="1" t="s">
        <v>198</v>
      </c>
      <c r="C43" s="1">
        <v>20</v>
      </c>
      <c r="D43" s="1" t="s">
        <v>19</v>
      </c>
      <c r="E43" s="1" t="s">
        <v>159</v>
      </c>
      <c r="F43" s="1" t="s">
        <v>33</v>
      </c>
      <c r="G43" s="1" t="s">
        <v>36</v>
      </c>
      <c r="H43" s="1" t="s">
        <v>69</v>
      </c>
      <c r="I43" s="1" t="s">
        <v>62</v>
      </c>
      <c r="J43" s="2">
        <v>45868</v>
      </c>
      <c r="K43" s="2">
        <v>45869</v>
      </c>
      <c r="L43" s="1">
        <v>1</v>
      </c>
      <c r="M43" s="1" t="s">
        <v>27</v>
      </c>
      <c r="N43" s="1" t="s">
        <v>57</v>
      </c>
      <c r="O43" s="4">
        <v>55517.26</v>
      </c>
      <c r="P43" s="1">
        <v>4</v>
      </c>
      <c r="Q43" s="10" t="s">
        <v>40</v>
      </c>
      <c r="R43" s="14" t="str" cm="1">
        <f t="array" ref="R43">_xlfn.IFS(C43&lt;18,"Under 18",C43&lt;36,"18-35",C43&lt;51,"36-50",C43&lt;66,"51-65",C43&gt;=66,"66+")</f>
        <v>18-35</v>
      </c>
      <c r="S43" s="18">
        <v>45839</v>
      </c>
    </row>
    <row r="44" spans="1:19">
      <c r="A44" s="21" t="s">
        <v>201</v>
      </c>
      <c r="B44" s="1" t="s">
        <v>50</v>
      </c>
      <c r="C44" s="1">
        <v>73</v>
      </c>
      <c r="D44" s="1" t="s">
        <v>27</v>
      </c>
      <c r="E44" s="1" t="s">
        <v>202</v>
      </c>
      <c r="F44" s="1" t="s">
        <v>33</v>
      </c>
      <c r="G44" s="1" t="s">
        <v>68</v>
      </c>
      <c r="H44" s="1" t="s">
        <v>45</v>
      </c>
      <c r="I44" s="1" t="s">
        <v>62</v>
      </c>
      <c r="J44" s="2">
        <v>45325</v>
      </c>
      <c r="K44" s="2">
        <v>45568</v>
      </c>
      <c r="L44" s="1">
        <v>8</v>
      </c>
      <c r="M44" s="1" t="s">
        <v>27</v>
      </c>
      <c r="N44" s="1" t="s">
        <v>57</v>
      </c>
      <c r="O44" s="4">
        <v>29331.46</v>
      </c>
      <c r="P44" s="1">
        <v>3</v>
      </c>
      <c r="Q44" s="10" t="s">
        <v>40</v>
      </c>
      <c r="R44" s="14" t="str" cm="1">
        <f t="array" ref="R44">_xlfn.IFS(C44&lt;18,"Under 18",C44&lt;36,"18-35",C44&lt;51,"36-50",C44&lt;66,"51-65",C44&gt;=66,"66+")</f>
        <v>66+</v>
      </c>
      <c r="S44" s="18">
        <v>45323</v>
      </c>
    </row>
    <row r="45" spans="1:19">
      <c r="A45" s="21" t="s">
        <v>203</v>
      </c>
      <c r="B45" s="1" t="s">
        <v>204</v>
      </c>
      <c r="C45" s="1">
        <v>5</v>
      </c>
      <c r="D45" s="1" t="s">
        <v>19</v>
      </c>
      <c r="E45" s="1" t="s">
        <v>137</v>
      </c>
      <c r="F45" s="1" t="s">
        <v>75</v>
      </c>
      <c r="G45" s="1" t="s">
        <v>22</v>
      </c>
      <c r="H45" s="1" t="s">
        <v>61</v>
      </c>
      <c r="I45" s="1" t="s">
        <v>24</v>
      </c>
      <c r="J45" s="2">
        <v>45587</v>
      </c>
      <c r="K45" s="2">
        <v>45589</v>
      </c>
      <c r="L45" s="1">
        <v>2</v>
      </c>
      <c r="M45" s="1" t="s">
        <v>56</v>
      </c>
      <c r="N45" s="1" t="s">
        <v>63</v>
      </c>
      <c r="O45" s="4">
        <v>79445.509999999995</v>
      </c>
      <c r="P45" s="1">
        <v>5</v>
      </c>
      <c r="Q45" s="10" t="s">
        <v>29</v>
      </c>
      <c r="R45" s="14" t="str" cm="1">
        <f t="array" ref="R45">_xlfn.IFS(C45&lt;18,"Under 18",C45&lt;36,"18-35",C45&lt;51,"36-50",C45&lt;66,"51-65",C45&gt;=66,"66+")</f>
        <v>Under 18</v>
      </c>
      <c r="S45" s="18">
        <v>45566</v>
      </c>
    </row>
    <row r="46" spans="1:19">
      <c r="A46" s="21" t="s">
        <v>207</v>
      </c>
      <c r="B46" s="1" t="s">
        <v>208</v>
      </c>
      <c r="C46" s="1">
        <v>35</v>
      </c>
      <c r="D46" s="1" t="s">
        <v>19</v>
      </c>
      <c r="E46" s="1" t="s">
        <v>51</v>
      </c>
      <c r="F46" s="1" t="s">
        <v>67</v>
      </c>
      <c r="G46" s="1" t="s">
        <v>68</v>
      </c>
      <c r="H46" s="1" t="s">
        <v>93</v>
      </c>
      <c r="I46" s="1" t="s">
        <v>62</v>
      </c>
      <c r="J46" s="2">
        <v>45365</v>
      </c>
      <c r="K46" s="2">
        <v>45366</v>
      </c>
      <c r="L46" s="1">
        <v>1</v>
      </c>
      <c r="M46" s="1" t="s">
        <v>97</v>
      </c>
      <c r="N46" s="1" t="s">
        <v>28</v>
      </c>
      <c r="O46" s="4">
        <v>21077.82</v>
      </c>
      <c r="P46" s="1">
        <v>4</v>
      </c>
      <c r="Q46" s="10" t="s">
        <v>72</v>
      </c>
      <c r="R46" s="14" t="str" cm="1">
        <f t="array" ref="R46">_xlfn.IFS(C46&lt;18,"Under 18",C46&lt;36,"18-35",C46&lt;51,"36-50",C46&lt;66,"51-65",C46&gt;=66,"66+")</f>
        <v>18-35</v>
      </c>
      <c r="S46" s="18">
        <v>45352</v>
      </c>
    </row>
    <row r="47" spans="1:19">
      <c r="A47" s="21" t="s">
        <v>211</v>
      </c>
      <c r="B47" s="1" t="s">
        <v>212</v>
      </c>
      <c r="C47" s="1">
        <v>56</v>
      </c>
      <c r="D47" s="1" t="s">
        <v>27</v>
      </c>
      <c r="E47" s="1" t="s">
        <v>117</v>
      </c>
      <c r="F47" s="1" t="s">
        <v>21</v>
      </c>
      <c r="G47" s="1" t="s">
        <v>34</v>
      </c>
      <c r="H47" s="1" t="s">
        <v>105</v>
      </c>
      <c r="I47" s="1" t="s">
        <v>24</v>
      </c>
      <c r="J47" s="2">
        <v>45622</v>
      </c>
      <c r="K47" s="2">
        <v>45624</v>
      </c>
      <c r="L47" s="1">
        <v>2</v>
      </c>
      <c r="M47" s="1" t="s">
        <v>97</v>
      </c>
      <c r="N47" s="1" t="s">
        <v>63</v>
      </c>
      <c r="O47" s="4">
        <v>102011.68</v>
      </c>
      <c r="P47" s="1">
        <v>3</v>
      </c>
      <c r="Q47" s="10" t="s">
        <v>58</v>
      </c>
      <c r="R47" s="14" t="str" cm="1">
        <f t="array" ref="R47">_xlfn.IFS(C47&lt;18,"Under 18",C47&lt;36,"18-35",C47&lt;51,"36-50",C47&lt;66,"51-65",C47&gt;=66,"66+")</f>
        <v>51-65</v>
      </c>
      <c r="S47" s="18">
        <v>45597</v>
      </c>
    </row>
    <row r="48" spans="1:19">
      <c r="A48" s="21" t="s">
        <v>215</v>
      </c>
      <c r="B48" s="1" t="s">
        <v>216</v>
      </c>
      <c r="C48" s="1">
        <v>12</v>
      </c>
      <c r="D48" s="1" t="s">
        <v>43</v>
      </c>
      <c r="E48" s="1" t="s">
        <v>159</v>
      </c>
      <c r="F48" s="1" t="s">
        <v>75</v>
      </c>
      <c r="G48" s="1" t="s">
        <v>110</v>
      </c>
      <c r="H48" s="1" t="s">
        <v>88</v>
      </c>
      <c r="I48" s="1" t="s">
        <v>62</v>
      </c>
      <c r="J48" s="2">
        <v>45648</v>
      </c>
      <c r="K48" s="2">
        <v>45651</v>
      </c>
      <c r="L48" s="1">
        <v>3</v>
      </c>
      <c r="M48" s="1" t="s">
        <v>38</v>
      </c>
      <c r="N48" s="1" t="s">
        <v>82</v>
      </c>
      <c r="O48" s="4">
        <v>69211.179999999993</v>
      </c>
      <c r="P48" s="1">
        <v>4</v>
      </c>
      <c r="Q48" s="10" t="s">
        <v>72</v>
      </c>
      <c r="R48" s="14" t="str" cm="1">
        <f t="array" ref="R48">_xlfn.IFS(C48&lt;18,"Under 18",C48&lt;36,"18-35",C48&lt;51,"36-50",C48&lt;66,"51-65",C48&gt;=66,"66+")</f>
        <v>Under 18</v>
      </c>
      <c r="S48" s="18">
        <v>45627</v>
      </c>
    </row>
    <row r="49" spans="1:19">
      <c r="A49" s="21" t="s">
        <v>219</v>
      </c>
      <c r="B49" s="1" t="s">
        <v>84</v>
      </c>
      <c r="C49" s="1">
        <v>52</v>
      </c>
      <c r="D49" s="1" t="s">
        <v>27</v>
      </c>
      <c r="E49" s="1" t="s">
        <v>117</v>
      </c>
      <c r="F49" s="1" t="s">
        <v>33</v>
      </c>
      <c r="G49" s="1" t="s">
        <v>104</v>
      </c>
      <c r="H49" s="1" t="s">
        <v>93</v>
      </c>
      <c r="I49" s="1" t="s">
        <v>24</v>
      </c>
      <c r="J49" s="2">
        <v>45323</v>
      </c>
      <c r="K49" s="2">
        <v>45352</v>
      </c>
      <c r="L49" s="1">
        <v>1</v>
      </c>
      <c r="M49" s="1" t="s">
        <v>97</v>
      </c>
      <c r="N49" s="1" t="s">
        <v>28</v>
      </c>
      <c r="O49" s="4">
        <v>67479.31</v>
      </c>
      <c r="P49" s="1">
        <v>3</v>
      </c>
      <c r="Q49" s="10" t="s">
        <v>72</v>
      </c>
      <c r="R49" s="14" t="str" cm="1">
        <f t="array" ref="R49">_xlfn.IFS(C49&lt;18,"Under 18",C49&lt;36,"18-35",C49&lt;51,"36-50",C49&lt;66,"51-65",C49&gt;=66,"66+")</f>
        <v>51-65</v>
      </c>
      <c r="S49" s="18">
        <v>45323</v>
      </c>
    </row>
    <row r="50" spans="1:19">
      <c r="A50" s="21" t="s">
        <v>220</v>
      </c>
      <c r="B50" s="1" t="s">
        <v>221</v>
      </c>
      <c r="C50" s="1">
        <v>81</v>
      </c>
      <c r="D50" s="1" t="s">
        <v>27</v>
      </c>
      <c r="E50" s="1" t="s">
        <v>32</v>
      </c>
      <c r="F50" s="1" t="s">
        <v>52</v>
      </c>
      <c r="G50" s="1" t="s">
        <v>36</v>
      </c>
      <c r="H50" s="1" t="s">
        <v>45</v>
      </c>
      <c r="I50" s="1" t="s">
        <v>36</v>
      </c>
      <c r="J50" s="2">
        <v>45331</v>
      </c>
      <c r="K50" s="2">
        <v>45360</v>
      </c>
      <c r="L50" s="1">
        <v>1</v>
      </c>
      <c r="M50" s="1" t="s">
        <v>97</v>
      </c>
      <c r="N50" s="1" t="s">
        <v>63</v>
      </c>
      <c r="O50" s="4">
        <v>28403.15</v>
      </c>
      <c r="P50" s="1">
        <v>5</v>
      </c>
      <c r="Q50" s="10" t="s">
        <v>40</v>
      </c>
      <c r="R50" s="14" t="str" cm="1">
        <f t="array" ref="R50">_xlfn.IFS(C50&lt;18,"Under 18",C50&lt;36,"18-35",C50&lt;51,"36-50",C50&lt;66,"51-65",C50&gt;=66,"66+")</f>
        <v>66+</v>
      </c>
      <c r="S50" s="18">
        <v>45323</v>
      </c>
    </row>
    <row r="51" spans="1:19">
      <c r="A51" s="21" t="s">
        <v>222</v>
      </c>
      <c r="B51" s="1" t="s">
        <v>223</v>
      </c>
      <c r="C51" s="1">
        <v>66</v>
      </c>
      <c r="D51" s="1" t="s">
        <v>27</v>
      </c>
      <c r="E51" s="1" t="s">
        <v>32</v>
      </c>
      <c r="F51" s="1" t="s">
        <v>120</v>
      </c>
      <c r="G51" s="1" t="s">
        <v>132</v>
      </c>
      <c r="H51" s="1" t="s">
        <v>93</v>
      </c>
      <c r="I51" s="1" t="s">
        <v>62</v>
      </c>
      <c r="J51" s="2">
        <v>45453</v>
      </c>
      <c r="K51" s="2">
        <v>45581</v>
      </c>
      <c r="L51" s="1">
        <v>10</v>
      </c>
      <c r="M51" s="1" t="s">
        <v>38</v>
      </c>
      <c r="N51" s="1" t="s">
        <v>39</v>
      </c>
      <c r="O51" s="4">
        <v>65302.94</v>
      </c>
      <c r="P51" s="1">
        <v>4</v>
      </c>
      <c r="Q51" s="10" t="s">
        <v>40</v>
      </c>
      <c r="R51" s="14" t="str" cm="1">
        <f t="array" ref="R51">_xlfn.IFS(C51&lt;18,"Under 18",C51&lt;36,"18-35",C51&lt;51,"36-50",C51&lt;66,"51-65",C51&gt;=66,"66+")</f>
        <v>66+</v>
      </c>
      <c r="S51" s="18">
        <v>45444</v>
      </c>
    </row>
    <row r="52" spans="1:19">
      <c r="A52" s="21" t="s">
        <v>225</v>
      </c>
      <c r="B52" s="1" t="s">
        <v>226</v>
      </c>
      <c r="C52" s="1">
        <v>1</v>
      </c>
      <c r="D52" s="1" t="s">
        <v>43</v>
      </c>
      <c r="E52" s="1" t="s">
        <v>159</v>
      </c>
      <c r="F52" s="1" t="s">
        <v>120</v>
      </c>
      <c r="G52" s="1" t="s">
        <v>110</v>
      </c>
      <c r="H52" s="1" t="s">
        <v>93</v>
      </c>
      <c r="I52" s="1" t="s">
        <v>36</v>
      </c>
      <c r="J52" s="2">
        <v>45302</v>
      </c>
      <c r="K52" s="2">
        <v>45454</v>
      </c>
      <c r="L52" s="1">
        <v>5</v>
      </c>
      <c r="M52" s="1" t="s">
        <v>56</v>
      </c>
      <c r="N52" s="1" t="s">
        <v>90</v>
      </c>
      <c r="O52" s="4">
        <v>77519.12</v>
      </c>
      <c r="P52" s="1">
        <v>4</v>
      </c>
      <c r="Q52" s="10" t="s">
        <v>58</v>
      </c>
      <c r="R52" s="14" t="str" cm="1">
        <f t="array" ref="R52">_xlfn.IFS(C52&lt;18,"Under 18",C52&lt;36,"18-35",C52&lt;51,"36-50",C52&lt;66,"51-65",C52&gt;=66,"66+")</f>
        <v>Under 18</v>
      </c>
      <c r="S52" s="18">
        <v>45292</v>
      </c>
    </row>
    <row r="53" spans="1:19">
      <c r="A53" s="21" t="s">
        <v>227</v>
      </c>
      <c r="B53" s="1" t="s">
        <v>169</v>
      </c>
      <c r="C53" s="1">
        <v>30</v>
      </c>
      <c r="D53" s="1" t="s">
        <v>43</v>
      </c>
      <c r="E53" s="1" t="s">
        <v>202</v>
      </c>
      <c r="F53" s="1" t="s">
        <v>21</v>
      </c>
      <c r="G53" s="1" t="s">
        <v>36</v>
      </c>
      <c r="H53" s="1" t="s">
        <v>76</v>
      </c>
      <c r="I53" s="1" t="s">
        <v>24</v>
      </c>
      <c r="J53" s="2">
        <v>45336</v>
      </c>
      <c r="K53" s="2">
        <v>45343</v>
      </c>
      <c r="L53" s="1">
        <v>7</v>
      </c>
      <c r="M53" s="1" t="s">
        <v>27</v>
      </c>
      <c r="N53" s="1" t="s">
        <v>82</v>
      </c>
      <c r="O53" s="4">
        <v>84154.22</v>
      </c>
      <c r="P53" s="1">
        <v>5</v>
      </c>
      <c r="Q53" s="10" t="s">
        <v>72</v>
      </c>
      <c r="R53" s="14" t="str" cm="1">
        <f t="array" ref="R53">_xlfn.IFS(C53&lt;18,"Under 18",C53&lt;36,"18-35",C53&lt;51,"36-50",C53&lt;66,"51-65",C53&gt;=66,"66+")</f>
        <v>18-35</v>
      </c>
      <c r="S53" s="18">
        <v>45323</v>
      </c>
    </row>
    <row r="54" spans="1:19">
      <c r="A54" s="21" t="s">
        <v>228</v>
      </c>
      <c r="B54" s="1" t="s">
        <v>229</v>
      </c>
      <c r="C54" s="1">
        <v>57</v>
      </c>
      <c r="D54" s="1" t="s">
        <v>19</v>
      </c>
      <c r="E54" s="1" t="s">
        <v>32</v>
      </c>
      <c r="F54" s="1" t="s">
        <v>120</v>
      </c>
      <c r="G54" s="1" t="s">
        <v>22</v>
      </c>
      <c r="H54" s="1" t="s">
        <v>93</v>
      </c>
      <c r="I54" s="1" t="s">
        <v>24</v>
      </c>
      <c r="J54" s="2">
        <v>45830</v>
      </c>
      <c r="K54" s="2">
        <v>45754</v>
      </c>
      <c r="L54" s="1">
        <v>12</v>
      </c>
      <c r="M54" s="1" t="s">
        <v>27</v>
      </c>
      <c r="N54" s="1" t="s">
        <v>57</v>
      </c>
      <c r="O54" s="4">
        <v>86314.18</v>
      </c>
      <c r="P54" s="1">
        <v>3</v>
      </c>
      <c r="Q54" s="10" t="s">
        <v>40</v>
      </c>
      <c r="R54" s="14" t="str" cm="1">
        <f t="array" ref="R54">_xlfn.IFS(C54&lt;18,"Under 18",C54&lt;36,"18-35",C54&lt;51,"36-50",C54&lt;66,"51-65",C54&gt;=66,"66+")</f>
        <v>51-65</v>
      </c>
      <c r="S54" s="18">
        <v>45809</v>
      </c>
    </row>
    <row r="55" spans="1:19">
      <c r="A55" s="21" t="s">
        <v>230</v>
      </c>
      <c r="B55" s="1" t="s">
        <v>221</v>
      </c>
      <c r="C55" s="1">
        <v>81</v>
      </c>
      <c r="D55" s="1" t="s">
        <v>27</v>
      </c>
      <c r="E55" s="1" t="s">
        <v>66</v>
      </c>
      <c r="F55" s="1" t="s">
        <v>52</v>
      </c>
      <c r="G55" s="1" t="s">
        <v>132</v>
      </c>
      <c r="H55" s="1" t="s">
        <v>45</v>
      </c>
      <c r="I55" s="1" t="s">
        <v>62</v>
      </c>
      <c r="J55" s="2">
        <v>45791</v>
      </c>
      <c r="K55" s="2">
        <v>45796</v>
      </c>
      <c r="L55" s="1">
        <v>5</v>
      </c>
      <c r="M55" s="1" t="s">
        <v>48</v>
      </c>
      <c r="N55" s="1" t="s">
        <v>28</v>
      </c>
      <c r="O55" s="4">
        <v>43679.92</v>
      </c>
      <c r="P55" s="1">
        <v>2</v>
      </c>
      <c r="Q55" s="10" t="s">
        <v>40</v>
      </c>
      <c r="R55" s="14" t="str" cm="1">
        <f t="array" ref="R55">_xlfn.IFS(C55&lt;18,"Under 18",C55&lt;36,"18-35",C55&lt;51,"36-50",C55&lt;66,"51-65",C55&gt;=66,"66+")</f>
        <v>66+</v>
      </c>
      <c r="S55" s="18">
        <v>45778</v>
      </c>
    </row>
    <row r="56" spans="1:19">
      <c r="A56" s="21" t="s">
        <v>233</v>
      </c>
      <c r="B56" s="1" t="s">
        <v>234</v>
      </c>
      <c r="C56" s="1">
        <v>8</v>
      </c>
      <c r="D56" s="1" t="s">
        <v>43</v>
      </c>
      <c r="E56" s="1" t="s">
        <v>44</v>
      </c>
      <c r="F56" s="1" t="s">
        <v>33</v>
      </c>
      <c r="G56" s="1" t="s">
        <v>36</v>
      </c>
      <c r="H56" s="1" t="s">
        <v>69</v>
      </c>
      <c r="I56" s="1" t="s">
        <v>24</v>
      </c>
      <c r="J56" s="2">
        <v>45689</v>
      </c>
      <c r="K56" s="2">
        <v>45778</v>
      </c>
      <c r="L56" s="1">
        <v>3</v>
      </c>
      <c r="M56" s="1" t="s">
        <v>56</v>
      </c>
      <c r="N56" s="1" t="s">
        <v>57</v>
      </c>
      <c r="O56" s="4">
        <v>61771.43</v>
      </c>
      <c r="P56" s="1">
        <v>3</v>
      </c>
      <c r="Q56" s="10" t="s">
        <v>29</v>
      </c>
      <c r="R56" s="14" t="str" cm="1">
        <f t="array" ref="R56">_xlfn.IFS(C56&lt;18,"Under 18",C56&lt;36,"18-35",C56&lt;51,"36-50",C56&lt;66,"51-65",C56&gt;=66,"66+")</f>
        <v>Under 18</v>
      </c>
      <c r="S56" s="18">
        <v>45689</v>
      </c>
    </row>
    <row r="57" spans="1:19">
      <c r="A57" s="21" t="s">
        <v>235</v>
      </c>
      <c r="B57" s="1" t="s">
        <v>236</v>
      </c>
      <c r="C57" s="1">
        <v>30</v>
      </c>
      <c r="D57" s="1" t="s">
        <v>43</v>
      </c>
      <c r="E57" s="1" t="s">
        <v>44</v>
      </c>
      <c r="F57" s="1" t="s">
        <v>120</v>
      </c>
      <c r="G57" s="1" t="s">
        <v>104</v>
      </c>
      <c r="H57" s="1" t="s">
        <v>105</v>
      </c>
      <c r="I57" s="1" t="s">
        <v>24</v>
      </c>
      <c r="J57" s="2">
        <v>45945</v>
      </c>
      <c r="K57" s="2">
        <v>45949</v>
      </c>
      <c r="L57" s="1">
        <v>4</v>
      </c>
      <c r="M57" s="1" t="s">
        <v>97</v>
      </c>
      <c r="N57" s="1" t="s">
        <v>63</v>
      </c>
      <c r="O57" s="4">
        <v>61465.59</v>
      </c>
      <c r="P57" s="1">
        <v>3</v>
      </c>
      <c r="Q57" s="10" t="s">
        <v>40</v>
      </c>
      <c r="R57" s="14" t="str" cm="1">
        <f t="array" ref="R57">_xlfn.IFS(C57&lt;18,"Under 18",C57&lt;36,"18-35",C57&lt;51,"36-50",C57&lt;66,"51-65",C57&gt;=66,"66+")</f>
        <v>18-35</v>
      </c>
      <c r="S57" s="18">
        <v>45931</v>
      </c>
    </row>
    <row r="58" spans="1:19">
      <c r="A58" s="21" t="s">
        <v>238</v>
      </c>
      <c r="B58" s="1" t="s">
        <v>208</v>
      </c>
      <c r="C58" s="1">
        <v>59</v>
      </c>
      <c r="D58" s="1" t="s">
        <v>43</v>
      </c>
      <c r="E58" s="1" t="s">
        <v>202</v>
      </c>
      <c r="F58" s="1" t="s">
        <v>67</v>
      </c>
      <c r="G58" s="1" t="s">
        <v>68</v>
      </c>
      <c r="H58" s="1" t="s">
        <v>105</v>
      </c>
      <c r="I58" s="1" t="s">
        <v>24</v>
      </c>
      <c r="J58" s="2">
        <v>45495</v>
      </c>
      <c r="K58" s="2">
        <v>45498</v>
      </c>
      <c r="L58" s="1">
        <v>3</v>
      </c>
      <c r="M58" s="1" t="s">
        <v>48</v>
      </c>
      <c r="N58" s="1" t="s">
        <v>90</v>
      </c>
      <c r="O58" s="4">
        <v>13601.59</v>
      </c>
      <c r="P58" s="1">
        <v>5</v>
      </c>
      <c r="Q58" s="10" t="s">
        <v>58</v>
      </c>
      <c r="R58" s="14" t="str" cm="1">
        <f t="array" ref="R58">_xlfn.IFS(C58&lt;18,"Under 18",C58&lt;36,"18-35",C58&lt;51,"36-50",C58&lt;66,"51-65",C58&gt;=66,"66+")</f>
        <v>51-65</v>
      </c>
      <c r="S58" s="18">
        <v>45474</v>
      </c>
    </row>
    <row r="59" spans="1:19">
      <c r="A59" s="21" t="s">
        <v>241</v>
      </c>
      <c r="B59" s="1" t="s">
        <v>242</v>
      </c>
      <c r="C59" s="1">
        <v>37</v>
      </c>
      <c r="D59" s="1" t="s">
        <v>19</v>
      </c>
      <c r="E59" s="1" t="s">
        <v>159</v>
      </c>
      <c r="F59" s="1" t="s">
        <v>75</v>
      </c>
      <c r="G59" s="1" t="s">
        <v>68</v>
      </c>
      <c r="H59" s="1" t="s">
        <v>35</v>
      </c>
      <c r="I59" s="1" t="s">
        <v>24</v>
      </c>
      <c r="J59" s="2">
        <v>45913</v>
      </c>
      <c r="K59" s="2">
        <v>45915</v>
      </c>
      <c r="L59" s="1">
        <v>2</v>
      </c>
      <c r="M59" s="1" t="s">
        <v>38</v>
      </c>
      <c r="N59" s="1" t="s">
        <v>63</v>
      </c>
      <c r="O59" s="4">
        <v>57862.11</v>
      </c>
      <c r="P59" s="1">
        <v>5</v>
      </c>
      <c r="Q59" s="10" t="s">
        <v>29</v>
      </c>
      <c r="R59" s="14" t="str" cm="1">
        <f t="array" ref="R59">_xlfn.IFS(C59&lt;18,"Under 18",C59&lt;36,"18-35",C59&lt;51,"36-50",C59&lt;66,"51-65",C59&gt;=66,"66+")</f>
        <v>36-50</v>
      </c>
      <c r="S59" s="18">
        <v>45901</v>
      </c>
    </row>
    <row r="60" spans="1:19">
      <c r="A60" s="21" t="s">
        <v>245</v>
      </c>
      <c r="B60" s="1" t="s">
        <v>246</v>
      </c>
      <c r="C60" s="1">
        <v>12</v>
      </c>
      <c r="D60" s="1" t="s">
        <v>43</v>
      </c>
      <c r="E60" s="1" t="s">
        <v>247</v>
      </c>
      <c r="F60" s="1" t="s">
        <v>75</v>
      </c>
      <c r="G60" s="1" t="s">
        <v>53</v>
      </c>
      <c r="H60" s="1" t="s">
        <v>23</v>
      </c>
      <c r="I60" s="1" t="s">
        <v>62</v>
      </c>
      <c r="J60" s="2">
        <v>45626</v>
      </c>
      <c r="K60" s="2">
        <v>45363</v>
      </c>
      <c r="L60" s="1">
        <v>3</v>
      </c>
      <c r="M60" s="1" t="s">
        <v>48</v>
      </c>
      <c r="N60" s="1" t="s">
        <v>85</v>
      </c>
      <c r="O60" s="4">
        <v>70285.179999999993</v>
      </c>
      <c r="P60" s="1">
        <v>3</v>
      </c>
      <c r="Q60" s="10" t="s">
        <v>29</v>
      </c>
      <c r="R60" s="14" t="str" cm="1">
        <f t="array" ref="R60">_xlfn.IFS(C60&lt;18,"Under 18",C60&lt;36,"18-35",C60&lt;51,"36-50",C60&lt;66,"51-65",C60&gt;=66,"66+")</f>
        <v>Under 18</v>
      </c>
      <c r="S60" s="18">
        <v>45597</v>
      </c>
    </row>
    <row r="61" spans="1:19">
      <c r="A61" s="21" t="s">
        <v>249</v>
      </c>
      <c r="B61" s="1" t="s">
        <v>114</v>
      </c>
      <c r="C61" s="1">
        <v>87</v>
      </c>
      <c r="D61" s="1" t="s">
        <v>27</v>
      </c>
      <c r="E61" s="1" t="s">
        <v>247</v>
      </c>
      <c r="F61" s="1" t="s">
        <v>75</v>
      </c>
      <c r="G61" s="1" t="s">
        <v>34</v>
      </c>
      <c r="H61" s="1" t="s">
        <v>105</v>
      </c>
      <c r="I61" s="1" t="s">
        <v>24</v>
      </c>
      <c r="J61" s="2">
        <v>45982</v>
      </c>
      <c r="K61" s="2">
        <v>45985</v>
      </c>
      <c r="L61" s="1">
        <v>3</v>
      </c>
      <c r="M61" s="1" t="s">
        <v>56</v>
      </c>
      <c r="N61" s="1" t="s">
        <v>57</v>
      </c>
      <c r="O61" s="4">
        <v>82347.899999999994</v>
      </c>
      <c r="P61" s="1">
        <v>4</v>
      </c>
      <c r="Q61" s="10" t="s">
        <v>72</v>
      </c>
      <c r="R61" s="14" t="str" cm="1">
        <f t="array" ref="R61">_xlfn.IFS(C61&lt;18,"Under 18",C61&lt;36,"18-35",C61&lt;51,"36-50",C61&lt;66,"51-65",C61&gt;=66,"66+")</f>
        <v>66+</v>
      </c>
      <c r="S61" s="18">
        <v>45962</v>
      </c>
    </row>
    <row r="62" spans="1:19">
      <c r="A62" s="21" t="s">
        <v>252</v>
      </c>
      <c r="B62" s="1" t="s">
        <v>253</v>
      </c>
      <c r="C62" s="1">
        <v>80</v>
      </c>
      <c r="D62" s="1" t="s">
        <v>27</v>
      </c>
      <c r="E62" s="1" t="s">
        <v>117</v>
      </c>
      <c r="F62" s="1" t="s">
        <v>33</v>
      </c>
      <c r="G62" s="1" t="s">
        <v>104</v>
      </c>
      <c r="H62" s="1" t="s">
        <v>105</v>
      </c>
      <c r="I62" s="1" t="s">
        <v>36</v>
      </c>
      <c r="J62" s="2">
        <v>45303</v>
      </c>
      <c r="K62" s="2">
        <v>45363</v>
      </c>
      <c r="L62" s="1">
        <v>2</v>
      </c>
      <c r="M62" s="1" t="s">
        <v>48</v>
      </c>
      <c r="N62" s="1" t="s">
        <v>85</v>
      </c>
      <c r="O62" s="4">
        <v>59394.48</v>
      </c>
      <c r="P62" s="1">
        <v>2</v>
      </c>
      <c r="Q62" s="10" t="s">
        <v>29</v>
      </c>
      <c r="R62" s="14" t="str" cm="1">
        <f t="array" ref="R62">_xlfn.IFS(C62&lt;18,"Under 18",C62&lt;36,"18-35",C62&lt;51,"36-50",C62&lt;66,"51-65",C62&gt;=66,"66+")</f>
        <v>66+</v>
      </c>
      <c r="S62" s="18">
        <v>45292</v>
      </c>
    </row>
    <row r="63" spans="1:19">
      <c r="A63" s="21" t="s">
        <v>254</v>
      </c>
      <c r="B63" s="1" t="s">
        <v>255</v>
      </c>
      <c r="C63" s="1">
        <v>50</v>
      </c>
      <c r="D63" s="1" t="s">
        <v>43</v>
      </c>
      <c r="E63" s="1" t="s">
        <v>247</v>
      </c>
      <c r="F63" s="1" t="s">
        <v>21</v>
      </c>
      <c r="G63" s="1" t="s">
        <v>110</v>
      </c>
      <c r="H63" s="1" t="s">
        <v>76</v>
      </c>
      <c r="I63" s="1" t="s">
        <v>62</v>
      </c>
      <c r="J63" s="2">
        <v>45671</v>
      </c>
      <c r="K63" s="2">
        <v>45675</v>
      </c>
      <c r="L63" s="1">
        <v>4</v>
      </c>
      <c r="M63" s="1" t="s">
        <v>97</v>
      </c>
      <c r="N63" s="1" t="s">
        <v>85</v>
      </c>
      <c r="O63" s="4">
        <v>116647.5</v>
      </c>
      <c r="P63" s="1">
        <v>4</v>
      </c>
      <c r="Q63" s="10" t="s">
        <v>40</v>
      </c>
      <c r="R63" s="14" t="str" cm="1">
        <f t="array" ref="R63">_xlfn.IFS(C63&lt;18,"Under 18",C63&lt;36,"18-35",C63&lt;51,"36-50",C63&lt;66,"51-65",C63&gt;=66,"66+")</f>
        <v>36-50</v>
      </c>
      <c r="S63" s="18">
        <v>45658</v>
      </c>
    </row>
    <row r="64" spans="1:19">
      <c r="A64" s="21" t="s">
        <v>258</v>
      </c>
      <c r="B64" s="1" t="s">
        <v>259</v>
      </c>
      <c r="C64" s="1">
        <v>13</v>
      </c>
      <c r="D64" s="1" t="s">
        <v>27</v>
      </c>
      <c r="E64" s="1" t="s">
        <v>202</v>
      </c>
      <c r="F64" s="1" t="s">
        <v>120</v>
      </c>
      <c r="G64" s="1" t="s">
        <v>22</v>
      </c>
      <c r="H64" s="1" t="s">
        <v>93</v>
      </c>
      <c r="I64" s="1" t="s">
        <v>36</v>
      </c>
      <c r="J64" s="2">
        <v>45962</v>
      </c>
      <c r="K64" s="2">
        <v>45992</v>
      </c>
      <c r="L64" s="1">
        <v>1</v>
      </c>
      <c r="M64" s="1" t="s">
        <v>56</v>
      </c>
      <c r="N64" s="1" t="s">
        <v>39</v>
      </c>
      <c r="O64" s="4">
        <v>18692.16</v>
      </c>
      <c r="P64" s="1">
        <v>3</v>
      </c>
      <c r="Q64" s="10" t="s">
        <v>29</v>
      </c>
      <c r="R64" s="14" t="str" cm="1">
        <f t="array" ref="R64">_xlfn.IFS(C64&lt;18,"Under 18",C64&lt;36,"18-35",C64&lt;51,"36-50",C64&lt;66,"51-65",C64&gt;=66,"66+")</f>
        <v>Under 18</v>
      </c>
      <c r="S64" s="18">
        <v>45962</v>
      </c>
    </row>
    <row r="65" spans="1:19">
      <c r="A65" s="21" t="s">
        <v>260</v>
      </c>
      <c r="B65" s="1" t="s">
        <v>261</v>
      </c>
      <c r="C65" s="1">
        <v>9</v>
      </c>
      <c r="D65" s="1" t="s">
        <v>27</v>
      </c>
      <c r="E65" s="1" t="s">
        <v>51</v>
      </c>
      <c r="F65" s="1" t="s">
        <v>120</v>
      </c>
      <c r="G65" s="1" t="s">
        <v>53</v>
      </c>
      <c r="H65" s="1" t="s">
        <v>35</v>
      </c>
      <c r="I65" s="1" t="s">
        <v>36</v>
      </c>
      <c r="J65" s="2">
        <v>45504</v>
      </c>
      <c r="K65" s="2">
        <v>45330</v>
      </c>
      <c r="L65" s="1">
        <v>2</v>
      </c>
      <c r="M65" s="1" t="s">
        <v>48</v>
      </c>
      <c r="N65" s="1" t="s">
        <v>63</v>
      </c>
      <c r="O65" s="4">
        <v>120801.92</v>
      </c>
      <c r="P65" s="1">
        <v>3</v>
      </c>
      <c r="Q65" s="10" t="s">
        <v>72</v>
      </c>
      <c r="R65" s="14" t="str" cm="1">
        <f t="array" ref="R65">_xlfn.IFS(C65&lt;18,"Under 18",C65&lt;36,"18-35",C65&lt;51,"36-50",C65&lt;66,"51-65",C65&gt;=66,"66+")</f>
        <v>Under 18</v>
      </c>
      <c r="S65" s="18">
        <v>45474</v>
      </c>
    </row>
    <row r="66" spans="1:19">
      <c r="A66" s="21" t="s">
        <v>263</v>
      </c>
      <c r="B66" s="1" t="s">
        <v>264</v>
      </c>
      <c r="C66" s="1">
        <v>17</v>
      </c>
      <c r="D66" s="1" t="s">
        <v>19</v>
      </c>
      <c r="E66" s="1" t="s">
        <v>159</v>
      </c>
      <c r="F66" s="1" t="s">
        <v>33</v>
      </c>
      <c r="G66" s="1" t="s">
        <v>68</v>
      </c>
      <c r="H66" s="1" t="s">
        <v>99</v>
      </c>
      <c r="I66" s="1" t="s">
        <v>62</v>
      </c>
      <c r="J66" s="2">
        <v>45658</v>
      </c>
      <c r="K66" s="2">
        <v>45809</v>
      </c>
      <c r="L66" s="1">
        <v>5</v>
      </c>
      <c r="M66" s="1" t="s">
        <v>27</v>
      </c>
      <c r="N66" s="1" t="s">
        <v>90</v>
      </c>
      <c r="O66" s="4">
        <v>21253.37</v>
      </c>
      <c r="P66" s="1">
        <v>4</v>
      </c>
      <c r="Q66" s="10" t="s">
        <v>72</v>
      </c>
      <c r="R66" s="14" t="str" cm="1">
        <f t="array" ref="R66">_xlfn.IFS(C66&lt;18,"Under 18",C66&lt;36,"18-35",C66&lt;51,"36-50",C66&lt;66,"51-65",C66&gt;=66,"66+")</f>
        <v>Under 18</v>
      </c>
      <c r="S66" s="18">
        <v>45658</v>
      </c>
    </row>
    <row r="67" spans="1:19">
      <c r="A67" s="21" t="s">
        <v>265</v>
      </c>
      <c r="B67" s="1" t="s">
        <v>266</v>
      </c>
      <c r="C67" s="1">
        <v>58</v>
      </c>
      <c r="D67" s="1" t="s">
        <v>27</v>
      </c>
      <c r="E67" s="1" t="s">
        <v>137</v>
      </c>
      <c r="F67" s="1" t="s">
        <v>52</v>
      </c>
      <c r="G67" s="1" t="s">
        <v>68</v>
      </c>
      <c r="H67" s="1" t="s">
        <v>93</v>
      </c>
      <c r="I67" s="1" t="s">
        <v>36</v>
      </c>
      <c r="J67" s="2">
        <v>45518</v>
      </c>
      <c r="K67" s="2">
        <v>45519</v>
      </c>
      <c r="L67" s="1">
        <v>1</v>
      </c>
      <c r="M67" s="1" t="s">
        <v>97</v>
      </c>
      <c r="N67" s="1" t="s">
        <v>63</v>
      </c>
      <c r="O67" s="4">
        <v>58963.87</v>
      </c>
      <c r="P67" s="1">
        <v>1</v>
      </c>
      <c r="Q67" s="10" t="s">
        <v>58</v>
      </c>
      <c r="R67" s="14" t="str" cm="1">
        <f t="array" ref="R67">_xlfn.IFS(C67&lt;18,"Under 18",C67&lt;36,"18-35",C67&lt;51,"36-50",C67&lt;66,"51-65",C67&gt;=66,"66+")</f>
        <v>51-65</v>
      </c>
      <c r="S67" s="18">
        <v>45505</v>
      </c>
    </row>
    <row r="68" spans="1:19">
      <c r="A68" s="21" t="s">
        <v>269</v>
      </c>
      <c r="B68" s="1" t="s">
        <v>229</v>
      </c>
      <c r="C68" s="1">
        <v>10</v>
      </c>
      <c r="D68" s="1" t="s">
        <v>19</v>
      </c>
      <c r="E68" s="1" t="s">
        <v>32</v>
      </c>
      <c r="F68" s="1" t="s">
        <v>52</v>
      </c>
      <c r="G68" s="1" t="s">
        <v>53</v>
      </c>
      <c r="H68" s="1" t="s">
        <v>76</v>
      </c>
      <c r="I68" s="1" t="s">
        <v>36</v>
      </c>
      <c r="J68" s="2">
        <v>45621</v>
      </c>
      <c r="K68" s="2">
        <v>45622</v>
      </c>
      <c r="L68" s="1">
        <v>1</v>
      </c>
      <c r="M68" s="1" t="s">
        <v>27</v>
      </c>
      <c r="N68" s="1" t="s">
        <v>63</v>
      </c>
      <c r="O68" s="4">
        <v>141929.73000000001</v>
      </c>
      <c r="P68" s="1">
        <v>4</v>
      </c>
      <c r="Q68" s="10" t="s">
        <v>29</v>
      </c>
      <c r="R68" s="14" t="str" cm="1">
        <f t="array" ref="R68">_xlfn.IFS(C68&lt;18,"Under 18",C68&lt;36,"18-35",C68&lt;51,"36-50",C68&lt;66,"51-65",C68&gt;=66,"66+")</f>
        <v>Under 18</v>
      </c>
      <c r="S68" s="18">
        <v>45597</v>
      </c>
    </row>
    <row r="69" spans="1:19">
      <c r="A69" s="21" t="s">
        <v>271</v>
      </c>
      <c r="B69" s="1" t="s">
        <v>176</v>
      </c>
      <c r="C69" s="1">
        <v>56</v>
      </c>
      <c r="D69" s="1" t="s">
        <v>43</v>
      </c>
      <c r="E69" s="1" t="s">
        <v>66</v>
      </c>
      <c r="F69" s="1" t="s">
        <v>52</v>
      </c>
      <c r="G69" s="1" t="s">
        <v>36</v>
      </c>
      <c r="H69" s="1" t="s">
        <v>45</v>
      </c>
      <c r="I69" s="1" t="s">
        <v>62</v>
      </c>
      <c r="J69" s="2">
        <v>45525</v>
      </c>
      <c r="K69" s="2">
        <v>45528</v>
      </c>
      <c r="L69" s="1">
        <v>3</v>
      </c>
      <c r="M69" s="1" t="s">
        <v>48</v>
      </c>
      <c r="N69" s="1" t="s">
        <v>28</v>
      </c>
      <c r="O69" s="4">
        <v>34816.03</v>
      </c>
      <c r="P69" s="1">
        <v>3</v>
      </c>
      <c r="Q69" s="10" t="s">
        <v>72</v>
      </c>
      <c r="R69" s="14" t="str" cm="1">
        <f t="array" ref="R69">_xlfn.IFS(C69&lt;18,"Under 18",C69&lt;36,"18-35",C69&lt;51,"36-50",C69&lt;66,"51-65",C69&gt;=66,"66+")</f>
        <v>51-65</v>
      </c>
      <c r="S69" s="18">
        <v>45505</v>
      </c>
    </row>
    <row r="70" spans="1:19">
      <c r="A70" s="21" t="s">
        <v>274</v>
      </c>
      <c r="B70" s="1" t="s">
        <v>275</v>
      </c>
      <c r="C70" s="1">
        <v>12</v>
      </c>
      <c r="D70" s="1" t="s">
        <v>43</v>
      </c>
      <c r="E70" s="1" t="s">
        <v>137</v>
      </c>
      <c r="F70" s="1" t="s">
        <v>52</v>
      </c>
      <c r="G70" s="1" t="s">
        <v>34</v>
      </c>
      <c r="H70" s="1" t="s">
        <v>69</v>
      </c>
      <c r="I70" s="1" t="s">
        <v>36</v>
      </c>
      <c r="J70" s="2">
        <v>45508</v>
      </c>
      <c r="K70" s="2">
        <v>45397</v>
      </c>
      <c r="L70" s="1">
        <v>7</v>
      </c>
      <c r="M70" s="1" t="s">
        <v>38</v>
      </c>
      <c r="N70" s="1" t="s">
        <v>90</v>
      </c>
      <c r="O70" s="4">
        <v>139568.43</v>
      </c>
      <c r="P70" s="1">
        <v>4</v>
      </c>
      <c r="Q70" s="10" t="s">
        <v>40</v>
      </c>
      <c r="R70" s="14" t="str" cm="1">
        <f t="array" ref="R70">_xlfn.IFS(C70&lt;18,"Under 18",C70&lt;36,"18-35",C70&lt;51,"36-50",C70&lt;66,"51-65",C70&gt;=66,"66+")</f>
        <v>Under 18</v>
      </c>
      <c r="S70" s="18">
        <v>45505</v>
      </c>
    </row>
    <row r="71" spans="1:19">
      <c r="A71" s="21" t="s">
        <v>276</v>
      </c>
      <c r="B71" s="1" t="s">
        <v>79</v>
      </c>
      <c r="C71" s="1">
        <v>46</v>
      </c>
      <c r="D71" s="1" t="s">
        <v>19</v>
      </c>
      <c r="E71" s="1" t="s">
        <v>44</v>
      </c>
      <c r="F71" s="1" t="s">
        <v>21</v>
      </c>
      <c r="G71" s="1" t="s">
        <v>132</v>
      </c>
      <c r="H71" s="1" t="s">
        <v>45</v>
      </c>
      <c r="I71" s="1" t="s">
        <v>62</v>
      </c>
      <c r="J71" s="2">
        <v>45883</v>
      </c>
      <c r="K71" s="2">
        <v>45885</v>
      </c>
      <c r="L71" s="1">
        <v>2</v>
      </c>
      <c r="M71" s="1" t="s">
        <v>27</v>
      </c>
      <c r="N71" s="1" t="s">
        <v>39</v>
      </c>
      <c r="O71" s="4">
        <v>37558.32</v>
      </c>
      <c r="P71" s="1">
        <v>4</v>
      </c>
      <c r="Q71" s="10" t="s">
        <v>72</v>
      </c>
      <c r="R71" s="14" t="str" cm="1">
        <f t="array" ref="R71">_xlfn.IFS(C71&lt;18,"Under 18",C71&lt;36,"18-35",C71&lt;51,"36-50",C71&lt;66,"51-65",C71&gt;=66,"66+")</f>
        <v>36-50</v>
      </c>
      <c r="S71" s="18">
        <v>45870</v>
      </c>
    </row>
    <row r="72" spans="1:19">
      <c r="A72" s="21" t="s">
        <v>279</v>
      </c>
      <c r="B72" s="1" t="s">
        <v>280</v>
      </c>
      <c r="C72" s="1">
        <v>78</v>
      </c>
      <c r="D72" s="1" t="s">
        <v>27</v>
      </c>
      <c r="E72" s="1" t="s">
        <v>32</v>
      </c>
      <c r="F72" s="1" t="s">
        <v>21</v>
      </c>
      <c r="G72" s="1" t="s">
        <v>68</v>
      </c>
      <c r="H72" s="1" t="s">
        <v>88</v>
      </c>
      <c r="I72" s="1" t="s">
        <v>24</v>
      </c>
      <c r="J72" s="2">
        <v>45973</v>
      </c>
      <c r="K72" s="2">
        <v>46003</v>
      </c>
      <c r="L72" s="1">
        <v>1</v>
      </c>
      <c r="M72" s="1" t="s">
        <v>48</v>
      </c>
      <c r="N72" s="1" t="s">
        <v>28</v>
      </c>
      <c r="O72" s="4">
        <v>37624.71</v>
      </c>
      <c r="P72" s="1">
        <v>3</v>
      </c>
      <c r="Q72" s="10" t="s">
        <v>29</v>
      </c>
      <c r="R72" s="14" t="str" cm="1">
        <f t="array" ref="R72">_xlfn.IFS(C72&lt;18,"Under 18",C72&lt;36,"18-35",C72&lt;51,"36-50",C72&lt;66,"51-65",C72&gt;=66,"66+")</f>
        <v>66+</v>
      </c>
      <c r="S72" s="18">
        <v>45962</v>
      </c>
    </row>
    <row r="73" spans="1:19">
      <c r="A73" s="21" t="s">
        <v>281</v>
      </c>
      <c r="B73" s="1" t="s">
        <v>259</v>
      </c>
      <c r="C73" s="1">
        <v>49</v>
      </c>
      <c r="D73" s="1" t="s">
        <v>43</v>
      </c>
      <c r="E73" s="1" t="s">
        <v>32</v>
      </c>
      <c r="F73" s="1" t="s">
        <v>120</v>
      </c>
      <c r="G73" s="1" t="s">
        <v>53</v>
      </c>
      <c r="H73" s="1" t="s">
        <v>69</v>
      </c>
      <c r="I73" s="1" t="s">
        <v>62</v>
      </c>
      <c r="J73" s="2">
        <v>45904</v>
      </c>
      <c r="K73" s="2">
        <v>45934</v>
      </c>
      <c r="L73" s="1">
        <v>1</v>
      </c>
      <c r="M73" s="1" t="s">
        <v>97</v>
      </c>
      <c r="N73" s="1" t="s">
        <v>57</v>
      </c>
      <c r="O73" s="4">
        <v>110771.49</v>
      </c>
      <c r="P73" s="1">
        <v>3</v>
      </c>
      <c r="Q73" s="10" t="s">
        <v>58</v>
      </c>
      <c r="R73" s="14" t="str" cm="1">
        <f t="array" ref="R73">_xlfn.IFS(C73&lt;18,"Under 18",C73&lt;36,"18-35",C73&lt;51,"36-50",C73&lt;66,"51-65",C73&gt;=66,"66+")</f>
        <v>36-50</v>
      </c>
      <c r="S73" s="18">
        <v>45901</v>
      </c>
    </row>
    <row r="74" spans="1:19">
      <c r="A74" s="21" t="s">
        <v>282</v>
      </c>
      <c r="B74" s="1" t="s">
        <v>283</v>
      </c>
      <c r="C74" s="1">
        <v>54</v>
      </c>
      <c r="D74" s="1" t="s">
        <v>43</v>
      </c>
      <c r="E74" s="1" t="s">
        <v>137</v>
      </c>
      <c r="F74" s="1" t="s">
        <v>67</v>
      </c>
      <c r="G74" s="1" t="s">
        <v>68</v>
      </c>
      <c r="H74" s="1" t="s">
        <v>69</v>
      </c>
      <c r="I74" s="1" t="s">
        <v>36</v>
      </c>
      <c r="J74" s="2">
        <v>45512</v>
      </c>
      <c r="K74" s="2">
        <v>45543</v>
      </c>
      <c r="L74" s="1">
        <v>1</v>
      </c>
      <c r="M74" s="1" t="s">
        <v>48</v>
      </c>
      <c r="N74" s="1" t="s">
        <v>85</v>
      </c>
      <c r="O74" s="4">
        <v>47524.19</v>
      </c>
      <c r="P74" s="1">
        <v>4</v>
      </c>
      <c r="Q74" s="10" t="s">
        <v>40</v>
      </c>
      <c r="R74" s="14" t="str" cm="1">
        <f t="array" ref="R74">_xlfn.IFS(C74&lt;18,"Under 18",C74&lt;36,"18-35",C74&lt;51,"36-50",C74&lt;66,"51-65",C74&gt;=66,"66+")</f>
        <v>51-65</v>
      </c>
      <c r="S74" s="18">
        <v>45505</v>
      </c>
    </row>
    <row r="75" spans="1:19">
      <c r="A75" s="21" t="s">
        <v>284</v>
      </c>
      <c r="B75" s="1" t="s">
        <v>285</v>
      </c>
      <c r="C75" s="1">
        <v>28</v>
      </c>
      <c r="D75" s="1" t="s">
        <v>19</v>
      </c>
      <c r="E75" s="1" t="s">
        <v>137</v>
      </c>
      <c r="F75" s="1" t="s">
        <v>52</v>
      </c>
      <c r="G75" s="1" t="s">
        <v>36</v>
      </c>
      <c r="H75" s="1" t="s">
        <v>23</v>
      </c>
      <c r="I75" s="1" t="s">
        <v>36</v>
      </c>
      <c r="J75" s="2">
        <v>45553</v>
      </c>
      <c r="K75" s="2">
        <v>45560</v>
      </c>
      <c r="L75" s="1">
        <v>7</v>
      </c>
      <c r="M75" s="1" t="s">
        <v>97</v>
      </c>
      <c r="N75" s="1" t="s">
        <v>28</v>
      </c>
      <c r="O75" s="4">
        <v>63368</v>
      </c>
      <c r="P75" s="1">
        <v>4</v>
      </c>
      <c r="Q75" s="10" t="s">
        <v>58</v>
      </c>
      <c r="R75" s="14" t="str" cm="1">
        <f t="array" ref="R75">_xlfn.IFS(C75&lt;18,"Under 18",C75&lt;36,"18-35",C75&lt;51,"36-50",C75&lt;66,"51-65",C75&gt;=66,"66+")</f>
        <v>18-35</v>
      </c>
      <c r="S75" s="18">
        <v>45536</v>
      </c>
    </row>
    <row r="76" spans="1:19">
      <c r="A76" s="21" t="s">
        <v>288</v>
      </c>
      <c r="B76" s="1" t="s">
        <v>123</v>
      </c>
      <c r="C76" s="1">
        <v>10</v>
      </c>
      <c r="D76" s="1" t="s">
        <v>43</v>
      </c>
      <c r="E76" s="1" t="s">
        <v>44</v>
      </c>
      <c r="F76" s="1" t="s">
        <v>33</v>
      </c>
      <c r="G76" s="1" t="s">
        <v>36</v>
      </c>
      <c r="H76" s="1" t="s">
        <v>105</v>
      </c>
      <c r="I76" s="1" t="s">
        <v>24</v>
      </c>
      <c r="J76" s="2">
        <v>45999</v>
      </c>
      <c r="K76" s="2">
        <v>45886</v>
      </c>
      <c r="L76" s="1">
        <v>5</v>
      </c>
      <c r="M76" s="1" t="s">
        <v>38</v>
      </c>
      <c r="N76" s="1" t="s">
        <v>28</v>
      </c>
      <c r="O76" s="4">
        <v>20407.66</v>
      </c>
      <c r="P76" s="1">
        <v>1</v>
      </c>
      <c r="Q76" s="10" t="s">
        <v>58</v>
      </c>
      <c r="R76" s="14" t="str" cm="1">
        <f t="array" ref="R76">_xlfn.IFS(C76&lt;18,"Under 18",C76&lt;36,"18-35",C76&lt;51,"36-50",C76&lt;66,"51-65",C76&gt;=66,"66+")</f>
        <v>Under 18</v>
      </c>
      <c r="S76" s="18">
        <v>45992</v>
      </c>
    </row>
    <row r="77" spans="1:19">
      <c r="A77" s="21" t="s">
        <v>290</v>
      </c>
      <c r="B77" s="1" t="s">
        <v>291</v>
      </c>
      <c r="C77" s="1">
        <v>14</v>
      </c>
      <c r="D77" s="1" t="s">
        <v>19</v>
      </c>
      <c r="E77" s="1" t="s">
        <v>51</v>
      </c>
      <c r="F77" s="1" t="s">
        <v>67</v>
      </c>
      <c r="G77" s="1" t="s">
        <v>68</v>
      </c>
      <c r="H77" s="1" t="s">
        <v>88</v>
      </c>
      <c r="I77" s="1" t="s">
        <v>36</v>
      </c>
      <c r="J77" s="2">
        <v>45738</v>
      </c>
      <c r="K77" s="2">
        <v>45741</v>
      </c>
      <c r="L77" s="1">
        <v>3</v>
      </c>
      <c r="M77" s="1" t="s">
        <v>38</v>
      </c>
      <c r="N77" s="1" t="s">
        <v>82</v>
      </c>
      <c r="O77" s="4">
        <v>28174.76</v>
      </c>
      <c r="P77" s="1">
        <v>5</v>
      </c>
      <c r="Q77" s="10" t="s">
        <v>29</v>
      </c>
      <c r="R77" s="14" t="str" cm="1">
        <f t="array" ref="R77">_xlfn.IFS(C77&lt;18,"Under 18",C77&lt;36,"18-35",C77&lt;51,"36-50",C77&lt;66,"51-65",C77&gt;=66,"66+")</f>
        <v>Under 18</v>
      </c>
      <c r="S77" s="18">
        <v>45717</v>
      </c>
    </row>
    <row r="78" spans="1:19">
      <c r="A78" s="21" t="s">
        <v>294</v>
      </c>
      <c r="B78" s="1" t="s">
        <v>295</v>
      </c>
      <c r="C78" s="1">
        <v>31</v>
      </c>
      <c r="D78" s="1" t="s">
        <v>19</v>
      </c>
      <c r="E78" s="1" t="s">
        <v>44</v>
      </c>
      <c r="F78" s="1" t="s">
        <v>52</v>
      </c>
      <c r="G78" s="1" t="s">
        <v>22</v>
      </c>
      <c r="H78" s="1" t="s">
        <v>35</v>
      </c>
      <c r="I78" s="1" t="s">
        <v>24</v>
      </c>
      <c r="J78" s="2">
        <v>45441</v>
      </c>
      <c r="K78" s="2">
        <v>45443</v>
      </c>
      <c r="L78" s="1">
        <v>2</v>
      </c>
      <c r="M78" s="1" t="s">
        <v>27</v>
      </c>
      <c r="N78" s="1" t="s">
        <v>82</v>
      </c>
      <c r="O78" s="4">
        <v>81444.33</v>
      </c>
      <c r="P78" s="1">
        <v>4</v>
      </c>
      <c r="Q78" s="10" t="s">
        <v>40</v>
      </c>
      <c r="R78" s="14" t="str" cm="1">
        <f t="array" ref="R78">_xlfn.IFS(C78&lt;18,"Under 18",C78&lt;36,"18-35",C78&lt;51,"36-50",C78&lt;66,"51-65",C78&gt;=66,"66+")</f>
        <v>18-35</v>
      </c>
      <c r="S78" s="18">
        <v>45413</v>
      </c>
    </row>
    <row r="79" spans="1:19">
      <c r="A79" s="21" t="s">
        <v>298</v>
      </c>
      <c r="B79" s="1" t="s">
        <v>299</v>
      </c>
      <c r="C79" s="1">
        <v>20</v>
      </c>
      <c r="D79" s="1" t="s">
        <v>43</v>
      </c>
      <c r="E79" s="1" t="s">
        <v>159</v>
      </c>
      <c r="F79" s="1" t="s">
        <v>75</v>
      </c>
      <c r="G79" s="1" t="s">
        <v>68</v>
      </c>
      <c r="H79" s="1" t="s">
        <v>69</v>
      </c>
      <c r="I79" s="1" t="s">
        <v>36</v>
      </c>
      <c r="J79" s="2">
        <v>45568</v>
      </c>
      <c r="K79" s="2">
        <v>45364</v>
      </c>
      <c r="L79" s="1">
        <v>3</v>
      </c>
      <c r="M79" s="1" t="s">
        <v>38</v>
      </c>
      <c r="N79" s="1" t="s">
        <v>39</v>
      </c>
      <c r="O79" s="4">
        <v>16100.56</v>
      </c>
      <c r="P79" s="1">
        <v>4</v>
      </c>
      <c r="Q79" s="10" t="s">
        <v>40</v>
      </c>
      <c r="R79" s="14" t="str" cm="1">
        <f t="array" ref="R79">_xlfn.IFS(C79&lt;18,"Under 18",C79&lt;36,"18-35",C79&lt;51,"36-50",C79&lt;66,"51-65",C79&gt;=66,"66+")</f>
        <v>18-35</v>
      </c>
      <c r="S79" s="18">
        <v>45566</v>
      </c>
    </row>
    <row r="80" spans="1:19">
      <c r="A80" s="21" t="s">
        <v>301</v>
      </c>
      <c r="B80" s="1" t="s">
        <v>302</v>
      </c>
      <c r="C80" s="1">
        <v>10</v>
      </c>
      <c r="D80" s="1" t="s">
        <v>27</v>
      </c>
      <c r="E80" s="1" t="s">
        <v>51</v>
      </c>
      <c r="F80" s="1" t="s">
        <v>21</v>
      </c>
      <c r="G80" s="1" t="s">
        <v>34</v>
      </c>
      <c r="H80" s="1" t="s">
        <v>93</v>
      </c>
      <c r="I80" s="1" t="s">
        <v>36</v>
      </c>
      <c r="J80" s="2">
        <v>45326</v>
      </c>
      <c r="K80" s="2">
        <v>45477</v>
      </c>
      <c r="L80" s="1">
        <v>5</v>
      </c>
      <c r="M80" s="1" t="s">
        <v>97</v>
      </c>
      <c r="N80" s="1" t="s">
        <v>28</v>
      </c>
      <c r="O80" s="4">
        <v>134348.63</v>
      </c>
      <c r="P80" s="1">
        <v>3</v>
      </c>
      <c r="Q80" s="10" t="s">
        <v>40</v>
      </c>
      <c r="R80" s="14" t="str" cm="1">
        <f t="array" ref="R80">_xlfn.IFS(C80&lt;18,"Under 18",C80&lt;36,"18-35",C80&lt;51,"36-50",C80&lt;66,"51-65",C80&gt;=66,"66+")</f>
        <v>Under 18</v>
      </c>
      <c r="S80" s="18">
        <v>45323</v>
      </c>
    </row>
    <row r="81" spans="1:19">
      <c r="A81" s="21" t="s">
        <v>303</v>
      </c>
      <c r="B81" s="1" t="s">
        <v>304</v>
      </c>
      <c r="C81" s="1">
        <v>11</v>
      </c>
      <c r="D81" s="1" t="s">
        <v>27</v>
      </c>
      <c r="E81" s="1" t="s">
        <v>137</v>
      </c>
      <c r="F81" s="1" t="s">
        <v>33</v>
      </c>
      <c r="G81" s="1" t="s">
        <v>104</v>
      </c>
      <c r="H81" s="1" t="s">
        <v>23</v>
      </c>
      <c r="I81" s="1" t="s">
        <v>62</v>
      </c>
      <c r="J81" s="2">
        <v>45953</v>
      </c>
      <c r="K81" s="2">
        <v>45954</v>
      </c>
      <c r="L81" s="1">
        <v>1</v>
      </c>
      <c r="M81" s="1" t="s">
        <v>27</v>
      </c>
      <c r="N81" s="1" t="s">
        <v>28</v>
      </c>
      <c r="O81" s="4">
        <v>50160.61</v>
      </c>
      <c r="P81" s="1">
        <v>3</v>
      </c>
      <c r="Q81" s="10" t="s">
        <v>40</v>
      </c>
      <c r="R81" s="14" t="str" cm="1">
        <f t="array" ref="R81">_xlfn.IFS(C81&lt;18,"Under 18",C81&lt;36,"18-35",C81&lt;51,"36-50",C81&lt;66,"51-65",C81&gt;=66,"66+")</f>
        <v>Under 18</v>
      </c>
      <c r="S81" s="18">
        <v>45931</v>
      </c>
    </row>
    <row r="82" spans="1:19">
      <c r="A82" s="21" t="s">
        <v>307</v>
      </c>
      <c r="B82" s="1" t="s">
        <v>308</v>
      </c>
      <c r="C82" s="1">
        <v>9</v>
      </c>
      <c r="D82" s="1" t="s">
        <v>43</v>
      </c>
      <c r="E82" s="1" t="s">
        <v>66</v>
      </c>
      <c r="F82" s="1" t="s">
        <v>67</v>
      </c>
      <c r="G82" s="1" t="s">
        <v>110</v>
      </c>
      <c r="H82" s="1" t="s">
        <v>88</v>
      </c>
      <c r="I82" s="1" t="s">
        <v>24</v>
      </c>
      <c r="J82" s="2">
        <v>45447</v>
      </c>
      <c r="K82" s="2">
        <v>45630</v>
      </c>
      <c r="L82" s="1">
        <v>6</v>
      </c>
      <c r="M82" s="1" t="s">
        <v>48</v>
      </c>
      <c r="N82" s="1" t="s">
        <v>82</v>
      </c>
      <c r="O82" s="4">
        <v>32260.02</v>
      </c>
      <c r="P82" s="1">
        <v>5</v>
      </c>
      <c r="Q82" s="10" t="s">
        <v>58</v>
      </c>
      <c r="R82" s="14" t="str" cm="1">
        <f t="array" ref="R82">_xlfn.IFS(C82&lt;18,"Under 18",C82&lt;36,"18-35",C82&lt;51,"36-50",C82&lt;66,"51-65",C82&gt;=66,"66+")</f>
        <v>Under 18</v>
      </c>
      <c r="S82" s="18">
        <v>45444</v>
      </c>
    </row>
    <row r="83" spans="1:19">
      <c r="A83" s="21" t="s">
        <v>309</v>
      </c>
      <c r="B83" s="1" t="s">
        <v>310</v>
      </c>
      <c r="C83" s="1">
        <v>83</v>
      </c>
      <c r="D83" s="1" t="s">
        <v>43</v>
      </c>
      <c r="E83" s="1" t="s">
        <v>20</v>
      </c>
      <c r="F83" s="1" t="s">
        <v>120</v>
      </c>
      <c r="G83" s="1" t="s">
        <v>22</v>
      </c>
      <c r="H83" s="1" t="s">
        <v>76</v>
      </c>
      <c r="I83" s="1" t="s">
        <v>62</v>
      </c>
      <c r="J83" s="2">
        <v>45570</v>
      </c>
      <c r="K83" s="2">
        <v>45429</v>
      </c>
      <c r="L83" s="1">
        <v>7</v>
      </c>
      <c r="M83" s="1" t="s">
        <v>56</v>
      </c>
      <c r="N83" s="1" t="s">
        <v>85</v>
      </c>
      <c r="O83" s="4">
        <v>49119.66</v>
      </c>
      <c r="P83" s="1">
        <v>1</v>
      </c>
      <c r="Q83" s="10" t="s">
        <v>29</v>
      </c>
      <c r="R83" s="14" t="str" cm="1">
        <f t="array" ref="R83">_xlfn.IFS(C83&lt;18,"Under 18",C83&lt;36,"18-35",C83&lt;51,"36-50",C83&lt;66,"51-65",C83&gt;=66,"66+")</f>
        <v>66+</v>
      </c>
      <c r="S83" s="18">
        <v>45566</v>
      </c>
    </row>
    <row r="84" spans="1:19">
      <c r="A84" s="21" t="s">
        <v>312</v>
      </c>
      <c r="B84" s="1" t="s">
        <v>261</v>
      </c>
      <c r="C84" s="1">
        <v>20</v>
      </c>
      <c r="D84" s="1" t="s">
        <v>19</v>
      </c>
      <c r="E84" s="1" t="s">
        <v>66</v>
      </c>
      <c r="F84" s="1" t="s">
        <v>52</v>
      </c>
      <c r="G84" s="1" t="s">
        <v>34</v>
      </c>
      <c r="H84" s="1" t="s">
        <v>88</v>
      </c>
      <c r="I84" s="1" t="s">
        <v>24</v>
      </c>
      <c r="J84" s="2">
        <v>45594</v>
      </c>
      <c r="K84" s="2">
        <v>45333</v>
      </c>
      <c r="L84" s="1">
        <v>4</v>
      </c>
      <c r="M84" s="1" t="s">
        <v>56</v>
      </c>
      <c r="N84" s="1" t="s">
        <v>63</v>
      </c>
      <c r="O84" s="4">
        <v>133432.38</v>
      </c>
      <c r="P84" s="1">
        <v>4</v>
      </c>
      <c r="Q84" s="10" t="s">
        <v>58</v>
      </c>
      <c r="R84" s="14" t="str" cm="1">
        <f t="array" ref="R84">_xlfn.IFS(C84&lt;18,"Under 18",C84&lt;36,"18-35",C84&lt;51,"36-50",C84&lt;66,"51-65",C84&gt;=66,"66+")</f>
        <v>18-35</v>
      </c>
      <c r="S84" s="18">
        <v>45566</v>
      </c>
    </row>
    <row r="85" spans="1:19">
      <c r="A85" s="21" t="s">
        <v>314</v>
      </c>
      <c r="B85" s="1" t="s">
        <v>315</v>
      </c>
      <c r="C85" s="1">
        <v>6</v>
      </c>
      <c r="D85" s="1" t="s">
        <v>43</v>
      </c>
      <c r="E85" s="1" t="s">
        <v>247</v>
      </c>
      <c r="F85" s="1" t="s">
        <v>52</v>
      </c>
      <c r="G85" s="1" t="s">
        <v>68</v>
      </c>
      <c r="H85" s="1" t="s">
        <v>93</v>
      </c>
      <c r="I85" s="1" t="s">
        <v>24</v>
      </c>
      <c r="J85" s="2">
        <v>45870</v>
      </c>
      <c r="K85" s="2">
        <v>45672</v>
      </c>
      <c r="L85" s="1">
        <v>7</v>
      </c>
      <c r="M85" s="1" t="s">
        <v>97</v>
      </c>
      <c r="N85" s="1" t="s">
        <v>57</v>
      </c>
      <c r="O85" s="4">
        <v>29082.21</v>
      </c>
      <c r="P85" s="1">
        <v>3</v>
      </c>
      <c r="Q85" s="10" t="s">
        <v>40</v>
      </c>
      <c r="R85" s="14" t="str" cm="1">
        <f t="array" ref="R85">_xlfn.IFS(C85&lt;18,"Under 18",C85&lt;36,"18-35",C85&lt;51,"36-50",C85&lt;66,"51-65",C85&gt;=66,"66+")</f>
        <v>Under 18</v>
      </c>
      <c r="S85" s="18">
        <v>45870</v>
      </c>
    </row>
    <row r="86" spans="1:19">
      <c r="A86" s="21" t="s">
        <v>317</v>
      </c>
      <c r="B86" s="1" t="s">
        <v>79</v>
      </c>
      <c r="C86" s="1">
        <v>49</v>
      </c>
      <c r="D86" s="1" t="s">
        <v>27</v>
      </c>
      <c r="E86" s="1" t="s">
        <v>32</v>
      </c>
      <c r="F86" s="1" t="s">
        <v>21</v>
      </c>
      <c r="G86" s="1" t="s">
        <v>53</v>
      </c>
      <c r="H86" s="1" t="s">
        <v>23</v>
      </c>
      <c r="I86" s="1" t="s">
        <v>62</v>
      </c>
      <c r="J86" s="2">
        <v>45832</v>
      </c>
      <c r="K86" s="2">
        <v>45834</v>
      </c>
      <c r="L86" s="1">
        <v>2</v>
      </c>
      <c r="M86" s="1" t="s">
        <v>97</v>
      </c>
      <c r="N86" s="1" t="s">
        <v>90</v>
      </c>
      <c r="O86" s="4">
        <v>147595.23000000001</v>
      </c>
      <c r="P86" s="1">
        <v>4</v>
      </c>
      <c r="Q86" s="10" t="s">
        <v>29</v>
      </c>
      <c r="R86" s="14" t="str" cm="1">
        <f t="array" ref="R86">_xlfn.IFS(C86&lt;18,"Under 18",C86&lt;36,"18-35",C86&lt;51,"36-50",C86&lt;66,"51-65",C86&gt;=66,"66+")</f>
        <v>36-50</v>
      </c>
      <c r="S86" s="18">
        <v>45809</v>
      </c>
    </row>
    <row r="87" spans="1:19">
      <c r="A87" s="21" t="s">
        <v>320</v>
      </c>
      <c r="B87" s="1" t="s">
        <v>321</v>
      </c>
      <c r="C87" s="1">
        <v>56</v>
      </c>
      <c r="D87" s="1" t="s">
        <v>19</v>
      </c>
      <c r="E87" s="1" t="s">
        <v>247</v>
      </c>
      <c r="F87" s="1" t="s">
        <v>21</v>
      </c>
      <c r="G87" s="1" t="s">
        <v>36</v>
      </c>
      <c r="H87" s="1" t="s">
        <v>99</v>
      </c>
      <c r="I87" s="1" t="s">
        <v>36</v>
      </c>
      <c r="J87" s="2">
        <v>45519</v>
      </c>
      <c r="K87" s="2">
        <v>45532</v>
      </c>
      <c r="L87" s="1">
        <v>13</v>
      </c>
      <c r="M87" s="1" t="s">
        <v>38</v>
      </c>
      <c r="N87" s="1" t="s">
        <v>28</v>
      </c>
      <c r="O87" s="4">
        <v>51176.42</v>
      </c>
      <c r="P87" s="1">
        <v>4</v>
      </c>
      <c r="Q87" s="10" t="s">
        <v>40</v>
      </c>
      <c r="R87" s="14" t="str" cm="1">
        <f t="array" ref="R87">_xlfn.IFS(C87&lt;18,"Under 18",C87&lt;36,"18-35",C87&lt;51,"36-50",C87&lt;66,"51-65",C87&gt;=66,"66+")</f>
        <v>51-65</v>
      </c>
      <c r="S87" s="18">
        <v>45505</v>
      </c>
    </row>
    <row r="88" spans="1:19">
      <c r="A88" s="21" t="s">
        <v>323</v>
      </c>
      <c r="B88" s="1" t="s">
        <v>324</v>
      </c>
      <c r="C88" s="1">
        <v>19</v>
      </c>
      <c r="D88" s="1" t="s">
        <v>19</v>
      </c>
      <c r="E88" s="1" t="s">
        <v>20</v>
      </c>
      <c r="F88" s="1" t="s">
        <v>21</v>
      </c>
      <c r="G88" s="1" t="s">
        <v>104</v>
      </c>
      <c r="H88" s="1" t="s">
        <v>93</v>
      </c>
      <c r="I88" s="1" t="s">
        <v>24</v>
      </c>
      <c r="J88" s="2">
        <v>45537</v>
      </c>
      <c r="K88" s="2">
        <v>45341</v>
      </c>
      <c r="L88" s="1">
        <v>10</v>
      </c>
      <c r="M88" s="1" t="s">
        <v>27</v>
      </c>
      <c r="N88" s="1" t="s">
        <v>90</v>
      </c>
      <c r="O88" s="4">
        <v>71150.53</v>
      </c>
      <c r="P88" s="1">
        <v>5</v>
      </c>
      <c r="Q88" s="10" t="s">
        <v>58</v>
      </c>
      <c r="R88" s="14" t="str" cm="1">
        <f t="array" ref="R88">_xlfn.IFS(C88&lt;18,"Under 18",C88&lt;36,"18-35",C88&lt;51,"36-50",C88&lt;66,"51-65",C88&gt;=66,"66+")</f>
        <v>18-35</v>
      </c>
      <c r="S88" s="18">
        <v>45536</v>
      </c>
    </row>
    <row r="89" spans="1:19">
      <c r="A89" s="21" t="s">
        <v>326</v>
      </c>
      <c r="B89" s="1" t="s">
        <v>259</v>
      </c>
      <c r="C89" s="1">
        <v>15</v>
      </c>
      <c r="D89" s="1" t="s">
        <v>43</v>
      </c>
      <c r="E89" s="1" t="s">
        <v>51</v>
      </c>
      <c r="F89" s="1" t="s">
        <v>67</v>
      </c>
      <c r="G89" s="1" t="s">
        <v>104</v>
      </c>
      <c r="H89" s="1" t="s">
        <v>45</v>
      </c>
      <c r="I89" s="1" t="s">
        <v>36</v>
      </c>
      <c r="J89" s="2">
        <v>45535</v>
      </c>
      <c r="K89" s="2">
        <v>45300</v>
      </c>
      <c r="L89" s="1">
        <v>1</v>
      </c>
      <c r="M89" s="1" t="s">
        <v>56</v>
      </c>
      <c r="N89" s="1" t="s">
        <v>82</v>
      </c>
      <c r="O89" s="4">
        <v>20092.63</v>
      </c>
      <c r="P89" s="1">
        <v>5</v>
      </c>
      <c r="Q89" s="10" t="s">
        <v>58</v>
      </c>
      <c r="R89" s="14" t="str" cm="1">
        <f t="array" ref="R89">_xlfn.IFS(C89&lt;18,"Under 18",C89&lt;36,"18-35",C89&lt;51,"36-50",C89&lt;66,"51-65",C89&gt;=66,"66+")</f>
        <v>Under 18</v>
      </c>
      <c r="S89" s="18">
        <v>45505</v>
      </c>
    </row>
    <row r="90" spans="1:19">
      <c r="A90" s="21" t="s">
        <v>328</v>
      </c>
      <c r="B90" s="1" t="s">
        <v>329</v>
      </c>
      <c r="C90" s="1">
        <v>1</v>
      </c>
      <c r="D90" s="1" t="s">
        <v>27</v>
      </c>
      <c r="E90" s="1" t="s">
        <v>137</v>
      </c>
      <c r="F90" s="1" t="s">
        <v>33</v>
      </c>
      <c r="G90" s="1" t="s">
        <v>22</v>
      </c>
      <c r="H90" s="1" t="s">
        <v>23</v>
      </c>
      <c r="I90" s="1" t="s">
        <v>36</v>
      </c>
      <c r="J90" s="2">
        <v>45653</v>
      </c>
      <c r="K90" s="2">
        <v>45658</v>
      </c>
      <c r="L90" s="1">
        <v>5</v>
      </c>
      <c r="M90" s="1" t="s">
        <v>97</v>
      </c>
      <c r="N90" s="1" t="s">
        <v>82</v>
      </c>
      <c r="O90" s="4">
        <v>83149.78</v>
      </c>
      <c r="P90" s="1">
        <v>2</v>
      </c>
      <c r="Q90" s="10" t="s">
        <v>40</v>
      </c>
      <c r="R90" s="14" t="str" cm="1">
        <f t="array" ref="R90">_xlfn.IFS(C90&lt;18,"Under 18",C90&lt;36,"18-35",C90&lt;51,"36-50",C90&lt;66,"51-65",C90&gt;=66,"66+")</f>
        <v>Under 18</v>
      </c>
      <c r="S90" s="18">
        <v>45627</v>
      </c>
    </row>
    <row r="91" spans="1:19">
      <c r="A91" s="21" t="s">
        <v>331</v>
      </c>
      <c r="B91" s="1" t="s">
        <v>126</v>
      </c>
      <c r="C91" s="1">
        <v>3</v>
      </c>
      <c r="D91" s="1" t="s">
        <v>43</v>
      </c>
      <c r="E91" s="1" t="s">
        <v>51</v>
      </c>
      <c r="F91" s="1" t="s">
        <v>120</v>
      </c>
      <c r="G91" s="1" t="s">
        <v>22</v>
      </c>
      <c r="H91" s="1" t="s">
        <v>69</v>
      </c>
      <c r="I91" s="1" t="s">
        <v>24</v>
      </c>
      <c r="J91" s="2">
        <v>45568</v>
      </c>
      <c r="K91" s="2">
        <v>45629</v>
      </c>
      <c r="L91" s="1">
        <v>2</v>
      </c>
      <c r="M91" s="1" t="s">
        <v>56</v>
      </c>
      <c r="N91" s="1" t="s">
        <v>39</v>
      </c>
      <c r="O91" s="4">
        <v>65668.649999999994</v>
      </c>
      <c r="P91" s="1">
        <v>4</v>
      </c>
      <c r="Q91" s="10" t="s">
        <v>58</v>
      </c>
      <c r="R91" s="14" t="str" cm="1">
        <f t="array" ref="R91">_xlfn.IFS(C91&lt;18,"Under 18",C91&lt;36,"18-35",C91&lt;51,"36-50",C91&lt;66,"51-65",C91&gt;=66,"66+")</f>
        <v>Under 18</v>
      </c>
      <c r="S91" s="18">
        <v>45566</v>
      </c>
    </row>
    <row r="92" spans="1:19">
      <c r="A92" s="21" t="s">
        <v>332</v>
      </c>
      <c r="B92" s="1" t="s">
        <v>126</v>
      </c>
      <c r="C92" s="1">
        <v>90</v>
      </c>
      <c r="D92" s="1" t="s">
        <v>43</v>
      </c>
      <c r="E92" s="1" t="s">
        <v>117</v>
      </c>
      <c r="F92" s="1" t="s">
        <v>67</v>
      </c>
      <c r="G92" s="1" t="s">
        <v>68</v>
      </c>
      <c r="H92" s="1" t="s">
        <v>61</v>
      </c>
      <c r="I92" s="1" t="s">
        <v>62</v>
      </c>
      <c r="J92" s="2">
        <v>45879</v>
      </c>
      <c r="K92" s="2">
        <v>45946</v>
      </c>
      <c r="L92" s="1">
        <v>8</v>
      </c>
      <c r="M92" s="1" t="s">
        <v>27</v>
      </c>
      <c r="N92" s="1" t="s">
        <v>57</v>
      </c>
      <c r="O92" s="4">
        <v>18997.32</v>
      </c>
      <c r="P92" s="1">
        <v>3</v>
      </c>
      <c r="Q92" s="10" t="s">
        <v>40</v>
      </c>
      <c r="R92" s="14" t="str" cm="1">
        <f t="array" ref="R92">_xlfn.IFS(C92&lt;18,"Under 18",C92&lt;36,"18-35",C92&lt;51,"36-50",C92&lt;66,"51-65",C92&gt;=66,"66+")</f>
        <v>66+</v>
      </c>
      <c r="S92" s="18">
        <v>45870</v>
      </c>
    </row>
    <row r="93" spans="1:19">
      <c r="A93" s="21" t="s">
        <v>334</v>
      </c>
      <c r="B93" s="1" t="s">
        <v>335</v>
      </c>
      <c r="C93" s="1">
        <v>5</v>
      </c>
      <c r="D93" s="1" t="s">
        <v>27</v>
      </c>
      <c r="E93" s="1" t="s">
        <v>247</v>
      </c>
      <c r="F93" s="1" t="s">
        <v>21</v>
      </c>
      <c r="G93" s="1" t="s">
        <v>53</v>
      </c>
      <c r="H93" s="1" t="s">
        <v>105</v>
      </c>
      <c r="I93" s="1" t="s">
        <v>62</v>
      </c>
      <c r="J93" s="2">
        <v>45487</v>
      </c>
      <c r="K93" s="2">
        <v>45490</v>
      </c>
      <c r="L93" s="1">
        <v>3</v>
      </c>
      <c r="M93" s="1" t="s">
        <v>97</v>
      </c>
      <c r="N93" s="1" t="s">
        <v>82</v>
      </c>
      <c r="O93" s="4">
        <v>32288.28</v>
      </c>
      <c r="P93" s="1">
        <v>5</v>
      </c>
      <c r="Q93" s="10" t="s">
        <v>40</v>
      </c>
      <c r="R93" s="14" t="str" cm="1">
        <f t="array" ref="R93">_xlfn.IFS(C93&lt;18,"Under 18",C93&lt;36,"18-35",C93&lt;51,"36-50",C93&lt;66,"51-65",C93&gt;=66,"66+")</f>
        <v>Under 18</v>
      </c>
      <c r="S93" s="18">
        <v>45474</v>
      </c>
    </row>
    <row r="94" spans="1:19">
      <c r="A94" s="21" t="s">
        <v>338</v>
      </c>
      <c r="B94" s="1" t="s">
        <v>339</v>
      </c>
      <c r="C94" s="1">
        <v>11</v>
      </c>
      <c r="D94" s="1" t="s">
        <v>27</v>
      </c>
      <c r="E94" s="1" t="s">
        <v>159</v>
      </c>
      <c r="F94" s="1" t="s">
        <v>67</v>
      </c>
      <c r="G94" s="1" t="s">
        <v>110</v>
      </c>
      <c r="H94" s="1" t="s">
        <v>23</v>
      </c>
      <c r="I94" s="1" t="s">
        <v>24</v>
      </c>
      <c r="J94" s="2">
        <v>45933</v>
      </c>
      <c r="K94" s="2">
        <v>45729</v>
      </c>
      <c r="L94" s="1">
        <v>3</v>
      </c>
      <c r="M94" s="1" t="s">
        <v>97</v>
      </c>
      <c r="N94" s="1" t="s">
        <v>85</v>
      </c>
      <c r="O94" s="4">
        <v>43222.18</v>
      </c>
      <c r="P94" s="1">
        <v>4</v>
      </c>
      <c r="Q94" s="10" t="s">
        <v>58</v>
      </c>
      <c r="R94" s="14" t="str" cm="1">
        <f t="array" ref="R94">_xlfn.IFS(C94&lt;18,"Under 18",C94&lt;36,"18-35",C94&lt;51,"36-50",C94&lt;66,"51-65",C94&gt;=66,"66+")</f>
        <v>Under 18</v>
      </c>
      <c r="S94" s="18">
        <v>45931</v>
      </c>
    </row>
    <row r="95" spans="1:19">
      <c r="A95" s="21" t="s">
        <v>341</v>
      </c>
      <c r="B95" s="1" t="s">
        <v>169</v>
      </c>
      <c r="C95" s="1">
        <v>45</v>
      </c>
      <c r="D95" s="1" t="s">
        <v>43</v>
      </c>
      <c r="E95" s="1" t="s">
        <v>202</v>
      </c>
      <c r="F95" s="1" t="s">
        <v>21</v>
      </c>
      <c r="G95" s="1" t="s">
        <v>53</v>
      </c>
      <c r="H95" s="1" t="s">
        <v>23</v>
      </c>
      <c r="I95" s="1" t="s">
        <v>36</v>
      </c>
      <c r="J95" s="2">
        <v>45335</v>
      </c>
      <c r="K95" s="2">
        <v>45336</v>
      </c>
      <c r="L95" s="1">
        <v>1</v>
      </c>
      <c r="M95" s="1" t="s">
        <v>56</v>
      </c>
      <c r="N95" s="1" t="s">
        <v>39</v>
      </c>
      <c r="O95" s="4">
        <v>127672.38</v>
      </c>
      <c r="P95" s="1">
        <v>5</v>
      </c>
      <c r="Q95" s="10" t="s">
        <v>40</v>
      </c>
      <c r="R95" s="14" t="str" cm="1">
        <f t="array" ref="R95">_xlfn.IFS(C95&lt;18,"Under 18",C95&lt;36,"18-35",C95&lt;51,"36-50",C95&lt;66,"51-65",C95&gt;=66,"66+")</f>
        <v>36-50</v>
      </c>
      <c r="S95" s="18">
        <v>45323</v>
      </c>
    </row>
    <row r="96" spans="1:19">
      <c r="A96" s="21" t="s">
        <v>343</v>
      </c>
      <c r="B96" s="1" t="s">
        <v>344</v>
      </c>
      <c r="C96" s="1">
        <v>47</v>
      </c>
      <c r="D96" s="1" t="s">
        <v>43</v>
      </c>
      <c r="E96" s="1" t="s">
        <v>247</v>
      </c>
      <c r="F96" s="1" t="s">
        <v>52</v>
      </c>
      <c r="G96" s="1" t="s">
        <v>53</v>
      </c>
      <c r="H96" s="1" t="s">
        <v>88</v>
      </c>
      <c r="I96" s="1" t="s">
        <v>62</v>
      </c>
      <c r="J96" s="2">
        <v>45724</v>
      </c>
      <c r="K96" s="2">
        <v>45877</v>
      </c>
      <c r="L96" s="1">
        <v>5</v>
      </c>
      <c r="M96" s="1" t="s">
        <v>56</v>
      </c>
      <c r="N96" s="1" t="s">
        <v>28</v>
      </c>
      <c r="O96" s="4">
        <v>56361.95</v>
      </c>
      <c r="P96" s="1">
        <v>3</v>
      </c>
      <c r="Q96" s="10" t="s">
        <v>72</v>
      </c>
      <c r="R96" s="14" t="str" cm="1">
        <f t="array" ref="R96">_xlfn.IFS(C96&lt;18,"Under 18",C96&lt;36,"18-35",C96&lt;51,"36-50",C96&lt;66,"51-65",C96&gt;=66,"66+")</f>
        <v>36-50</v>
      </c>
      <c r="S96" s="18">
        <v>45717</v>
      </c>
    </row>
    <row r="97" spans="1:19">
      <c r="A97" s="21" t="s">
        <v>345</v>
      </c>
      <c r="B97" s="1" t="s">
        <v>315</v>
      </c>
      <c r="C97" s="1">
        <v>24</v>
      </c>
      <c r="D97" s="1" t="s">
        <v>43</v>
      </c>
      <c r="E97" s="1" t="s">
        <v>32</v>
      </c>
      <c r="F97" s="1" t="s">
        <v>21</v>
      </c>
      <c r="G97" s="1" t="s">
        <v>132</v>
      </c>
      <c r="H97" s="1" t="s">
        <v>69</v>
      </c>
      <c r="I97" s="1" t="s">
        <v>36</v>
      </c>
      <c r="J97" s="2">
        <v>45822</v>
      </c>
      <c r="K97" s="2">
        <v>45830</v>
      </c>
      <c r="L97" s="1">
        <v>8</v>
      </c>
      <c r="M97" s="1" t="s">
        <v>97</v>
      </c>
      <c r="N97" s="1" t="s">
        <v>85</v>
      </c>
      <c r="O97" s="4">
        <v>41058.89</v>
      </c>
      <c r="P97" s="1">
        <v>5</v>
      </c>
      <c r="Q97" s="10" t="s">
        <v>58</v>
      </c>
      <c r="R97" s="14" t="str" cm="1">
        <f t="array" ref="R97">_xlfn.IFS(C97&lt;18,"Under 18",C97&lt;36,"18-35",C97&lt;51,"36-50",C97&lt;66,"51-65",C97&gt;=66,"66+")</f>
        <v>18-35</v>
      </c>
      <c r="S97" s="18">
        <v>45809</v>
      </c>
    </row>
    <row r="98" spans="1:19">
      <c r="A98" s="21" t="s">
        <v>347</v>
      </c>
      <c r="B98" s="1" t="s">
        <v>348</v>
      </c>
      <c r="C98" s="1">
        <v>12</v>
      </c>
      <c r="D98" s="1" t="s">
        <v>27</v>
      </c>
      <c r="E98" s="1" t="s">
        <v>51</v>
      </c>
      <c r="F98" s="1" t="s">
        <v>21</v>
      </c>
      <c r="G98" s="1" t="s">
        <v>68</v>
      </c>
      <c r="H98" s="1" t="s">
        <v>105</v>
      </c>
      <c r="I98" s="1" t="s">
        <v>36</v>
      </c>
      <c r="J98" s="2">
        <v>45619</v>
      </c>
      <c r="K98" s="2">
        <v>45622</v>
      </c>
      <c r="L98" s="1">
        <v>3</v>
      </c>
      <c r="M98" s="1" t="s">
        <v>56</v>
      </c>
      <c r="N98" s="1" t="s">
        <v>39</v>
      </c>
      <c r="O98" s="4">
        <v>74149.429999999993</v>
      </c>
      <c r="P98" s="1">
        <v>5</v>
      </c>
      <c r="Q98" s="10" t="s">
        <v>29</v>
      </c>
      <c r="R98" s="14" t="str" cm="1">
        <f t="array" ref="R98">_xlfn.IFS(C98&lt;18,"Under 18",C98&lt;36,"18-35",C98&lt;51,"36-50",C98&lt;66,"51-65",C98&gt;=66,"66+")</f>
        <v>Under 18</v>
      </c>
      <c r="S98" s="18">
        <v>45597</v>
      </c>
    </row>
    <row r="99" spans="1:19">
      <c r="A99" s="21" t="s">
        <v>350</v>
      </c>
      <c r="B99" s="1" t="s">
        <v>266</v>
      </c>
      <c r="C99" s="1">
        <v>31</v>
      </c>
      <c r="D99" s="1" t="s">
        <v>43</v>
      </c>
      <c r="E99" s="1" t="s">
        <v>137</v>
      </c>
      <c r="F99" s="1" t="s">
        <v>67</v>
      </c>
      <c r="G99" s="1" t="s">
        <v>110</v>
      </c>
      <c r="H99" s="1" t="s">
        <v>69</v>
      </c>
      <c r="I99" s="1" t="s">
        <v>36</v>
      </c>
      <c r="J99" s="2">
        <v>45318</v>
      </c>
      <c r="K99" s="2">
        <v>45322</v>
      </c>
      <c r="L99" s="1">
        <v>4</v>
      </c>
      <c r="M99" s="1" t="s">
        <v>56</v>
      </c>
      <c r="N99" s="1" t="s">
        <v>82</v>
      </c>
      <c r="O99" s="4">
        <v>96389.7</v>
      </c>
      <c r="P99" s="1">
        <v>4</v>
      </c>
      <c r="Q99" s="10" t="s">
        <v>72</v>
      </c>
      <c r="R99" s="14" t="str" cm="1">
        <f t="array" ref="R99">_xlfn.IFS(C99&lt;18,"Under 18",C99&lt;36,"18-35",C99&lt;51,"36-50",C99&lt;66,"51-65",C99&gt;=66,"66+")</f>
        <v>18-35</v>
      </c>
      <c r="S99" s="18">
        <v>45292</v>
      </c>
    </row>
    <row r="100" spans="1:19">
      <c r="A100" s="21" t="s">
        <v>353</v>
      </c>
      <c r="B100" s="1" t="s">
        <v>354</v>
      </c>
      <c r="C100" s="1">
        <v>58</v>
      </c>
      <c r="D100" s="1" t="s">
        <v>43</v>
      </c>
      <c r="E100" s="1" t="s">
        <v>117</v>
      </c>
      <c r="F100" s="1" t="s">
        <v>21</v>
      </c>
      <c r="G100" s="1" t="s">
        <v>110</v>
      </c>
      <c r="H100" s="1" t="s">
        <v>35</v>
      </c>
      <c r="I100" s="1" t="s">
        <v>36</v>
      </c>
      <c r="J100" s="2">
        <v>45988</v>
      </c>
      <c r="K100" s="2">
        <v>45991</v>
      </c>
      <c r="L100" s="1">
        <v>3</v>
      </c>
      <c r="M100" s="1" t="s">
        <v>38</v>
      </c>
      <c r="N100" s="1" t="s">
        <v>63</v>
      </c>
      <c r="O100" s="4">
        <v>88018.25</v>
      </c>
      <c r="P100" s="1">
        <v>2</v>
      </c>
      <c r="Q100" s="10" t="s">
        <v>29</v>
      </c>
      <c r="R100" s="14" t="str" cm="1">
        <f t="array" ref="R100">_xlfn.IFS(C100&lt;18,"Under 18",C100&lt;36,"18-35",C100&lt;51,"36-50",C100&lt;66,"51-65",C100&gt;=66,"66+")</f>
        <v>51-65</v>
      </c>
      <c r="S100" s="18">
        <v>45962</v>
      </c>
    </row>
    <row r="101" spans="1:19">
      <c r="A101" s="21" t="s">
        <v>357</v>
      </c>
      <c r="B101" s="1" t="s">
        <v>50</v>
      </c>
      <c r="C101" s="1">
        <v>45</v>
      </c>
      <c r="D101" s="1" t="s">
        <v>27</v>
      </c>
      <c r="E101" s="1" t="s">
        <v>44</v>
      </c>
      <c r="F101" s="1" t="s">
        <v>67</v>
      </c>
      <c r="G101" s="1" t="s">
        <v>68</v>
      </c>
      <c r="H101" s="1" t="s">
        <v>35</v>
      </c>
      <c r="I101" s="1" t="s">
        <v>36</v>
      </c>
      <c r="J101" s="2">
        <v>45582</v>
      </c>
      <c r="K101" s="2">
        <v>45584</v>
      </c>
      <c r="L101" s="1">
        <v>2</v>
      </c>
      <c r="M101" s="1" t="s">
        <v>56</v>
      </c>
      <c r="N101" s="1" t="s">
        <v>63</v>
      </c>
      <c r="O101" s="4">
        <v>57626.63</v>
      </c>
      <c r="P101" s="1">
        <v>4</v>
      </c>
      <c r="Q101" s="10" t="s">
        <v>40</v>
      </c>
      <c r="R101" s="14" t="str" cm="1">
        <f t="array" ref="R101">_xlfn.IFS(C101&lt;18,"Under 18",C101&lt;36,"18-35",C101&lt;51,"36-50",C101&lt;66,"51-65",C101&gt;=66,"66+")</f>
        <v>36-50</v>
      </c>
      <c r="S101" s="18">
        <v>45566</v>
      </c>
    </row>
    <row r="102" spans="1:19">
      <c r="A102" s="21" t="s">
        <v>360</v>
      </c>
      <c r="B102" s="1" t="s">
        <v>361</v>
      </c>
      <c r="C102" s="1">
        <v>73</v>
      </c>
      <c r="D102" s="1" t="s">
        <v>19</v>
      </c>
      <c r="E102" s="1" t="s">
        <v>51</v>
      </c>
      <c r="F102" s="1" t="s">
        <v>120</v>
      </c>
      <c r="G102" s="1" t="s">
        <v>68</v>
      </c>
      <c r="H102" s="1" t="s">
        <v>61</v>
      </c>
      <c r="I102" s="1" t="s">
        <v>24</v>
      </c>
      <c r="J102" s="2">
        <v>45321</v>
      </c>
      <c r="K102" s="2">
        <v>45322</v>
      </c>
      <c r="L102" s="1">
        <v>1</v>
      </c>
      <c r="M102" s="1" t="s">
        <v>38</v>
      </c>
      <c r="N102" s="1" t="s">
        <v>57</v>
      </c>
      <c r="O102" s="4">
        <v>67988.009999999995</v>
      </c>
      <c r="P102" s="1">
        <v>4</v>
      </c>
      <c r="Q102" s="10" t="s">
        <v>29</v>
      </c>
      <c r="R102" s="14" t="str" cm="1">
        <f t="array" ref="R102">_xlfn.IFS(C102&lt;18,"Under 18",C102&lt;36,"18-35",C102&lt;51,"36-50",C102&lt;66,"51-65",C102&gt;=66,"66+")</f>
        <v>66+</v>
      </c>
      <c r="S102" s="18">
        <v>45292</v>
      </c>
    </row>
    <row r="103" spans="1:19">
      <c r="A103" s="21" t="s">
        <v>363</v>
      </c>
      <c r="B103" s="1" t="s">
        <v>141</v>
      </c>
      <c r="C103" s="1">
        <v>88</v>
      </c>
      <c r="D103" s="1" t="s">
        <v>43</v>
      </c>
      <c r="E103" s="1" t="s">
        <v>137</v>
      </c>
      <c r="F103" s="1" t="s">
        <v>21</v>
      </c>
      <c r="G103" s="1" t="s">
        <v>132</v>
      </c>
      <c r="H103" s="1" t="s">
        <v>88</v>
      </c>
      <c r="I103" s="1" t="s">
        <v>62</v>
      </c>
      <c r="J103" s="2">
        <v>45596</v>
      </c>
      <c r="K103" s="2">
        <v>45362</v>
      </c>
      <c r="L103" s="1">
        <v>3</v>
      </c>
      <c r="M103" s="1" t="s">
        <v>27</v>
      </c>
      <c r="N103" s="1" t="s">
        <v>90</v>
      </c>
      <c r="O103" s="4">
        <v>56286.2</v>
      </c>
      <c r="P103" s="1">
        <v>3</v>
      </c>
      <c r="Q103" s="10" t="s">
        <v>72</v>
      </c>
      <c r="R103" s="14" t="str" cm="1">
        <f t="array" ref="R103">_xlfn.IFS(C103&lt;18,"Under 18",C103&lt;36,"18-35",C103&lt;51,"36-50",C103&lt;66,"51-65",C103&gt;=66,"66+")</f>
        <v>66+</v>
      </c>
      <c r="S103" s="18">
        <v>45566</v>
      </c>
    </row>
    <row r="104" spans="1:19">
      <c r="A104" s="21" t="s">
        <v>365</v>
      </c>
      <c r="B104" s="1" t="s">
        <v>229</v>
      </c>
      <c r="C104" s="1">
        <v>41</v>
      </c>
      <c r="D104" s="1" t="s">
        <v>19</v>
      </c>
      <c r="E104" s="1" t="s">
        <v>20</v>
      </c>
      <c r="F104" s="1" t="s">
        <v>21</v>
      </c>
      <c r="G104" s="1" t="s">
        <v>22</v>
      </c>
      <c r="H104" s="1" t="s">
        <v>99</v>
      </c>
      <c r="I104" s="1" t="s">
        <v>62</v>
      </c>
      <c r="J104" s="2">
        <v>45769</v>
      </c>
      <c r="K104" s="2">
        <v>45771</v>
      </c>
      <c r="L104" s="1">
        <v>2</v>
      </c>
      <c r="M104" s="1" t="s">
        <v>27</v>
      </c>
      <c r="N104" s="1" t="s">
        <v>63</v>
      </c>
      <c r="O104" s="4">
        <v>33185.480000000003</v>
      </c>
      <c r="P104" s="1">
        <v>4</v>
      </c>
      <c r="Q104" s="10" t="s">
        <v>40</v>
      </c>
      <c r="R104" s="14" t="str" cm="1">
        <f t="array" ref="R104">_xlfn.IFS(C104&lt;18,"Under 18",C104&lt;36,"18-35",C104&lt;51,"36-50",C104&lt;66,"51-65",C104&gt;=66,"66+")</f>
        <v>36-50</v>
      </c>
      <c r="S104" s="18">
        <v>45748</v>
      </c>
    </row>
    <row r="105" spans="1:19">
      <c r="A105" s="21" t="s">
        <v>368</v>
      </c>
      <c r="B105" s="1" t="s">
        <v>369</v>
      </c>
      <c r="C105" s="1">
        <v>25</v>
      </c>
      <c r="D105" s="1" t="s">
        <v>19</v>
      </c>
      <c r="E105" s="1" t="s">
        <v>20</v>
      </c>
      <c r="F105" s="1" t="s">
        <v>67</v>
      </c>
      <c r="G105" s="1" t="s">
        <v>104</v>
      </c>
      <c r="H105" s="1" t="s">
        <v>99</v>
      </c>
      <c r="I105" s="1" t="s">
        <v>62</v>
      </c>
      <c r="J105" s="2">
        <v>45802</v>
      </c>
      <c r="K105" s="2">
        <v>45806</v>
      </c>
      <c r="L105" s="1">
        <v>4</v>
      </c>
      <c r="M105" s="1" t="s">
        <v>48</v>
      </c>
      <c r="N105" s="1" t="s">
        <v>28</v>
      </c>
      <c r="O105" s="4">
        <v>18573.580000000002</v>
      </c>
      <c r="P105" s="1">
        <v>4</v>
      </c>
      <c r="Q105" s="10" t="s">
        <v>40</v>
      </c>
      <c r="R105" s="14" t="str" cm="1">
        <f t="array" ref="R105">_xlfn.IFS(C105&lt;18,"Under 18",C105&lt;36,"18-35",C105&lt;51,"36-50",C105&lt;66,"51-65",C105&gt;=66,"66+")</f>
        <v>18-35</v>
      </c>
      <c r="S105" s="18">
        <v>45778</v>
      </c>
    </row>
    <row r="106" spans="1:19">
      <c r="A106" s="21" t="s">
        <v>372</v>
      </c>
      <c r="B106" s="1" t="s">
        <v>344</v>
      </c>
      <c r="C106" s="1">
        <v>64</v>
      </c>
      <c r="D106" s="1" t="s">
        <v>27</v>
      </c>
      <c r="E106" s="1" t="s">
        <v>247</v>
      </c>
      <c r="F106" s="1" t="s">
        <v>75</v>
      </c>
      <c r="G106" s="1" t="s">
        <v>22</v>
      </c>
      <c r="H106" s="1" t="s">
        <v>76</v>
      </c>
      <c r="I106" s="1" t="s">
        <v>62</v>
      </c>
      <c r="J106" s="2">
        <v>45961</v>
      </c>
      <c r="K106" s="2">
        <v>45758</v>
      </c>
      <c r="L106" s="1">
        <v>4</v>
      </c>
      <c r="M106" s="1" t="s">
        <v>48</v>
      </c>
      <c r="N106" s="1" t="s">
        <v>90</v>
      </c>
      <c r="O106" s="4">
        <v>21777.25</v>
      </c>
      <c r="P106" s="1">
        <v>3</v>
      </c>
      <c r="Q106" s="10" t="s">
        <v>29</v>
      </c>
      <c r="R106" s="14" t="str" cm="1">
        <f t="array" ref="R106">_xlfn.IFS(C106&lt;18,"Under 18",C106&lt;36,"18-35",C106&lt;51,"36-50",C106&lt;66,"51-65",C106&gt;=66,"66+")</f>
        <v>51-65</v>
      </c>
      <c r="S106" s="18">
        <v>45931</v>
      </c>
    </row>
    <row r="107" spans="1:19">
      <c r="A107" s="21" t="s">
        <v>374</v>
      </c>
      <c r="B107" s="1" t="s">
        <v>375</v>
      </c>
      <c r="C107" s="1">
        <v>47</v>
      </c>
      <c r="D107" s="1" t="s">
        <v>27</v>
      </c>
      <c r="E107" s="1" t="s">
        <v>247</v>
      </c>
      <c r="F107" s="1" t="s">
        <v>120</v>
      </c>
      <c r="G107" s="1" t="s">
        <v>68</v>
      </c>
      <c r="H107" s="1" t="s">
        <v>69</v>
      </c>
      <c r="I107" s="1" t="s">
        <v>24</v>
      </c>
      <c r="J107" s="2">
        <v>45587</v>
      </c>
      <c r="K107" s="2">
        <v>45590</v>
      </c>
      <c r="L107" s="1">
        <v>3</v>
      </c>
      <c r="M107" s="1" t="s">
        <v>38</v>
      </c>
      <c r="N107" s="1" t="s">
        <v>39</v>
      </c>
      <c r="O107" s="4">
        <v>61669.1</v>
      </c>
      <c r="P107" s="1">
        <v>2</v>
      </c>
      <c r="Q107" s="10" t="s">
        <v>29</v>
      </c>
      <c r="R107" s="14" t="str" cm="1">
        <f t="array" ref="R107">_xlfn.IFS(C107&lt;18,"Under 18",C107&lt;36,"18-35",C107&lt;51,"36-50",C107&lt;66,"51-65",C107&gt;=66,"66+")</f>
        <v>36-50</v>
      </c>
      <c r="S107" s="18">
        <v>45566</v>
      </c>
    </row>
    <row r="108" spans="1:19">
      <c r="A108" s="21" t="s">
        <v>377</v>
      </c>
      <c r="B108" s="1" t="s">
        <v>378</v>
      </c>
      <c r="C108" s="1">
        <v>26</v>
      </c>
      <c r="D108" s="1" t="s">
        <v>27</v>
      </c>
      <c r="E108" s="1" t="s">
        <v>247</v>
      </c>
      <c r="F108" s="1" t="s">
        <v>67</v>
      </c>
      <c r="G108" s="1" t="s">
        <v>110</v>
      </c>
      <c r="H108" s="1" t="s">
        <v>88</v>
      </c>
      <c r="I108" s="1" t="s">
        <v>62</v>
      </c>
      <c r="J108" s="2">
        <v>45783</v>
      </c>
      <c r="K108" s="2">
        <v>45906</v>
      </c>
      <c r="L108" s="1">
        <v>4</v>
      </c>
      <c r="M108" s="1" t="s">
        <v>56</v>
      </c>
      <c r="N108" s="1" t="s">
        <v>57</v>
      </c>
      <c r="O108" s="4">
        <v>117867.65</v>
      </c>
      <c r="P108" s="1">
        <v>3</v>
      </c>
      <c r="Q108" s="10" t="s">
        <v>40</v>
      </c>
      <c r="R108" s="14" t="str" cm="1">
        <f t="array" ref="R108">_xlfn.IFS(C108&lt;18,"Under 18",C108&lt;36,"18-35",C108&lt;51,"36-50",C108&lt;66,"51-65",C108&gt;=66,"66+")</f>
        <v>18-35</v>
      </c>
      <c r="S108" s="18">
        <v>45778</v>
      </c>
    </row>
    <row r="109" spans="1:19">
      <c r="A109" s="21" t="s">
        <v>379</v>
      </c>
      <c r="B109" s="1" t="s">
        <v>375</v>
      </c>
      <c r="C109" s="1">
        <v>76</v>
      </c>
      <c r="D109" s="1" t="s">
        <v>43</v>
      </c>
      <c r="E109" s="1" t="s">
        <v>44</v>
      </c>
      <c r="F109" s="1" t="s">
        <v>120</v>
      </c>
      <c r="G109" s="1" t="s">
        <v>68</v>
      </c>
      <c r="H109" s="1" t="s">
        <v>93</v>
      </c>
      <c r="I109" s="1" t="s">
        <v>24</v>
      </c>
      <c r="J109" s="2">
        <v>45722</v>
      </c>
      <c r="K109" s="2">
        <v>45844</v>
      </c>
      <c r="L109" s="1">
        <v>4</v>
      </c>
      <c r="M109" s="1" t="s">
        <v>48</v>
      </c>
      <c r="N109" s="1" t="s">
        <v>90</v>
      </c>
      <c r="O109" s="4">
        <v>71549.66</v>
      </c>
      <c r="P109" s="1">
        <v>4</v>
      </c>
      <c r="Q109" s="10" t="s">
        <v>58</v>
      </c>
      <c r="R109" s="14" t="str" cm="1">
        <f t="array" ref="R109">_xlfn.IFS(C109&lt;18,"Under 18",C109&lt;36,"18-35",C109&lt;51,"36-50",C109&lt;66,"51-65",C109&gt;=66,"66+")</f>
        <v>66+</v>
      </c>
      <c r="S109" s="18">
        <v>45717</v>
      </c>
    </row>
    <row r="110" spans="1:19">
      <c r="A110" s="21" t="s">
        <v>380</v>
      </c>
      <c r="B110" s="1" t="s">
        <v>381</v>
      </c>
      <c r="C110" s="1">
        <v>34</v>
      </c>
      <c r="D110" s="1" t="s">
        <v>27</v>
      </c>
      <c r="E110" s="1" t="s">
        <v>20</v>
      </c>
      <c r="F110" s="1" t="s">
        <v>75</v>
      </c>
      <c r="G110" s="1" t="s">
        <v>104</v>
      </c>
      <c r="H110" s="1" t="s">
        <v>35</v>
      </c>
      <c r="I110" s="1" t="s">
        <v>24</v>
      </c>
      <c r="J110" s="2">
        <v>45884</v>
      </c>
      <c r="K110" s="2">
        <v>45886</v>
      </c>
      <c r="L110" s="1">
        <v>2</v>
      </c>
      <c r="M110" s="1" t="s">
        <v>48</v>
      </c>
      <c r="N110" s="1" t="s">
        <v>85</v>
      </c>
      <c r="O110" s="4">
        <v>50268.959999999999</v>
      </c>
      <c r="P110" s="1">
        <v>5</v>
      </c>
      <c r="Q110" s="10" t="s">
        <v>72</v>
      </c>
      <c r="R110" s="14" t="str" cm="1">
        <f t="array" ref="R110">_xlfn.IFS(C110&lt;18,"Under 18",C110&lt;36,"18-35",C110&lt;51,"36-50",C110&lt;66,"51-65",C110&gt;=66,"66+")</f>
        <v>18-35</v>
      </c>
      <c r="S110" s="18">
        <v>45870</v>
      </c>
    </row>
    <row r="111" spans="1:19">
      <c r="A111" s="21" t="s">
        <v>383</v>
      </c>
      <c r="B111" s="1" t="s">
        <v>384</v>
      </c>
      <c r="C111" s="1">
        <v>57</v>
      </c>
      <c r="D111" s="1" t="s">
        <v>43</v>
      </c>
      <c r="E111" s="1" t="s">
        <v>159</v>
      </c>
      <c r="F111" s="1" t="s">
        <v>67</v>
      </c>
      <c r="G111" s="1" t="s">
        <v>104</v>
      </c>
      <c r="H111" s="1" t="s">
        <v>99</v>
      </c>
      <c r="I111" s="1" t="s">
        <v>62</v>
      </c>
      <c r="J111" s="2">
        <v>45750</v>
      </c>
      <c r="K111" s="2">
        <v>45841</v>
      </c>
      <c r="L111" s="1">
        <v>3</v>
      </c>
      <c r="M111" s="1" t="s">
        <v>38</v>
      </c>
      <c r="N111" s="1" t="s">
        <v>85</v>
      </c>
      <c r="O111" s="4">
        <v>63521.59</v>
      </c>
      <c r="P111" s="1">
        <v>4</v>
      </c>
      <c r="Q111" s="10" t="s">
        <v>58</v>
      </c>
      <c r="R111" s="14" t="str" cm="1">
        <f t="array" ref="R111">_xlfn.IFS(C111&lt;18,"Under 18",C111&lt;36,"18-35",C111&lt;51,"36-50",C111&lt;66,"51-65",C111&gt;=66,"66+")</f>
        <v>51-65</v>
      </c>
      <c r="S111" s="18">
        <v>45748</v>
      </c>
    </row>
    <row r="112" spans="1:19">
      <c r="A112" s="21" t="s">
        <v>385</v>
      </c>
      <c r="B112" s="1" t="s">
        <v>179</v>
      </c>
      <c r="C112" s="1">
        <v>69</v>
      </c>
      <c r="D112" s="1" t="s">
        <v>43</v>
      </c>
      <c r="E112" s="1" t="s">
        <v>20</v>
      </c>
      <c r="F112" s="1" t="s">
        <v>120</v>
      </c>
      <c r="G112" s="1" t="s">
        <v>68</v>
      </c>
      <c r="H112" s="1" t="s">
        <v>69</v>
      </c>
      <c r="I112" s="1" t="s">
        <v>62</v>
      </c>
      <c r="J112" s="2">
        <v>45851</v>
      </c>
      <c r="K112" s="2">
        <v>45857</v>
      </c>
      <c r="L112" s="1">
        <v>6</v>
      </c>
      <c r="M112" s="1" t="s">
        <v>56</v>
      </c>
      <c r="N112" s="1" t="s">
        <v>63</v>
      </c>
      <c r="O112" s="4">
        <v>47345.15</v>
      </c>
      <c r="P112" s="1">
        <v>5</v>
      </c>
      <c r="Q112" s="10" t="s">
        <v>58</v>
      </c>
      <c r="R112" s="14" t="str" cm="1">
        <f t="array" ref="R112">_xlfn.IFS(C112&lt;18,"Under 18",C112&lt;36,"18-35",C112&lt;51,"36-50",C112&lt;66,"51-65",C112&gt;=66,"66+")</f>
        <v>66+</v>
      </c>
      <c r="S112" s="18">
        <v>45839</v>
      </c>
    </row>
    <row r="113" spans="1:19">
      <c r="A113" s="21" t="s">
        <v>387</v>
      </c>
      <c r="B113" s="1" t="s">
        <v>388</v>
      </c>
      <c r="C113" s="1">
        <v>41</v>
      </c>
      <c r="D113" s="1" t="s">
        <v>43</v>
      </c>
      <c r="E113" s="1" t="s">
        <v>202</v>
      </c>
      <c r="F113" s="1" t="s">
        <v>120</v>
      </c>
      <c r="G113" s="1" t="s">
        <v>36</v>
      </c>
      <c r="H113" s="1" t="s">
        <v>76</v>
      </c>
      <c r="I113" s="1" t="s">
        <v>24</v>
      </c>
      <c r="J113" s="2">
        <v>45649</v>
      </c>
      <c r="K113" s="2">
        <v>45651</v>
      </c>
      <c r="L113" s="1">
        <v>2</v>
      </c>
      <c r="M113" s="1" t="s">
        <v>48</v>
      </c>
      <c r="N113" s="1" t="s">
        <v>82</v>
      </c>
      <c r="O113" s="4">
        <v>71741.55</v>
      </c>
      <c r="P113" s="1">
        <v>5</v>
      </c>
      <c r="Q113" s="10" t="s">
        <v>58</v>
      </c>
      <c r="R113" s="14" t="str" cm="1">
        <f t="array" ref="R113">_xlfn.IFS(C113&lt;18,"Under 18",C113&lt;36,"18-35",C113&lt;51,"36-50",C113&lt;66,"51-65",C113&gt;=66,"66+")</f>
        <v>36-50</v>
      </c>
      <c r="S113" s="18">
        <v>45627</v>
      </c>
    </row>
    <row r="114" spans="1:19">
      <c r="A114" s="21" t="s">
        <v>390</v>
      </c>
      <c r="B114" s="1" t="s">
        <v>391</v>
      </c>
      <c r="C114" s="1">
        <v>84</v>
      </c>
      <c r="D114" s="1" t="s">
        <v>43</v>
      </c>
      <c r="E114" s="1" t="s">
        <v>202</v>
      </c>
      <c r="F114" s="1" t="s">
        <v>52</v>
      </c>
      <c r="G114" s="1" t="s">
        <v>68</v>
      </c>
      <c r="H114" s="1" t="s">
        <v>35</v>
      </c>
      <c r="I114" s="1" t="s">
        <v>24</v>
      </c>
      <c r="J114" s="2">
        <v>45782</v>
      </c>
      <c r="K114" s="2">
        <v>45843</v>
      </c>
      <c r="L114" s="1">
        <v>2</v>
      </c>
      <c r="M114" s="1" t="s">
        <v>56</v>
      </c>
      <c r="N114" s="1" t="s">
        <v>63</v>
      </c>
      <c r="O114" s="4">
        <v>19973.54</v>
      </c>
      <c r="P114" s="1">
        <v>5</v>
      </c>
      <c r="Q114" s="10" t="s">
        <v>29</v>
      </c>
      <c r="R114" s="14" t="str" cm="1">
        <f t="array" ref="R114">_xlfn.IFS(C114&lt;18,"Under 18",C114&lt;36,"18-35",C114&lt;51,"36-50",C114&lt;66,"51-65",C114&gt;=66,"66+")</f>
        <v>66+</v>
      </c>
      <c r="S114" s="18">
        <v>45778</v>
      </c>
    </row>
    <row r="115" spans="1:19">
      <c r="A115" s="21" t="s">
        <v>392</v>
      </c>
      <c r="B115" s="1" t="s">
        <v>393</v>
      </c>
      <c r="C115" s="1">
        <v>7</v>
      </c>
      <c r="D115" s="1" t="s">
        <v>19</v>
      </c>
      <c r="E115" s="1" t="s">
        <v>117</v>
      </c>
      <c r="F115" s="1" t="s">
        <v>52</v>
      </c>
      <c r="G115" s="1" t="s">
        <v>36</v>
      </c>
      <c r="H115" s="1" t="s">
        <v>93</v>
      </c>
      <c r="I115" s="1" t="s">
        <v>36</v>
      </c>
      <c r="J115" s="2">
        <v>45715</v>
      </c>
      <c r="K115" s="2">
        <v>45719</v>
      </c>
      <c r="L115" s="1">
        <v>4</v>
      </c>
      <c r="M115" s="1" t="s">
        <v>48</v>
      </c>
      <c r="N115" s="1" t="s">
        <v>63</v>
      </c>
      <c r="O115" s="4">
        <v>46853.74</v>
      </c>
      <c r="P115" s="1">
        <v>3</v>
      </c>
      <c r="Q115" s="10" t="s">
        <v>29</v>
      </c>
      <c r="R115" s="14" t="str" cm="1">
        <f t="array" ref="R115">_xlfn.IFS(C115&lt;18,"Under 18",C115&lt;36,"18-35",C115&lt;51,"36-50",C115&lt;66,"51-65",C115&gt;=66,"66+")</f>
        <v>Under 18</v>
      </c>
      <c r="S115" s="18">
        <v>45689</v>
      </c>
    </row>
    <row r="116" spans="1:19">
      <c r="A116" s="21" t="s">
        <v>395</v>
      </c>
      <c r="B116" s="1" t="s">
        <v>396</v>
      </c>
      <c r="C116" s="1">
        <v>69</v>
      </c>
      <c r="D116" s="1" t="s">
        <v>27</v>
      </c>
      <c r="E116" s="1" t="s">
        <v>202</v>
      </c>
      <c r="F116" s="1" t="s">
        <v>120</v>
      </c>
      <c r="G116" s="1" t="s">
        <v>34</v>
      </c>
      <c r="H116" s="1" t="s">
        <v>76</v>
      </c>
      <c r="I116" s="1" t="s">
        <v>24</v>
      </c>
      <c r="J116" s="2">
        <v>45506</v>
      </c>
      <c r="K116" s="2">
        <v>45598</v>
      </c>
      <c r="L116" s="1">
        <v>3</v>
      </c>
      <c r="M116" s="1" t="s">
        <v>27</v>
      </c>
      <c r="N116" s="1" t="s">
        <v>28</v>
      </c>
      <c r="O116" s="4">
        <v>95082.69</v>
      </c>
      <c r="P116" s="1">
        <v>5</v>
      </c>
      <c r="Q116" s="10" t="s">
        <v>40</v>
      </c>
      <c r="R116" s="14" t="str" cm="1">
        <f t="array" ref="R116">_xlfn.IFS(C116&lt;18,"Under 18",C116&lt;36,"18-35",C116&lt;51,"36-50",C116&lt;66,"51-65",C116&gt;=66,"66+")</f>
        <v>66+</v>
      </c>
      <c r="S116" s="18">
        <v>45505</v>
      </c>
    </row>
    <row r="117" spans="1:19">
      <c r="A117" s="21" t="s">
        <v>397</v>
      </c>
      <c r="B117" s="1" t="s">
        <v>162</v>
      </c>
      <c r="C117" s="1">
        <v>37</v>
      </c>
      <c r="D117" s="1" t="s">
        <v>43</v>
      </c>
      <c r="E117" s="1" t="s">
        <v>117</v>
      </c>
      <c r="F117" s="1" t="s">
        <v>52</v>
      </c>
      <c r="G117" s="1" t="s">
        <v>110</v>
      </c>
      <c r="H117" s="1" t="s">
        <v>23</v>
      </c>
      <c r="I117" s="1" t="s">
        <v>36</v>
      </c>
      <c r="J117" s="2">
        <v>45948</v>
      </c>
      <c r="K117" s="2">
        <v>45952</v>
      </c>
      <c r="L117" s="1">
        <v>4</v>
      </c>
      <c r="M117" s="1" t="s">
        <v>48</v>
      </c>
      <c r="N117" s="1" t="s">
        <v>63</v>
      </c>
      <c r="O117" s="4">
        <v>63409.73</v>
      </c>
      <c r="P117" s="1">
        <v>2</v>
      </c>
      <c r="Q117" s="10" t="s">
        <v>40</v>
      </c>
      <c r="R117" s="14" t="str" cm="1">
        <f t="array" ref="R117">_xlfn.IFS(C117&lt;18,"Under 18",C117&lt;36,"18-35",C117&lt;51,"36-50",C117&lt;66,"51-65",C117&gt;=66,"66+")</f>
        <v>36-50</v>
      </c>
      <c r="S117" s="18">
        <v>45931</v>
      </c>
    </row>
    <row r="118" spans="1:19">
      <c r="A118" s="21" t="s">
        <v>400</v>
      </c>
      <c r="B118" s="1" t="s">
        <v>354</v>
      </c>
      <c r="C118" s="1">
        <v>38</v>
      </c>
      <c r="D118" s="1" t="s">
        <v>27</v>
      </c>
      <c r="E118" s="1" t="s">
        <v>66</v>
      </c>
      <c r="F118" s="1" t="s">
        <v>33</v>
      </c>
      <c r="G118" s="1" t="s">
        <v>36</v>
      </c>
      <c r="H118" s="1" t="s">
        <v>76</v>
      </c>
      <c r="I118" s="1" t="s">
        <v>62</v>
      </c>
      <c r="J118" s="2">
        <v>45982</v>
      </c>
      <c r="K118" s="2">
        <v>45983</v>
      </c>
      <c r="L118" s="1">
        <v>1</v>
      </c>
      <c r="M118" s="1" t="s">
        <v>56</v>
      </c>
      <c r="N118" s="1" t="s">
        <v>28</v>
      </c>
      <c r="O118" s="4">
        <v>49615.49</v>
      </c>
      <c r="P118" s="1">
        <v>2</v>
      </c>
      <c r="Q118" s="10" t="s">
        <v>40</v>
      </c>
      <c r="R118" s="14" t="str" cm="1">
        <f t="array" ref="R118">_xlfn.IFS(C118&lt;18,"Under 18",C118&lt;36,"18-35",C118&lt;51,"36-50",C118&lt;66,"51-65",C118&gt;=66,"66+")</f>
        <v>36-50</v>
      </c>
      <c r="S118" s="18">
        <v>45962</v>
      </c>
    </row>
    <row r="119" spans="1:19">
      <c r="A119" s="21" t="s">
        <v>402</v>
      </c>
      <c r="B119" s="1" t="s">
        <v>403</v>
      </c>
      <c r="C119" s="1">
        <v>50</v>
      </c>
      <c r="D119" s="1" t="s">
        <v>19</v>
      </c>
      <c r="E119" s="1" t="s">
        <v>117</v>
      </c>
      <c r="F119" s="1" t="s">
        <v>120</v>
      </c>
      <c r="G119" s="1" t="s">
        <v>34</v>
      </c>
      <c r="H119" s="1" t="s">
        <v>45</v>
      </c>
      <c r="I119" s="1" t="s">
        <v>24</v>
      </c>
      <c r="J119" s="2">
        <v>45692</v>
      </c>
      <c r="K119" s="2">
        <v>45873</v>
      </c>
      <c r="L119" s="1">
        <v>6</v>
      </c>
      <c r="M119" s="1" t="s">
        <v>56</v>
      </c>
      <c r="N119" s="1" t="s">
        <v>85</v>
      </c>
      <c r="O119" s="4">
        <v>61777.120000000003</v>
      </c>
      <c r="P119" s="1">
        <v>4</v>
      </c>
      <c r="Q119" s="10" t="s">
        <v>29</v>
      </c>
      <c r="R119" s="14" t="str" cm="1">
        <f t="array" ref="R119">_xlfn.IFS(C119&lt;18,"Under 18",C119&lt;36,"18-35",C119&lt;51,"36-50",C119&lt;66,"51-65",C119&gt;=66,"66+")</f>
        <v>36-50</v>
      </c>
      <c r="S119" s="18">
        <v>45689</v>
      </c>
    </row>
    <row r="120" spans="1:19">
      <c r="A120" s="21" t="s">
        <v>404</v>
      </c>
      <c r="B120" s="1" t="s">
        <v>405</v>
      </c>
      <c r="C120" s="1">
        <v>62</v>
      </c>
      <c r="D120" s="1" t="s">
        <v>19</v>
      </c>
      <c r="E120" s="1" t="s">
        <v>51</v>
      </c>
      <c r="F120" s="1" t="s">
        <v>52</v>
      </c>
      <c r="G120" s="1" t="s">
        <v>132</v>
      </c>
      <c r="H120" s="1" t="s">
        <v>61</v>
      </c>
      <c r="I120" s="1" t="s">
        <v>62</v>
      </c>
      <c r="J120" s="2">
        <v>45934</v>
      </c>
      <c r="K120" s="2">
        <v>45764</v>
      </c>
      <c r="L120" s="1">
        <v>7</v>
      </c>
      <c r="M120" s="1" t="s">
        <v>48</v>
      </c>
      <c r="N120" s="1" t="s">
        <v>90</v>
      </c>
      <c r="O120" s="4">
        <v>61664.959999999999</v>
      </c>
      <c r="P120" s="1">
        <v>4</v>
      </c>
      <c r="Q120" s="10" t="s">
        <v>72</v>
      </c>
      <c r="R120" s="14" t="str" cm="1">
        <f t="array" ref="R120">_xlfn.IFS(C120&lt;18,"Under 18",C120&lt;36,"18-35",C120&lt;51,"36-50",C120&lt;66,"51-65",C120&gt;=66,"66+")</f>
        <v>51-65</v>
      </c>
      <c r="S120" s="18">
        <v>45931</v>
      </c>
    </row>
    <row r="121" spans="1:19">
      <c r="A121" s="21" t="s">
        <v>407</v>
      </c>
      <c r="B121" s="1" t="s">
        <v>194</v>
      </c>
      <c r="C121" s="1">
        <v>8</v>
      </c>
      <c r="D121" s="1" t="s">
        <v>27</v>
      </c>
      <c r="E121" s="1" t="s">
        <v>51</v>
      </c>
      <c r="F121" s="1" t="s">
        <v>33</v>
      </c>
      <c r="G121" s="1" t="s">
        <v>53</v>
      </c>
      <c r="H121" s="1" t="s">
        <v>23</v>
      </c>
      <c r="I121" s="1" t="s">
        <v>36</v>
      </c>
      <c r="J121" s="2">
        <v>45663</v>
      </c>
      <c r="K121" s="2">
        <v>45814</v>
      </c>
      <c r="L121" s="1">
        <v>5</v>
      </c>
      <c r="M121" s="1" t="s">
        <v>97</v>
      </c>
      <c r="N121" s="1" t="s">
        <v>85</v>
      </c>
      <c r="O121" s="4">
        <v>80200.66</v>
      </c>
      <c r="P121" s="1">
        <v>5</v>
      </c>
      <c r="Q121" s="10" t="s">
        <v>58</v>
      </c>
      <c r="R121" s="14" t="str" cm="1">
        <f t="array" ref="R121">_xlfn.IFS(C121&lt;18,"Under 18",C121&lt;36,"18-35",C121&lt;51,"36-50",C121&lt;66,"51-65",C121&gt;=66,"66+")</f>
        <v>Under 18</v>
      </c>
      <c r="S121" s="18">
        <v>45658</v>
      </c>
    </row>
    <row r="122" spans="1:19">
      <c r="A122" s="21" t="s">
        <v>408</v>
      </c>
      <c r="B122" s="1" t="s">
        <v>409</v>
      </c>
      <c r="C122" s="1">
        <v>59</v>
      </c>
      <c r="D122" s="1" t="s">
        <v>27</v>
      </c>
      <c r="E122" s="1" t="s">
        <v>137</v>
      </c>
      <c r="F122" s="1" t="s">
        <v>120</v>
      </c>
      <c r="G122" s="1" t="s">
        <v>34</v>
      </c>
      <c r="H122" s="1" t="s">
        <v>76</v>
      </c>
      <c r="I122" s="1" t="s">
        <v>24</v>
      </c>
      <c r="J122" s="2">
        <v>45351</v>
      </c>
      <c r="K122" s="2">
        <v>45385</v>
      </c>
      <c r="L122" s="1">
        <v>4</v>
      </c>
      <c r="M122" s="1" t="s">
        <v>48</v>
      </c>
      <c r="N122" s="1" t="s">
        <v>90</v>
      </c>
      <c r="O122" s="4">
        <v>36773.43</v>
      </c>
      <c r="P122" s="1">
        <v>3</v>
      </c>
      <c r="Q122" s="10" t="s">
        <v>72</v>
      </c>
      <c r="R122" s="14" t="str" cm="1">
        <f t="array" ref="R122">_xlfn.IFS(C122&lt;18,"Under 18",C122&lt;36,"18-35",C122&lt;51,"36-50",C122&lt;66,"51-65",C122&gt;=66,"66+")</f>
        <v>51-65</v>
      </c>
      <c r="S122" s="18">
        <v>45323</v>
      </c>
    </row>
    <row r="123" spans="1:19">
      <c r="A123" s="21" t="s">
        <v>411</v>
      </c>
      <c r="B123" s="1" t="s">
        <v>412</v>
      </c>
      <c r="C123" s="1">
        <v>9</v>
      </c>
      <c r="D123" s="1" t="s">
        <v>43</v>
      </c>
      <c r="E123" s="1" t="s">
        <v>32</v>
      </c>
      <c r="F123" s="1" t="s">
        <v>52</v>
      </c>
      <c r="G123" s="1" t="s">
        <v>36</v>
      </c>
      <c r="H123" s="1" t="s">
        <v>88</v>
      </c>
      <c r="I123" s="1" t="s">
        <v>24</v>
      </c>
      <c r="J123" s="2">
        <v>45324</v>
      </c>
      <c r="K123" s="2">
        <v>45414</v>
      </c>
      <c r="L123" s="1">
        <v>3</v>
      </c>
      <c r="M123" s="1" t="s">
        <v>27</v>
      </c>
      <c r="N123" s="1" t="s">
        <v>85</v>
      </c>
      <c r="O123" s="4">
        <v>84478.53</v>
      </c>
      <c r="P123" s="1">
        <v>4</v>
      </c>
      <c r="Q123" s="10" t="s">
        <v>40</v>
      </c>
      <c r="R123" s="14" t="str" cm="1">
        <f t="array" ref="R123">_xlfn.IFS(C123&lt;18,"Under 18",C123&lt;36,"18-35",C123&lt;51,"36-50",C123&lt;66,"51-65",C123&gt;=66,"66+")</f>
        <v>Under 18</v>
      </c>
      <c r="S123" s="18">
        <v>45323</v>
      </c>
    </row>
    <row r="124" spans="1:19">
      <c r="A124" s="21" t="s">
        <v>413</v>
      </c>
      <c r="B124" s="1" t="s">
        <v>335</v>
      </c>
      <c r="C124" s="1">
        <v>16</v>
      </c>
      <c r="D124" s="1" t="s">
        <v>19</v>
      </c>
      <c r="E124" s="1" t="s">
        <v>51</v>
      </c>
      <c r="F124" s="1" t="s">
        <v>33</v>
      </c>
      <c r="G124" s="1" t="s">
        <v>132</v>
      </c>
      <c r="H124" s="1" t="s">
        <v>99</v>
      </c>
      <c r="I124" s="1" t="s">
        <v>36</v>
      </c>
      <c r="J124" s="2">
        <v>45754</v>
      </c>
      <c r="K124" s="2">
        <v>45876</v>
      </c>
      <c r="L124" s="1">
        <v>4</v>
      </c>
      <c r="M124" s="1" t="s">
        <v>56</v>
      </c>
      <c r="N124" s="1" t="s">
        <v>57</v>
      </c>
      <c r="O124" s="4">
        <v>67201.100000000006</v>
      </c>
      <c r="P124" s="1">
        <v>5</v>
      </c>
      <c r="Q124" s="10" t="s">
        <v>40</v>
      </c>
      <c r="R124" s="14" t="str" cm="1">
        <f t="array" ref="R124">_xlfn.IFS(C124&lt;18,"Under 18",C124&lt;36,"18-35",C124&lt;51,"36-50",C124&lt;66,"51-65",C124&gt;=66,"66+")</f>
        <v>Under 18</v>
      </c>
      <c r="S124" s="18">
        <v>45748</v>
      </c>
    </row>
    <row r="125" spans="1:19">
      <c r="A125" s="21" t="s">
        <v>414</v>
      </c>
      <c r="B125" s="1" t="s">
        <v>259</v>
      </c>
      <c r="C125" s="1">
        <v>20</v>
      </c>
      <c r="D125" s="1" t="s">
        <v>43</v>
      </c>
      <c r="E125" s="1" t="s">
        <v>20</v>
      </c>
      <c r="F125" s="1" t="s">
        <v>52</v>
      </c>
      <c r="G125" s="1" t="s">
        <v>34</v>
      </c>
      <c r="H125" s="1" t="s">
        <v>61</v>
      </c>
      <c r="I125" s="1" t="s">
        <v>36</v>
      </c>
      <c r="J125" s="2">
        <v>45633</v>
      </c>
      <c r="K125" s="2">
        <v>45491</v>
      </c>
      <c r="L125" s="1">
        <v>6</v>
      </c>
      <c r="M125" s="1" t="s">
        <v>97</v>
      </c>
      <c r="N125" s="1" t="s">
        <v>57</v>
      </c>
      <c r="O125" s="4">
        <v>34908.53</v>
      </c>
      <c r="P125" s="1">
        <v>1</v>
      </c>
      <c r="Q125" s="10" t="s">
        <v>29</v>
      </c>
      <c r="R125" s="14" t="str" cm="1">
        <f t="array" ref="R125">_xlfn.IFS(C125&lt;18,"Under 18",C125&lt;36,"18-35",C125&lt;51,"36-50",C125&lt;66,"51-65",C125&gt;=66,"66+")</f>
        <v>18-35</v>
      </c>
      <c r="S125" s="18">
        <v>45627</v>
      </c>
    </row>
    <row r="126" spans="1:19">
      <c r="A126" s="21" t="s">
        <v>416</v>
      </c>
      <c r="B126" s="1" t="s">
        <v>310</v>
      </c>
      <c r="C126" s="1">
        <v>70</v>
      </c>
      <c r="D126" s="1" t="s">
        <v>19</v>
      </c>
      <c r="E126" s="1" t="s">
        <v>51</v>
      </c>
      <c r="F126" s="1" t="s">
        <v>21</v>
      </c>
      <c r="G126" s="1" t="s">
        <v>53</v>
      </c>
      <c r="H126" s="1" t="s">
        <v>69</v>
      </c>
      <c r="I126" s="1" t="s">
        <v>62</v>
      </c>
      <c r="J126" s="2">
        <v>45349</v>
      </c>
      <c r="K126" s="2">
        <v>45325</v>
      </c>
      <c r="L126" s="1">
        <v>4</v>
      </c>
      <c r="M126" s="1" t="s">
        <v>38</v>
      </c>
      <c r="N126" s="1" t="s">
        <v>82</v>
      </c>
      <c r="O126" s="4">
        <v>100460.13</v>
      </c>
      <c r="P126" s="1">
        <v>4</v>
      </c>
      <c r="Q126" s="10" t="s">
        <v>72</v>
      </c>
      <c r="R126" s="14" t="str" cm="1">
        <f t="array" ref="R126">_xlfn.IFS(C126&lt;18,"Under 18",C126&lt;36,"18-35",C126&lt;51,"36-50",C126&lt;66,"51-65",C126&gt;=66,"66+")</f>
        <v>66+</v>
      </c>
      <c r="S126" s="18">
        <v>45323</v>
      </c>
    </row>
    <row r="127" spans="1:19">
      <c r="A127" s="21" t="s">
        <v>418</v>
      </c>
      <c r="B127" s="1" t="s">
        <v>419</v>
      </c>
      <c r="C127" s="1">
        <v>72</v>
      </c>
      <c r="D127" s="1" t="s">
        <v>27</v>
      </c>
      <c r="E127" s="1" t="s">
        <v>137</v>
      </c>
      <c r="F127" s="1" t="s">
        <v>21</v>
      </c>
      <c r="G127" s="1" t="s">
        <v>34</v>
      </c>
      <c r="H127" s="1" t="s">
        <v>88</v>
      </c>
      <c r="I127" s="1" t="s">
        <v>62</v>
      </c>
      <c r="J127" s="2">
        <v>45471</v>
      </c>
      <c r="K127" s="2">
        <v>45389</v>
      </c>
      <c r="L127" s="1">
        <v>6</v>
      </c>
      <c r="M127" s="1" t="s">
        <v>97</v>
      </c>
      <c r="N127" s="1" t="s">
        <v>85</v>
      </c>
      <c r="O127" s="4">
        <v>145664.21</v>
      </c>
      <c r="P127" s="1">
        <v>5</v>
      </c>
      <c r="Q127" s="10" t="s">
        <v>58</v>
      </c>
      <c r="R127" s="14" t="str" cm="1">
        <f t="array" ref="R127">_xlfn.IFS(C127&lt;18,"Under 18",C127&lt;36,"18-35",C127&lt;51,"36-50",C127&lt;66,"51-65",C127&gt;=66,"66+")</f>
        <v>66+</v>
      </c>
      <c r="S127" s="18">
        <v>45444</v>
      </c>
    </row>
    <row r="128" spans="1:19">
      <c r="A128" s="21" t="s">
        <v>421</v>
      </c>
      <c r="B128" s="1" t="s">
        <v>172</v>
      </c>
      <c r="C128" s="1">
        <v>31</v>
      </c>
      <c r="D128" s="1" t="s">
        <v>19</v>
      </c>
      <c r="E128" s="1" t="s">
        <v>117</v>
      </c>
      <c r="F128" s="1" t="s">
        <v>21</v>
      </c>
      <c r="G128" s="1" t="s">
        <v>34</v>
      </c>
      <c r="H128" s="1" t="s">
        <v>23</v>
      </c>
      <c r="I128" s="1" t="s">
        <v>62</v>
      </c>
      <c r="J128" s="2">
        <v>45362</v>
      </c>
      <c r="K128" s="2">
        <v>45393</v>
      </c>
      <c r="L128" s="1">
        <v>1</v>
      </c>
      <c r="M128" s="1" t="s">
        <v>48</v>
      </c>
      <c r="N128" s="1" t="s">
        <v>57</v>
      </c>
      <c r="O128" s="4">
        <v>66341.570000000007</v>
      </c>
      <c r="P128" s="1">
        <v>4</v>
      </c>
      <c r="Q128" s="10" t="s">
        <v>40</v>
      </c>
      <c r="R128" s="14" t="str" cm="1">
        <f t="array" ref="R128">_xlfn.IFS(C128&lt;18,"Under 18",C128&lt;36,"18-35",C128&lt;51,"36-50",C128&lt;66,"51-65",C128&gt;=66,"66+")</f>
        <v>18-35</v>
      </c>
      <c r="S128" s="18">
        <v>45352</v>
      </c>
    </row>
    <row r="129" spans="1:19">
      <c r="A129" s="21" t="s">
        <v>422</v>
      </c>
      <c r="B129" s="1" t="s">
        <v>423</v>
      </c>
      <c r="C129" s="1">
        <v>12</v>
      </c>
      <c r="D129" s="1" t="s">
        <v>27</v>
      </c>
      <c r="E129" s="1" t="s">
        <v>159</v>
      </c>
      <c r="F129" s="1" t="s">
        <v>21</v>
      </c>
      <c r="G129" s="1" t="s">
        <v>34</v>
      </c>
      <c r="H129" s="1" t="s">
        <v>45</v>
      </c>
      <c r="I129" s="1" t="s">
        <v>62</v>
      </c>
      <c r="J129" s="2">
        <v>45487</v>
      </c>
      <c r="K129" s="2">
        <v>45489</v>
      </c>
      <c r="L129" s="1">
        <v>2</v>
      </c>
      <c r="M129" s="1" t="s">
        <v>38</v>
      </c>
      <c r="N129" s="1" t="s">
        <v>28</v>
      </c>
      <c r="O129" s="4">
        <v>48525.77</v>
      </c>
      <c r="P129" s="1">
        <v>5</v>
      </c>
      <c r="Q129" s="10" t="s">
        <v>29</v>
      </c>
      <c r="R129" s="14" t="str" cm="1">
        <f t="array" ref="R129">_xlfn.IFS(C129&lt;18,"Under 18",C129&lt;36,"18-35",C129&lt;51,"36-50",C129&lt;66,"51-65",C129&gt;=66,"66+")</f>
        <v>Under 18</v>
      </c>
      <c r="S129" s="18">
        <v>45474</v>
      </c>
    </row>
    <row r="130" spans="1:19">
      <c r="A130" s="21" t="s">
        <v>425</v>
      </c>
      <c r="B130" s="1" t="s">
        <v>308</v>
      </c>
      <c r="C130" s="1">
        <v>25</v>
      </c>
      <c r="D130" s="1" t="s">
        <v>27</v>
      </c>
      <c r="E130" s="1" t="s">
        <v>159</v>
      </c>
      <c r="F130" s="1" t="s">
        <v>67</v>
      </c>
      <c r="G130" s="1" t="s">
        <v>132</v>
      </c>
      <c r="H130" s="1" t="s">
        <v>76</v>
      </c>
      <c r="I130" s="1" t="s">
        <v>24</v>
      </c>
      <c r="J130" s="2">
        <v>45412</v>
      </c>
      <c r="K130" s="2">
        <v>45327</v>
      </c>
      <c r="L130" s="1">
        <v>2</v>
      </c>
      <c r="M130" s="1" t="s">
        <v>38</v>
      </c>
      <c r="N130" s="1" t="s">
        <v>82</v>
      </c>
      <c r="O130" s="4">
        <v>78804.23</v>
      </c>
      <c r="P130" s="1">
        <v>4</v>
      </c>
      <c r="Q130" s="10" t="s">
        <v>40</v>
      </c>
      <c r="R130" s="14" t="str" cm="1">
        <f t="array" ref="R130">_xlfn.IFS(C130&lt;18,"Under 18",C130&lt;36,"18-35",C130&lt;51,"36-50",C130&lt;66,"51-65",C130&gt;=66,"66+")</f>
        <v>18-35</v>
      </c>
      <c r="S130" s="18">
        <v>45383</v>
      </c>
    </row>
    <row r="131" spans="1:19">
      <c r="A131" s="21" t="s">
        <v>427</v>
      </c>
      <c r="B131" s="1" t="s">
        <v>428</v>
      </c>
      <c r="C131" s="1">
        <v>47</v>
      </c>
      <c r="D131" s="1" t="s">
        <v>27</v>
      </c>
      <c r="E131" s="1" t="s">
        <v>44</v>
      </c>
      <c r="F131" s="1" t="s">
        <v>21</v>
      </c>
      <c r="G131" s="1" t="s">
        <v>104</v>
      </c>
      <c r="H131" s="1" t="s">
        <v>88</v>
      </c>
      <c r="I131" s="1" t="s">
        <v>24</v>
      </c>
      <c r="J131" s="2">
        <v>45801</v>
      </c>
      <c r="K131" s="2">
        <v>45802</v>
      </c>
      <c r="L131" s="1">
        <v>1</v>
      </c>
      <c r="M131" s="1" t="s">
        <v>56</v>
      </c>
      <c r="N131" s="1" t="s">
        <v>28</v>
      </c>
      <c r="O131" s="4">
        <v>78746.13</v>
      </c>
      <c r="P131" s="1">
        <v>4</v>
      </c>
      <c r="Q131" s="10" t="s">
        <v>40</v>
      </c>
      <c r="R131" s="14" t="str" cm="1">
        <f t="array" ref="R131">_xlfn.IFS(C131&lt;18,"Under 18",C131&lt;36,"18-35",C131&lt;51,"36-50",C131&lt;66,"51-65",C131&gt;=66,"66+")</f>
        <v>36-50</v>
      </c>
      <c r="S131" s="18">
        <v>45778</v>
      </c>
    </row>
    <row r="132" spans="1:19">
      <c r="A132" s="21" t="s">
        <v>430</v>
      </c>
      <c r="B132" s="1" t="s">
        <v>131</v>
      </c>
      <c r="C132" s="1">
        <v>71</v>
      </c>
      <c r="D132" s="1" t="s">
        <v>27</v>
      </c>
      <c r="E132" s="1" t="s">
        <v>159</v>
      </c>
      <c r="F132" s="1" t="s">
        <v>52</v>
      </c>
      <c r="G132" s="1" t="s">
        <v>53</v>
      </c>
      <c r="H132" s="1" t="s">
        <v>61</v>
      </c>
      <c r="I132" s="1" t="s">
        <v>24</v>
      </c>
      <c r="J132" s="2">
        <v>45885</v>
      </c>
      <c r="K132" s="2">
        <v>45888</v>
      </c>
      <c r="L132" s="1">
        <v>3</v>
      </c>
      <c r="M132" s="1" t="s">
        <v>97</v>
      </c>
      <c r="N132" s="1" t="s">
        <v>57</v>
      </c>
      <c r="O132" s="4">
        <v>77471.240000000005</v>
      </c>
      <c r="P132" s="1">
        <v>4</v>
      </c>
      <c r="Q132" s="10" t="s">
        <v>29</v>
      </c>
      <c r="R132" s="14" t="str" cm="1">
        <f t="array" ref="R132">_xlfn.IFS(C132&lt;18,"Under 18",C132&lt;36,"18-35",C132&lt;51,"36-50",C132&lt;66,"51-65",C132&gt;=66,"66+")</f>
        <v>66+</v>
      </c>
      <c r="S132" s="18">
        <v>45870</v>
      </c>
    </row>
    <row r="133" spans="1:19">
      <c r="A133" s="21" t="s">
        <v>432</v>
      </c>
      <c r="B133" s="1" t="s">
        <v>253</v>
      </c>
      <c r="C133" s="1">
        <v>46</v>
      </c>
      <c r="D133" s="1" t="s">
        <v>19</v>
      </c>
      <c r="E133" s="1" t="s">
        <v>137</v>
      </c>
      <c r="F133" s="1" t="s">
        <v>21</v>
      </c>
      <c r="G133" s="1" t="s">
        <v>34</v>
      </c>
      <c r="H133" s="1" t="s">
        <v>23</v>
      </c>
      <c r="I133" s="1" t="s">
        <v>24</v>
      </c>
      <c r="J133" s="2">
        <v>45435</v>
      </c>
      <c r="K133" s="2">
        <v>45439</v>
      </c>
      <c r="L133" s="1">
        <v>4</v>
      </c>
      <c r="M133" s="1" t="s">
        <v>56</v>
      </c>
      <c r="N133" s="1" t="s">
        <v>28</v>
      </c>
      <c r="O133" s="4">
        <v>28388.84</v>
      </c>
      <c r="P133" s="1">
        <v>5</v>
      </c>
      <c r="Q133" s="10" t="s">
        <v>29</v>
      </c>
      <c r="R133" s="14" t="str" cm="1">
        <f t="array" ref="R133">_xlfn.IFS(C133&lt;18,"Under 18",C133&lt;36,"18-35",C133&lt;51,"36-50",C133&lt;66,"51-65",C133&gt;=66,"66+")</f>
        <v>36-50</v>
      </c>
      <c r="S133" s="18">
        <v>45413</v>
      </c>
    </row>
    <row r="134" spans="1:19">
      <c r="A134" s="21" t="s">
        <v>435</v>
      </c>
      <c r="B134" s="1" t="s">
        <v>428</v>
      </c>
      <c r="C134" s="1">
        <v>2</v>
      </c>
      <c r="D134" s="1" t="s">
        <v>19</v>
      </c>
      <c r="E134" s="1" t="s">
        <v>202</v>
      </c>
      <c r="F134" s="1" t="s">
        <v>67</v>
      </c>
      <c r="G134" s="1" t="s">
        <v>104</v>
      </c>
      <c r="H134" s="1" t="s">
        <v>93</v>
      </c>
      <c r="I134" s="1" t="s">
        <v>24</v>
      </c>
      <c r="J134" s="2">
        <v>45663</v>
      </c>
      <c r="K134" s="2">
        <v>45753</v>
      </c>
      <c r="L134" s="1">
        <v>3</v>
      </c>
      <c r="M134" s="1" t="s">
        <v>38</v>
      </c>
      <c r="N134" s="1" t="s">
        <v>90</v>
      </c>
      <c r="O134" s="4">
        <v>13148.42</v>
      </c>
      <c r="P134" s="1">
        <v>4</v>
      </c>
      <c r="Q134" s="10" t="s">
        <v>40</v>
      </c>
      <c r="R134" s="14" t="str" cm="1">
        <f t="array" ref="R134">_xlfn.IFS(C134&lt;18,"Under 18",C134&lt;36,"18-35",C134&lt;51,"36-50",C134&lt;66,"51-65",C134&gt;=66,"66+")</f>
        <v>Under 18</v>
      </c>
      <c r="S134" s="18">
        <v>45658</v>
      </c>
    </row>
    <row r="135" spans="1:19">
      <c r="A135" s="21" t="s">
        <v>436</v>
      </c>
      <c r="B135" s="1" t="s">
        <v>437</v>
      </c>
      <c r="C135" s="1">
        <v>3</v>
      </c>
      <c r="D135" s="1" t="s">
        <v>27</v>
      </c>
      <c r="E135" s="1" t="s">
        <v>247</v>
      </c>
      <c r="F135" s="1" t="s">
        <v>120</v>
      </c>
      <c r="G135" s="1" t="s">
        <v>110</v>
      </c>
      <c r="H135" s="1" t="s">
        <v>45</v>
      </c>
      <c r="I135" s="1" t="s">
        <v>62</v>
      </c>
      <c r="J135" s="2">
        <v>46006</v>
      </c>
      <c r="K135" s="2">
        <v>46009</v>
      </c>
      <c r="L135" s="1">
        <v>3</v>
      </c>
      <c r="M135" s="1" t="s">
        <v>48</v>
      </c>
      <c r="N135" s="1" t="s">
        <v>82</v>
      </c>
      <c r="O135" s="4">
        <v>132113.17000000001</v>
      </c>
      <c r="P135" s="1">
        <v>3</v>
      </c>
      <c r="Q135" s="10" t="s">
        <v>58</v>
      </c>
      <c r="R135" s="14" t="str" cm="1">
        <f t="array" ref="R135">_xlfn.IFS(C135&lt;18,"Under 18",C135&lt;36,"18-35",C135&lt;51,"36-50",C135&lt;66,"51-65",C135&gt;=66,"66+")</f>
        <v>Under 18</v>
      </c>
      <c r="S135" s="18">
        <v>45992</v>
      </c>
    </row>
    <row r="136" spans="1:19">
      <c r="A136" s="21" t="s">
        <v>439</v>
      </c>
      <c r="B136" s="1" t="s">
        <v>103</v>
      </c>
      <c r="C136" s="1">
        <v>59</v>
      </c>
      <c r="D136" s="1" t="s">
        <v>27</v>
      </c>
      <c r="E136" s="1" t="s">
        <v>202</v>
      </c>
      <c r="F136" s="1" t="s">
        <v>52</v>
      </c>
      <c r="G136" s="1" t="s">
        <v>22</v>
      </c>
      <c r="H136" s="1" t="s">
        <v>99</v>
      </c>
      <c r="I136" s="1" t="s">
        <v>36</v>
      </c>
      <c r="J136" s="2">
        <v>45452</v>
      </c>
      <c r="K136" s="2">
        <v>45513</v>
      </c>
      <c r="L136" s="1">
        <v>2</v>
      </c>
      <c r="M136" s="1" t="s">
        <v>56</v>
      </c>
      <c r="N136" s="1" t="s">
        <v>28</v>
      </c>
      <c r="O136" s="4">
        <v>18825.54</v>
      </c>
      <c r="P136" s="1">
        <v>4</v>
      </c>
      <c r="Q136" s="10" t="s">
        <v>58</v>
      </c>
      <c r="R136" s="14" t="str" cm="1">
        <f t="array" ref="R136">_xlfn.IFS(C136&lt;18,"Under 18",C136&lt;36,"18-35",C136&lt;51,"36-50",C136&lt;66,"51-65",C136&gt;=66,"66+")</f>
        <v>51-65</v>
      </c>
      <c r="S136" s="18">
        <v>45444</v>
      </c>
    </row>
    <row r="137" spans="1:19">
      <c r="A137" s="21" t="s">
        <v>440</v>
      </c>
      <c r="B137" s="1" t="s">
        <v>92</v>
      </c>
      <c r="C137" s="1">
        <v>56</v>
      </c>
      <c r="D137" s="1" t="s">
        <v>27</v>
      </c>
      <c r="E137" s="1" t="s">
        <v>117</v>
      </c>
      <c r="F137" s="1" t="s">
        <v>75</v>
      </c>
      <c r="G137" s="1" t="s">
        <v>132</v>
      </c>
      <c r="H137" s="1" t="s">
        <v>61</v>
      </c>
      <c r="I137" s="1" t="s">
        <v>36</v>
      </c>
      <c r="J137" s="2">
        <v>45424</v>
      </c>
      <c r="K137" s="2">
        <v>45645</v>
      </c>
      <c r="L137" s="1">
        <v>14</v>
      </c>
      <c r="M137" s="1" t="s">
        <v>38</v>
      </c>
      <c r="N137" s="1" t="s">
        <v>90</v>
      </c>
      <c r="O137" s="4">
        <v>97241.16</v>
      </c>
      <c r="P137" s="1">
        <v>4</v>
      </c>
      <c r="Q137" s="10" t="s">
        <v>72</v>
      </c>
      <c r="R137" s="14" t="str" cm="1">
        <f t="array" ref="R137">_xlfn.IFS(C137&lt;18,"Under 18",C137&lt;36,"18-35",C137&lt;51,"36-50",C137&lt;66,"51-65",C137&gt;=66,"66+")</f>
        <v>51-65</v>
      </c>
      <c r="S137" s="18">
        <v>45413</v>
      </c>
    </row>
    <row r="138" spans="1:19">
      <c r="A138" s="21" t="s">
        <v>442</v>
      </c>
      <c r="B138" s="1" t="s">
        <v>443</v>
      </c>
      <c r="C138" s="1">
        <v>23</v>
      </c>
      <c r="D138" s="1" t="s">
        <v>43</v>
      </c>
      <c r="E138" s="1" t="s">
        <v>51</v>
      </c>
      <c r="F138" s="1" t="s">
        <v>120</v>
      </c>
      <c r="G138" s="1" t="s">
        <v>36</v>
      </c>
      <c r="H138" s="1" t="s">
        <v>45</v>
      </c>
      <c r="I138" s="1" t="s">
        <v>62</v>
      </c>
      <c r="J138" s="2">
        <v>45308</v>
      </c>
      <c r="K138" s="2">
        <v>45313</v>
      </c>
      <c r="L138" s="1">
        <v>5</v>
      </c>
      <c r="M138" s="1" t="s">
        <v>56</v>
      </c>
      <c r="N138" s="1" t="s">
        <v>39</v>
      </c>
      <c r="O138" s="4">
        <v>33847.21</v>
      </c>
      <c r="P138" s="1">
        <v>4</v>
      </c>
      <c r="Q138" s="10" t="s">
        <v>72</v>
      </c>
      <c r="R138" s="14" t="str" cm="1">
        <f t="array" ref="R138">_xlfn.IFS(C138&lt;18,"Under 18",C138&lt;36,"18-35",C138&lt;51,"36-50",C138&lt;66,"51-65",C138&gt;=66,"66+")</f>
        <v>18-35</v>
      </c>
      <c r="S138" s="18">
        <v>45292</v>
      </c>
    </row>
    <row r="139" spans="1:19">
      <c r="A139" s="21" t="s">
        <v>446</v>
      </c>
      <c r="B139" s="1" t="s">
        <v>229</v>
      </c>
      <c r="C139" s="1">
        <v>65</v>
      </c>
      <c r="D139" s="1" t="s">
        <v>27</v>
      </c>
      <c r="E139" s="1" t="s">
        <v>247</v>
      </c>
      <c r="F139" s="1" t="s">
        <v>75</v>
      </c>
      <c r="G139" s="1" t="s">
        <v>22</v>
      </c>
      <c r="H139" s="1" t="s">
        <v>88</v>
      </c>
      <c r="I139" s="1" t="s">
        <v>24</v>
      </c>
      <c r="J139" s="2">
        <v>45646</v>
      </c>
      <c r="K139" s="2">
        <v>45647</v>
      </c>
      <c r="L139" s="1">
        <v>1</v>
      </c>
      <c r="M139" s="1" t="s">
        <v>38</v>
      </c>
      <c r="N139" s="1" t="s">
        <v>39</v>
      </c>
      <c r="O139" s="4">
        <v>56177.32</v>
      </c>
      <c r="P139" s="1">
        <v>4</v>
      </c>
      <c r="Q139" s="10" t="s">
        <v>58</v>
      </c>
      <c r="R139" s="14" t="str" cm="1">
        <f t="array" ref="R139">_xlfn.IFS(C139&lt;18,"Under 18",C139&lt;36,"18-35",C139&lt;51,"36-50",C139&lt;66,"51-65",C139&gt;=66,"66+")</f>
        <v>51-65</v>
      </c>
      <c r="S139" s="18">
        <v>45627</v>
      </c>
    </row>
    <row r="140" spans="1:19">
      <c r="A140" s="21" t="s">
        <v>448</v>
      </c>
      <c r="B140" s="1" t="s">
        <v>291</v>
      </c>
      <c r="C140" s="1">
        <v>63</v>
      </c>
      <c r="D140" s="1" t="s">
        <v>19</v>
      </c>
      <c r="E140" s="1" t="s">
        <v>117</v>
      </c>
      <c r="F140" s="1" t="s">
        <v>21</v>
      </c>
      <c r="G140" s="1" t="s">
        <v>22</v>
      </c>
      <c r="H140" s="1" t="s">
        <v>69</v>
      </c>
      <c r="I140" s="1" t="s">
        <v>62</v>
      </c>
      <c r="J140" s="2">
        <v>45656</v>
      </c>
      <c r="K140" s="2">
        <v>45778</v>
      </c>
      <c r="L140" s="1">
        <v>6</v>
      </c>
      <c r="M140" s="1" t="s">
        <v>56</v>
      </c>
      <c r="N140" s="1" t="s">
        <v>63</v>
      </c>
      <c r="O140" s="4">
        <v>33562.699999999997</v>
      </c>
      <c r="P140" s="1">
        <v>3</v>
      </c>
      <c r="Q140" s="10" t="s">
        <v>58</v>
      </c>
      <c r="R140" s="14" t="str" cm="1">
        <f t="array" ref="R140">_xlfn.IFS(C140&lt;18,"Under 18",C140&lt;36,"18-35",C140&lt;51,"36-50",C140&lt;66,"51-65",C140&gt;=66,"66+")</f>
        <v>51-65</v>
      </c>
      <c r="S140" s="18">
        <v>45627</v>
      </c>
    </row>
    <row r="141" spans="1:19">
      <c r="A141" s="21" t="s">
        <v>450</v>
      </c>
      <c r="B141" s="1" t="s">
        <v>226</v>
      </c>
      <c r="C141" s="1">
        <v>41</v>
      </c>
      <c r="D141" s="1" t="s">
        <v>43</v>
      </c>
      <c r="E141" s="1" t="s">
        <v>32</v>
      </c>
      <c r="F141" s="1" t="s">
        <v>75</v>
      </c>
      <c r="G141" s="1" t="s">
        <v>53</v>
      </c>
      <c r="H141" s="1" t="s">
        <v>105</v>
      </c>
      <c r="I141" s="1" t="s">
        <v>36</v>
      </c>
      <c r="J141" s="2">
        <v>45401</v>
      </c>
      <c r="K141" s="2">
        <v>45402</v>
      </c>
      <c r="L141" s="1">
        <v>1</v>
      </c>
      <c r="M141" s="1" t="s">
        <v>38</v>
      </c>
      <c r="N141" s="1" t="s">
        <v>90</v>
      </c>
      <c r="O141" s="4">
        <v>24884.62</v>
      </c>
      <c r="P141" s="1">
        <v>4</v>
      </c>
      <c r="Q141" s="10" t="s">
        <v>72</v>
      </c>
      <c r="R141" s="14" t="str" cm="1">
        <f t="array" ref="R141">_xlfn.IFS(C141&lt;18,"Under 18",C141&lt;36,"18-35",C141&lt;51,"36-50",C141&lt;66,"51-65",C141&gt;=66,"66+")</f>
        <v>36-50</v>
      </c>
      <c r="S141" s="18">
        <v>45383</v>
      </c>
    </row>
    <row r="142" spans="1:19">
      <c r="A142" s="21" t="s">
        <v>452</v>
      </c>
      <c r="B142" s="1" t="s">
        <v>453</v>
      </c>
      <c r="C142" s="1">
        <v>77</v>
      </c>
      <c r="D142" s="1" t="s">
        <v>27</v>
      </c>
      <c r="E142" s="1" t="s">
        <v>137</v>
      </c>
      <c r="F142" s="1" t="s">
        <v>21</v>
      </c>
      <c r="G142" s="1" t="s">
        <v>22</v>
      </c>
      <c r="H142" s="1" t="s">
        <v>23</v>
      </c>
      <c r="I142" s="1" t="s">
        <v>36</v>
      </c>
      <c r="J142" s="2">
        <v>45624</v>
      </c>
      <c r="K142" s="2">
        <v>45625</v>
      </c>
      <c r="L142" s="1">
        <v>1</v>
      </c>
      <c r="M142" s="1" t="s">
        <v>38</v>
      </c>
      <c r="N142" s="1" t="s">
        <v>82</v>
      </c>
      <c r="O142" s="4">
        <v>78080.149999999994</v>
      </c>
      <c r="P142" s="1">
        <v>5</v>
      </c>
      <c r="Q142" s="10" t="s">
        <v>40</v>
      </c>
      <c r="R142" s="14" t="str" cm="1">
        <f t="array" ref="R142">_xlfn.IFS(C142&lt;18,"Under 18",C142&lt;36,"18-35",C142&lt;51,"36-50",C142&lt;66,"51-65",C142&gt;=66,"66+")</f>
        <v>66+</v>
      </c>
      <c r="S142" s="18">
        <v>45597</v>
      </c>
    </row>
    <row r="143" spans="1:19">
      <c r="A143" s="21" t="s">
        <v>455</v>
      </c>
      <c r="B143" s="1" t="s">
        <v>315</v>
      </c>
      <c r="C143" s="1">
        <v>64</v>
      </c>
      <c r="D143" s="1" t="s">
        <v>19</v>
      </c>
      <c r="E143" s="1" t="s">
        <v>159</v>
      </c>
      <c r="F143" s="1" t="s">
        <v>75</v>
      </c>
      <c r="G143" s="1" t="s">
        <v>104</v>
      </c>
      <c r="H143" s="1" t="s">
        <v>45</v>
      </c>
      <c r="I143" s="1" t="s">
        <v>36</v>
      </c>
      <c r="J143" s="2">
        <v>45415</v>
      </c>
      <c r="K143" s="2">
        <v>45507</v>
      </c>
      <c r="L143" s="1">
        <v>3</v>
      </c>
      <c r="M143" s="1" t="s">
        <v>38</v>
      </c>
      <c r="N143" s="1" t="s">
        <v>28</v>
      </c>
      <c r="O143" s="4">
        <v>38362.120000000003</v>
      </c>
      <c r="P143" s="1">
        <v>5</v>
      </c>
      <c r="Q143" s="10" t="s">
        <v>58</v>
      </c>
      <c r="R143" s="14" t="str" cm="1">
        <f t="array" ref="R143">_xlfn.IFS(C143&lt;18,"Under 18",C143&lt;36,"18-35",C143&lt;51,"36-50",C143&lt;66,"51-65",C143&gt;=66,"66+")</f>
        <v>51-65</v>
      </c>
      <c r="S143" s="18">
        <v>45413</v>
      </c>
    </row>
    <row r="144" spans="1:19">
      <c r="A144" s="21" t="s">
        <v>456</v>
      </c>
      <c r="B144" s="1" t="s">
        <v>123</v>
      </c>
      <c r="C144" s="1">
        <v>43</v>
      </c>
      <c r="D144" s="1" t="s">
        <v>27</v>
      </c>
      <c r="E144" s="1" t="s">
        <v>137</v>
      </c>
      <c r="F144" s="1" t="s">
        <v>120</v>
      </c>
      <c r="G144" s="1" t="s">
        <v>110</v>
      </c>
      <c r="H144" s="1" t="s">
        <v>105</v>
      </c>
      <c r="I144" s="1" t="s">
        <v>62</v>
      </c>
      <c r="J144" s="2">
        <v>45681</v>
      </c>
      <c r="K144" s="2">
        <v>45684</v>
      </c>
      <c r="L144" s="1">
        <v>3</v>
      </c>
      <c r="M144" s="1" t="s">
        <v>97</v>
      </c>
      <c r="N144" s="1" t="s">
        <v>90</v>
      </c>
      <c r="O144" s="4">
        <v>72677.87</v>
      </c>
      <c r="P144" s="1">
        <v>3</v>
      </c>
      <c r="Q144" s="10" t="s">
        <v>29</v>
      </c>
      <c r="R144" s="14" t="str" cm="1">
        <f t="array" ref="R144">_xlfn.IFS(C144&lt;18,"Under 18",C144&lt;36,"18-35",C144&lt;51,"36-50",C144&lt;66,"51-65",C144&gt;=66,"66+")</f>
        <v>36-50</v>
      </c>
      <c r="S144" s="18">
        <v>45658</v>
      </c>
    </row>
    <row r="145" spans="1:19">
      <c r="A145" s="21" t="s">
        <v>459</v>
      </c>
      <c r="B145" s="1" t="s">
        <v>143</v>
      </c>
      <c r="C145" s="1">
        <v>42</v>
      </c>
      <c r="D145" s="1" t="s">
        <v>43</v>
      </c>
      <c r="E145" s="1" t="s">
        <v>159</v>
      </c>
      <c r="F145" s="1" t="s">
        <v>52</v>
      </c>
      <c r="G145" s="1" t="s">
        <v>132</v>
      </c>
      <c r="H145" s="1" t="s">
        <v>69</v>
      </c>
      <c r="I145" s="1" t="s">
        <v>36</v>
      </c>
      <c r="J145" s="2">
        <v>45579</v>
      </c>
      <c r="K145" s="2">
        <v>45582</v>
      </c>
      <c r="L145" s="1">
        <v>3</v>
      </c>
      <c r="M145" s="1" t="s">
        <v>97</v>
      </c>
      <c r="N145" s="1" t="s">
        <v>39</v>
      </c>
      <c r="O145" s="4">
        <v>84800.34</v>
      </c>
      <c r="P145" s="1">
        <v>3</v>
      </c>
      <c r="Q145" s="10" t="s">
        <v>40</v>
      </c>
      <c r="R145" s="14" t="str" cm="1">
        <f t="array" ref="R145">_xlfn.IFS(C145&lt;18,"Under 18",C145&lt;36,"18-35",C145&lt;51,"36-50",C145&lt;66,"51-65",C145&gt;=66,"66+")</f>
        <v>36-50</v>
      </c>
      <c r="S145" s="18">
        <v>45566</v>
      </c>
    </row>
    <row r="146" spans="1:19">
      <c r="A146" s="21" t="s">
        <v>461</v>
      </c>
      <c r="B146" s="1" t="s">
        <v>321</v>
      </c>
      <c r="C146" s="1">
        <v>89</v>
      </c>
      <c r="D146" s="1" t="s">
        <v>19</v>
      </c>
      <c r="E146" s="1" t="s">
        <v>159</v>
      </c>
      <c r="F146" s="1" t="s">
        <v>67</v>
      </c>
      <c r="G146" s="1" t="s">
        <v>132</v>
      </c>
      <c r="H146" s="1" t="s">
        <v>105</v>
      </c>
      <c r="I146" s="1" t="s">
        <v>62</v>
      </c>
      <c r="J146" s="2">
        <v>45710</v>
      </c>
      <c r="K146" s="2">
        <v>45714</v>
      </c>
      <c r="L146" s="1">
        <v>4</v>
      </c>
      <c r="M146" s="1" t="s">
        <v>27</v>
      </c>
      <c r="N146" s="1" t="s">
        <v>57</v>
      </c>
      <c r="O146" s="4">
        <v>60082.400000000001</v>
      </c>
      <c r="P146" s="1">
        <v>5</v>
      </c>
      <c r="Q146" s="10" t="s">
        <v>58</v>
      </c>
      <c r="R146" s="14" t="str" cm="1">
        <f t="array" ref="R146">_xlfn.IFS(C146&lt;18,"Under 18",C146&lt;36,"18-35",C146&lt;51,"36-50",C146&lt;66,"51-65",C146&gt;=66,"66+")</f>
        <v>66+</v>
      </c>
      <c r="S146" s="18">
        <v>45689</v>
      </c>
    </row>
    <row r="147" spans="1:19">
      <c r="A147" s="21" t="s">
        <v>464</v>
      </c>
      <c r="B147" s="1" t="s">
        <v>443</v>
      </c>
      <c r="C147" s="1">
        <v>70</v>
      </c>
      <c r="D147" s="1" t="s">
        <v>19</v>
      </c>
      <c r="E147" s="1" t="s">
        <v>247</v>
      </c>
      <c r="F147" s="1" t="s">
        <v>33</v>
      </c>
      <c r="G147" s="1" t="s">
        <v>132</v>
      </c>
      <c r="H147" s="1" t="s">
        <v>88</v>
      </c>
      <c r="I147" s="1" t="s">
        <v>36</v>
      </c>
      <c r="J147" s="2">
        <v>45717</v>
      </c>
      <c r="K147" s="2">
        <v>45870</v>
      </c>
      <c r="L147" s="1">
        <v>5</v>
      </c>
      <c r="M147" s="1" t="s">
        <v>48</v>
      </c>
      <c r="N147" s="1" t="s">
        <v>28</v>
      </c>
      <c r="O147" s="4">
        <v>24142.71</v>
      </c>
      <c r="P147" s="1">
        <v>4</v>
      </c>
      <c r="Q147" s="10" t="s">
        <v>40</v>
      </c>
      <c r="R147" s="14" t="str" cm="1">
        <f t="array" ref="R147">_xlfn.IFS(C147&lt;18,"Under 18",C147&lt;36,"18-35",C147&lt;51,"36-50",C147&lt;66,"51-65",C147&gt;=66,"66+")</f>
        <v>66+</v>
      </c>
      <c r="S147" s="18">
        <v>45717</v>
      </c>
    </row>
    <row r="148" spans="1:19">
      <c r="A148" s="21" t="s">
        <v>465</v>
      </c>
      <c r="B148" s="1" t="s">
        <v>453</v>
      </c>
      <c r="C148" s="1">
        <v>29</v>
      </c>
      <c r="D148" s="1" t="s">
        <v>27</v>
      </c>
      <c r="E148" s="1" t="s">
        <v>247</v>
      </c>
      <c r="F148" s="1" t="s">
        <v>75</v>
      </c>
      <c r="G148" s="1" t="s">
        <v>104</v>
      </c>
      <c r="H148" s="1" t="s">
        <v>88</v>
      </c>
      <c r="I148" s="1" t="s">
        <v>62</v>
      </c>
      <c r="J148" s="2">
        <v>45823</v>
      </c>
      <c r="K148" s="2">
        <v>45828</v>
      </c>
      <c r="L148" s="1">
        <v>5</v>
      </c>
      <c r="M148" s="1" t="s">
        <v>48</v>
      </c>
      <c r="N148" s="1" t="s">
        <v>82</v>
      </c>
      <c r="O148" s="4">
        <v>40552.79</v>
      </c>
      <c r="P148" s="1">
        <v>5</v>
      </c>
      <c r="Q148" s="10" t="s">
        <v>58</v>
      </c>
      <c r="R148" s="14" t="str" cm="1">
        <f t="array" ref="R148">_xlfn.IFS(C148&lt;18,"Under 18",C148&lt;36,"18-35",C148&lt;51,"36-50",C148&lt;66,"51-65",C148&gt;=66,"66+")</f>
        <v>18-35</v>
      </c>
      <c r="S148" s="18">
        <v>45809</v>
      </c>
    </row>
    <row r="149" spans="1:19">
      <c r="A149" s="21" t="s">
        <v>468</v>
      </c>
      <c r="B149" s="1" t="s">
        <v>295</v>
      </c>
      <c r="C149" s="1">
        <v>11</v>
      </c>
      <c r="D149" s="1" t="s">
        <v>19</v>
      </c>
      <c r="E149" s="1" t="s">
        <v>247</v>
      </c>
      <c r="F149" s="1" t="s">
        <v>75</v>
      </c>
      <c r="G149" s="1" t="s">
        <v>132</v>
      </c>
      <c r="H149" s="1" t="s">
        <v>23</v>
      </c>
      <c r="I149" s="1" t="s">
        <v>62</v>
      </c>
      <c r="J149" s="2">
        <v>45437</v>
      </c>
      <c r="K149" s="2">
        <v>45439</v>
      </c>
      <c r="L149" s="1">
        <v>2</v>
      </c>
      <c r="M149" s="1" t="s">
        <v>48</v>
      </c>
      <c r="N149" s="1" t="s">
        <v>39</v>
      </c>
      <c r="O149" s="4">
        <v>47253.599999999999</v>
      </c>
      <c r="P149" s="1">
        <v>4</v>
      </c>
      <c r="Q149" s="10" t="s">
        <v>72</v>
      </c>
      <c r="R149" s="14" t="str" cm="1">
        <f t="array" ref="R149">_xlfn.IFS(C149&lt;18,"Under 18",C149&lt;36,"18-35",C149&lt;51,"36-50",C149&lt;66,"51-65",C149&gt;=66,"66+")</f>
        <v>Under 18</v>
      </c>
      <c r="S149" s="18">
        <v>45413</v>
      </c>
    </row>
    <row r="150" spans="1:19">
      <c r="A150" s="21" t="s">
        <v>470</v>
      </c>
      <c r="B150" s="1" t="s">
        <v>226</v>
      </c>
      <c r="C150" s="1">
        <v>3</v>
      </c>
      <c r="D150" s="1" t="s">
        <v>43</v>
      </c>
      <c r="E150" s="1" t="s">
        <v>159</v>
      </c>
      <c r="F150" s="1" t="s">
        <v>21</v>
      </c>
      <c r="G150" s="1" t="s">
        <v>132</v>
      </c>
      <c r="H150" s="1" t="s">
        <v>23</v>
      </c>
      <c r="I150" s="1" t="s">
        <v>62</v>
      </c>
      <c r="J150" s="2">
        <v>45955</v>
      </c>
      <c r="K150" s="2">
        <v>45961</v>
      </c>
      <c r="L150" s="1">
        <v>6</v>
      </c>
      <c r="M150" s="1" t="s">
        <v>56</v>
      </c>
      <c r="N150" s="1" t="s">
        <v>85</v>
      </c>
      <c r="O150" s="4">
        <v>24735.09</v>
      </c>
      <c r="P150" s="1">
        <v>3</v>
      </c>
      <c r="Q150" s="10" t="s">
        <v>58</v>
      </c>
      <c r="R150" s="14" t="str" cm="1">
        <f t="array" ref="R150">_xlfn.IFS(C150&lt;18,"Under 18",C150&lt;36,"18-35",C150&lt;51,"36-50",C150&lt;66,"51-65",C150&gt;=66,"66+")</f>
        <v>Under 18</v>
      </c>
      <c r="S150" s="18">
        <v>45931</v>
      </c>
    </row>
    <row r="151" spans="1:19">
      <c r="A151" s="21" t="s">
        <v>472</v>
      </c>
      <c r="B151" s="1" t="s">
        <v>291</v>
      </c>
      <c r="C151" s="1">
        <v>51</v>
      </c>
      <c r="D151" s="1" t="s">
        <v>19</v>
      </c>
      <c r="E151" s="1" t="s">
        <v>51</v>
      </c>
      <c r="F151" s="1" t="s">
        <v>21</v>
      </c>
      <c r="G151" s="1" t="s">
        <v>34</v>
      </c>
      <c r="H151" s="1" t="s">
        <v>61</v>
      </c>
      <c r="I151" s="1" t="s">
        <v>62</v>
      </c>
      <c r="J151" s="2">
        <v>45920</v>
      </c>
      <c r="K151" s="2">
        <v>45923</v>
      </c>
      <c r="L151" s="1">
        <v>3</v>
      </c>
      <c r="M151" s="1" t="s">
        <v>38</v>
      </c>
      <c r="N151" s="1" t="s">
        <v>85</v>
      </c>
      <c r="O151" s="4">
        <v>50723.31</v>
      </c>
      <c r="P151" s="1">
        <v>5</v>
      </c>
      <c r="Q151" s="10" t="s">
        <v>58</v>
      </c>
      <c r="R151" s="14" t="str" cm="1">
        <f t="array" ref="R151">_xlfn.IFS(C151&lt;18,"Under 18",C151&lt;36,"18-35",C151&lt;51,"36-50",C151&lt;66,"51-65",C151&gt;=66,"66+")</f>
        <v>51-65</v>
      </c>
      <c r="S151" s="18">
        <v>45901</v>
      </c>
    </row>
    <row r="152" spans="1:19">
      <c r="A152" s="21" t="s">
        <v>474</v>
      </c>
      <c r="B152" s="1" t="s">
        <v>475</v>
      </c>
      <c r="C152" s="1">
        <v>15</v>
      </c>
      <c r="D152" s="1" t="s">
        <v>43</v>
      </c>
      <c r="E152" s="1" t="s">
        <v>44</v>
      </c>
      <c r="F152" s="1" t="s">
        <v>21</v>
      </c>
      <c r="G152" s="1" t="s">
        <v>36</v>
      </c>
      <c r="H152" s="1" t="s">
        <v>69</v>
      </c>
      <c r="I152" s="1" t="s">
        <v>24</v>
      </c>
      <c r="J152" s="2">
        <v>45978</v>
      </c>
      <c r="K152" s="2">
        <v>45982</v>
      </c>
      <c r="L152" s="1">
        <v>4</v>
      </c>
      <c r="M152" s="1" t="s">
        <v>38</v>
      </c>
      <c r="N152" s="1" t="s">
        <v>90</v>
      </c>
      <c r="O152" s="4">
        <v>40655.71</v>
      </c>
      <c r="P152" s="1">
        <v>2</v>
      </c>
      <c r="Q152" s="10" t="s">
        <v>72</v>
      </c>
      <c r="R152" s="14" t="str" cm="1">
        <f t="array" ref="R152">_xlfn.IFS(C152&lt;18,"Under 18",C152&lt;36,"18-35",C152&lt;51,"36-50",C152&lt;66,"51-65",C152&gt;=66,"66+")</f>
        <v>Under 18</v>
      </c>
      <c r="S152" s="18">
        <v>45962</v>
      </c>
    </row>
    <row r="153" spans="1:19">
      <c r="A153" s="21" t="s">
        <v>477</v>
      </c>
      <c r="B153" s="1" t="s">
        <v>412</v>
      </c>
      <c r="C153" s="1">
        <v>87</v>
      </c>
      <c r="D153" s="1" t="s">
        <v>19</v>
      </c>
      <c r="E153" s="1" t="s">
        <v>66</v>
      </c>
      <c r="F153" s="1" t="s">
        <v>33</v>
      </c>
      <c r="G153" s="1" t="s">
        <v>53</v>
      </c>
      <c r="H153" s="1" t="s">
        <v>35</v>
      </c>
      <c r="I153" s="1" t="s">
        <v>24</v>
      </c>
      <c r="J153" s="2">
        <v>45612</v>
      </c>
      <c r="K153" s="2">
        <v>45614</v>
      </c>
      <c r="L153" s="1">
        <v>2</v>
      </c>
      <c r="M153" s="1" t="s">
        <v>27</v>
      </c>
      <c r="N153" s="1" t="s">
        <v>63</v>
      </c>
      <c r="O153" s="4">
        <v>77701.84</v>
      </c>
      <c r="P153" s="1">
        <v>3</v>
      </c>
      <c r="Q153" s="10" t="s">
        <v>29</v>
      </c>
      <c r="R153" s="14" t="str" cm="1">
        <f t="array" ref="R153">_xlfn.IFS(C153&lt;18,"Under 18",C153&lt;36,"18-35",C153&lt;51,"36-50",C153&lt;66,"51-65",C153&gt;=66,"66+")</f>
        <v>66+</v>
      </c>
      <c r="S153" s="18">
        <v>45597</v>
      </c>
    </row>
    <row r="154" spans="1:19">
      <c r="A154" s="21" t="s">
        <v>480</v>
      </c>
      <c r="B154" s="1" t="s">
        <v>361</v>
      </c>
      <c r="C154" s="1">
        <v>72</v>
      </c>
      <c r="D154" s="1" t="s">
        <v>19</v>
      </c>
      <c r="E154" s="1" t="s">
        <v>66</v>
      </c>
      <c r="F154" s="1" t="s">
        <v>21</v>
      </c>
      <c r="G154" s="1" t="s">
        <v>104</v>
      </c>
      <c r="H154" s="1" t="s">
        <v>69</v>
      </c>
      <c r="I154" s="1" t="s">
        <v>62</v>
      </c>
      <c r="J154" s="2">
        <v>45793</v>
      </c>
      <c r="K154" s="2">
        <v>45794</v>
      </c>
      <c r="L154" s="1">
        <v>1</v>
      </c>
      <c r="M154" s="1" t="s">
        <v>27</v>
      </c>
      <c r="N154" s="1" t="s">
        <v>90</v>
      </c>
      <c r="O154" s="4">
        <v>15913.62</v>
      </c>
      <c r="P154" s="1">
        <v>4</v>
      </c>
      <c r="Q154" s="10" t="s">
        <v>58</v>
      </c>
      <c r="R154" s="14" t="str" cm="1">
        <f t="array" ref="R154">_xlfn.IFS(C154&lt;18,"Under 18",C154&lt;36,"18-35",C154&lt;51,"36-50",C154&lt;66,"51-65",C154&gt;=66,"66+")</f>
        <v>66+</v>
      </c>
      <c r="S154" s="18">
        <v>45778</v>
      </c>
    </row>
    <row r="155" spans="1:19">
      <c r="A155" s="21" t="s">
        <v>483</v>
      </c>
      <c r="B155" s="1" t="s">
        <v>242</v>
      </c>
      <c r="C155" s="1">
        <v>53</v>
      </c>
      <c r="D155" s="1" t="s">
        <v>27</v>
      </c>
      <c r="E155" s="1" t="s">
        <v>20</v>
      </c>
      <c r="F155" s="1" t="s">
        <v>67</v>
      </c>
      <c r="G155" s="1" t="s">
        <v>110</v>
      </c>
      <c r="H155" s="1" t="s">
        <v>45</v>
      </c>
      <c r="I155" s="1" t="s">
        <v>62</v>
      </c>
      <c r="J155" s="2">
        <v>45795</v>
      </c>
      <c r="K155" s="2">
        <v>45802</v>
      </c>
      <c r="L155" s="1">
        <v>7</v>
      </c>
      <c r="M155" s="1" t="s">
        <v>56</v>
      </c>
      <c r="N155" s="1" t="s">
        <v>39</v>
      </c>
      <c r="O155" s="4">
        <v>102088.66</v>
      </c>
      <c r="P155" s="1">
        <v>3</v>
      </c>
      <c r="Q155" s="10" t="s">
        <v>58</v>
      </c>
      <c r="R155" s="14" t="str" cm="1">
        <f t="array" ref="R155">_xlfn.IFS(C155&lt;18,"Under 18",C155&lt;36,"18-35",C155&lt;51,"36-50",C155&lt;66,"51-65",C155&gt;=66,"66+")</f>
        <v>51-65</v>
      </c>
      <c r="S155" s="18">
        <v>45778</v>
      </c>
    </row>
    <row r="156" spans="1:19">
      <c r="A156" s="21" t="s">
        <v>485</v>
      </c>
      <c r="B156" s="1" t="s">
        <v>486</v>
      </c>
      <c r="C156" s="1">
        <v>73</v>
      </c>
      <c r="D156" s="1" t="s">
        <v>27</v>
      </c>
      <c r="E156" s="1" t="s">
        <v>51</v>
      </c>
      <c r="F156" s="1" t="s">
        <v>21</v>
      </c>
      <c r="G156" s="1" t="s">
        <v>68</v>
      </c>
      <c r="H156" s="1" t="s">
        <v>23</v>
      </c>
      <c r="I156" s="1" t="s">
        <v>62</v>
      </c>
      <c r="J156" s="2">
        <v>45799</v>
      </c>
      <c r="K156" s="2">
        <v>45803</v>
      </c>
      <c r="L156" s="1">
        <v>4</v>
      </c>
      <c r="M156" s="1" t="s">
        <v>48</v>
      </c>
      <c r="N156" s="1" t="s">
        <v>63</v>
      </c>
      <c r="O156" s="4">
        <v>72099.64</v>
      </c>
      <c r="P156" s="1">
        <v>4</v>
      </c>
      <c r="Q156" s="10" t="s">
        <v>29</v>
      </c>
      <c r="R156" s="14" t="str" cm="1">
        <f t="array" ref="R156">_xlfn.IFS(C156&lt;18,"Under 18",C156&lt;36,"18-35",C156&lt;51,"36-50",C156&lt;66,"51-65",C156&gt;=66,"66+")</f>
        <v>66+</v>
      </c>
      <c r="S156" s="18">
        <v>45778</v>
      </c>
    </row>
    <row r="157" spans="1:19">
      <c r="A157" s="21" t="s">
        <v>489</v>
      </c>
      <c r="B157" s="1" t="s">
        <v>490</v>
      </c>
      <c r="C157" s="1">
        <v>39</v>
      </c>
      <c r="D157" s="1" t="s">
        <v>19</v>
      </c>
      <c r="E157" s="1" t="s">
        <v>44</v>
      </c>
      <c r="F157" s="1" t="s">
        <v>52</v>
      </c>
      <c r="G157" s="1" t="s">
        <v>104</v>
      </c>
      <c r="H157" s="1" t="s">
        <v>45</v>
      </c>
      <c r="I157" s="1" t="s">
        <v>62</v>
      </c>
      <c r="J157" s="2">
        <v>45781</v>
      </c>
      <c r="K157" s="2">
        <v>45873</v>
      </c>
      <c r="L157" s="1">
        <v>3</v>
      </c>
      <c r="M157" s="1" t="s">
        <v>56</v>
      </c>
      <c r="N157" s="1" t="s">
        <v>90</v>
      </c>
      <c r="O157" s="4">
        <v>68621.11</v>
      </c>
      <c r="P157" s="1">
        <v>3</v>
      </c>
      <c r="Q157" s="10" t="s">
        <v>29</v>
      </c>
      <c r="R157" s="14" t="str" cm="1">
        <f t="array" ref="R157">_xlfn.IFS(C157&lt;18,"Under 18",C157&lt;36,"18-35",C157&lt;51,"36-50",C157&lt;66,"51-65",C157&gt;=66,"66+")</f>
        <v>36-50</v>
      </c>
      <c r="S157" s="18">
        <v>45778</v>
      </c>
    </row>
    <row r="158" spans="1:19">
      <c r="A158" s="21" t="s">
        <v>491</v>
      </c>
      <c r="B158" s="1" t="s">
        <v>492</v>
      </c>
      <c r="C158" s="1">
        <v>27</v>
      </c>
      <c r="D158" s="1" t="s">
        <v>19</v>
      </c>
      <c r="E158" s="1" t="s">
        <v>66</v>
      </c>
      <c r="F158" s="1" t="s">
        <v>33</v>
      </c>
      <c r="G158" s="1" t="s">
        <v>110</v>
      </c>
      <c r="H158" s="1" t="s">
        <v>88</v>
      </c>
      <c r="I158" s="1" t="s">
        <v>36</v>
      </c>
      <c r="J158" s="2">
        <v>45294</v>
      </c>
      <c r="K158" s="2">
        <v>45385</v>
      </c>
      <c r="L158" s="1">
        <v>3</v>
      </c>
      <c r="M158" s="1" t="s">
        <v>38</v>
      </c>
      <c r="N158" s="1" t="s">
        <v>39</v>
      </c>
      <c r="O158" s="4">
        <v>122143.22</v>
      </c>
      <c r="P158" s="1">
        <v>4</v>
      </c>
      <c r="Q158" s="10" t="s">
        <v>29</v>
      </c>
      <c r="R158" s="14" t="str" cm="1">
        <f t="array" ref="R158">_xlfn.IFS(C158&lt;18,"Under 18",C158&lt;36,"18-35",C158&lt;51,"36-50",C158&lt;66,"51-65",C158&gt;=66,"66+")</f>
        <v>18-35</v>
      </c>
      <c r="S158" s="18">
        <v>45292</v>
      </c>
    </row>
    <row r="159" spans="1:19">
      <c r="A159" s="21" t="s">
        <v>493</v>
      </c>
      <c r="B159" s="1" t="s">
        <v>494</v>
      </c>
      <c r="C159" s="1">
        <v>90</v>
      </c>
      <c r="D159" s="1" t="s">
        <v>19</v>
      </c>
      <c r="E159" s="1" t="s">
        <v>159</v>
      </c>
      <c r="F159" s="1" t="s">
        <v>75</v>
      </c>
      <c r="G159" s="1" t="s">
        <v>36</v>
      </c>
      <c r="H159" s="1" t="s">
        <v>93</v>
      </c>
      <c r="I159" s="1" t="s">
        <v>24</v>
      </c>
      <c r="J159" s="2">
        <v>45635</v>
      </c>
      <c r="K159" s="2">
        <v>45554</v>
      </c>
      <c r="L159" s="1">
        <v>7</v>
      </c>
      <c r="M159" s="1" t="s">
        <v>48</v>
      </c>
      <c r="N159" s="1" t="s">
        <v>57</v>
      </c>
      <c r="O159" s="4">
        <v>22378.53</v>
      </c>
      <c r="P159" s="1">
        <v>4</v>
      </c>
      <c r="Q159" s="10" t="s">
        <v>40</v>
      </c>
      <c r="R159" s="14" t="str" cm="1">
        <f t="array" ref="R159">_xlfn.IFS(C159&lt;18,"Under 18",C159&lt;36,"18-35",C159&lt;51,"36-50",C159&lt;66,"51-65",C159&gt;=66,"66+")</f>
        <v>66+</v>
      </c>
      <c r="S159" s="18">
        <v>45627</v>
      </c>
    </row>
    <row r="160" spans="1:19">
      <c r="A160" s="21" t="s">
        <v>496</v>
      </c>
      <c r="B160" s="1" t="s">
        <v>172</v>
      </c>
      <c r="C160" s="1">
        <v>89</v>
      </c>
      <c r="D160" s="1" t="s">
        <v>43</v>
      </c>
      <c r="E160" s="1" t="s">
        <v>137</v>
      </c>
      <c r="F160" s="1" t="s">
        <v>21</v>
      </c>
      <c r="G160" s="1" t="s">
        <v>104</v>
      </c>
      <c r="H160" s="1" t="s">
        <v>88</v>
      </c>
      <c r="I160" s="1" t="s">
        <v>62</v>
      </c>
      <c r="J160" s="2">
        <v>45934</v>
      </c>
      <c r="K160" s="2">
        <v>45765</v>
      </c>
      <c r="L160" s="1">
        <v>8</v>
      </c>
      <c r="M160" s="1" t="s">
        <v>38</v>
      </c>
      <c r="N160" s="1" t="s">
        <v>82</v>
      </c>
      <c r="O160" s="4">
        <v>92572.19</v>
      </c>
      <c r="P160" s="1">
        <v>5</v>
      </c>
      <c r="Q160" s="10" t="s">
        <v>40</v>
      </c>
      <c r="R160" s="14" t="str" cm="1">
        <f t="array" ref="R160">_xlfn.IFS(C160&lt;18,"Under 18",C160&lt;36,"18-35",C160&lt;51,"36-50",C160&lt;66,"51-65",C160&gt;=66,"66+")</f>
        <v>66+</v>
      </c>
      <c r="S160" s="18">
        <v>45931</v>
      </c>
    </row>
    <row r="161" spans="1:19">
      <c r="A161" s="21" t="s">
        <v>497</v>
      </c>
      <c r="B161" s="1" t="s">
        <v>18</v>
      </c>
      <c r="C161" s="1">
        <v>44</v>
      </c>
      <c r="D161" s="1" t="s">
        <v>27</v>
      </c>
      <c r="E161" s="1" t="s">
        <v>66</v>
      </c>
      <c r="F161" s="1" t="s">
        <v>33</v>
      </c>
      <c r="G161" s="1" t="s">
        <v>53</v>
      </c>
      <c r="H161" s="1" t="s">
        <v>99</v>
      </c>
      <c r="I161" s="1" t="s">
        <v>62</v>
      </c>
      <c r="J161" s="2">
        <v>45883</v>
      </c>
      <c r="K161" s="2">
        <v>45888</v>
      </c>
      <c r="L161" s="1">
        <v>5</v>
      </c>
      <c r="M161" s="1" t="s">
        <v>48</v>
      </c>
      <c r="N161" s="1" t="s">
        <v>57</v>
      </c>
      <c r="O161" s="4">
        <v>27077.43</v>
      </c>
      <c r="P161" s="1">
        <v>5</v>
      </c>
      <c r="Q161" s="10" t="s">
        <v>29</v>
      </c>
      <c r="R161" s="14" t="str" cm="1">
        <f t="array" ref="R161">_xlfn.IFS(C161&lt;18,"Under 18",C161&lt;36,"18-35",C161&lt;51,"36-50",C161&lt;66,"51-65",C161&gt;=66,"66+")</f>
        <v>36-50</v>
      </c>
      <c r="S161" s="18">
        <v>45870</v>
      </c>
    </row>
    <row r="162" spans="1:19">
      <c r="A162" s="21" t="s">
        <v>498</v>
      </c>
      <c r="B162" s="1" t="s">
        <v>499</v>
      </c>
      <c r="C162" s="1">
        <v>89</v>
      </c>
      <c r="D162" s="1" t="s">
        <v>19</v>
      </c>
      <c r="E162" s="1" t="s">
        <v>202</v>
      </c>
      <c r="F162" s="1" t="s">
        <v>33</v>
      </c>
      <c r="G162" s="1" t="s">
        <v>68</v>
      </c>
      <c r="H162" s="1" t="s">
        <v>45</v>
      </c>
      <c r="I162" s="1" t="s">
        <v>24</v>
      </c>
      <c r="J162" s="2">
        <v>45957</v>
      </c>
      <c r="K162" s="2">
        <v>45958</v>
      </c>
      <c r="L162" s="1">
        <v>1</v>
      </c>
      <c r="M162" s="1" t="s">
        <v>38</v>
      </c>
      <c r="N162" s="1" t="s">
        <v>63</v>
      </c>
      <c r="O162" s="4">
        <v>59784.92</v>
      </c>
      <c r="P162" s="1">
        <v>3</v>
      </c>
      <c r="Q162" s="10" t="s">
        <v>29</v>
      </c>
      <c r="R162" s="14" t="str" cm="1">
        <f t="array" ref="R162">_xlfn.IFS(C162&lt;18,"Under 18",C162&lt;36,"18-35",C162&lt;51,"36-50",C162&lt;66,"51-65",C162&gt;=66,"66+")</f>
        <v>66+</v>
      </c>
      <c r="S162" s="18">
        <v>45931</v>
      </c>
    </row>
    <row r="163" spans="1:19">
      <c r="A163" s="21" t="s">
        <v>501</v>
      </c>
      <c r="B163" s="1" t="s">
        <v>502</v>
      </c>
      <c r="C163" s="1">
        <v>55</v>
      </c>
      <c r="D163" s="1" t="s">
        <v>27</v>
      </c>
      <c r="E163" s="1" t="s">
        <v>202</v>
      </c>
      <c r="F163" s="1" t="s">
        <v>52</v>
      </c>
      <c r="G163" s="1" t="s">
        <v>22</v>
      </c>
      <c r="H163" s="1" t="s">
        <v>35</v>
      </c>
      <c r="I163" s="1" t="s">
        <v>62</v>
      </c>
      <c r="J163" s="2">
        <v>45355</v>
      </c>
      <c r="K163" s="2">
        <v>45386</v>
      </c>
      <c r="L163" s="1">
        <v>1</v>
      </c>
      <c r="M163" s="1" t="s">
        <v>48</v>
      </c>
      <c r="N163" s="1" t="s">
        <v>39</v>
      </c>
      <c r="O163" s="4">
        <v>55338.6</v>
      </c>
      <c r="P163" s="1">
        <v>4</v>
      </c>
      <c r="Q163" s="10" t="s">
        <v>58</v>
      </c>
      <c r="R163" s="14" t="str" cm="1">
        <f t="array" ref="R163">_xlfn.IFS(C163&lt;18,"Under 18",C163&lt;36,"18-35",C163&lt;51,"36-50",C163&lt;66,"51-65",C163&gt;=66,"66+")</f>
        <v>51-65</v>
      </c>
      <c r="S163" s="18">
        <v>45352</v>
      </c>
    </row>
    <row r="164" spans="1:19">
      <c r="A164" s="21" t="s">
        <v>503</v>
      </c>
      <c r="B164" s="1" t="s">
        <v>280</v>
      </c>
      <c r="C164" s="1">
        <v>89</v>
      </c>
      <c r="D164" s="1" t="s">
        <v>19</v>
      </c>
      <c r="E164" s="1" t="s">
        <v>66</v>
      </c>
      <c r="F164" s="1" t="s">
        <v>52</v>
      </c>
      <c r="G164" s="1" t="s">
        <v>22</v>
      </c>
      <c r="H164" s="1" t="s">
        <v>45</v>
      </c>
      <c r="I164" s="1" t="s">
        <v>24</v>
      </c>
      <c r="J164" s="2">
        <v>45752</v>
      </c>
      <c r="K164" s="2">
        <v>45813</v>
      </c>
      <c r="L164" s="1">
        <v>2</v>
      </c>
      <c r="M164" s="1" t="s">
        <v>56</v>
      </c>
      <c r="N164" s="1" t="s">
        <v>28</v>
      </c>
      <c r="O164" s="4">
        <v>34874.660000000003</v>
      </c>
      <c r="P164" s="1">
        <v>5</v>
      </c>
      <c r="Q164" s="10" t="s">
        <v>72</v>
      </c>
      <c r="R164" s="14" t="str" cm="1">
        <f t="array" ref="R164">_xlfn.IFS(C164&lt;18,"Under 18",C164&lt;36,"18-35",C164&lt;51,"36-50",C164&lt;66,"51-65",C164&gt;=66,"66+")</f>
        <v>66+</v>
      </c>
      <c r="S164" s="18">
        <v>45748</v>
      </c>
    </row>
    <row r="165" spans="1:19">
      <c r="A165" s="21" t="s">
        <v>504</v>
      </c>
      <c r="B165" s="1" t="s">
        <v>354</v>
      </c>
      <c r="C165" s="1">
        <v>79</v>
      </c>
      <c r="D165" s="1" t="s">
        <v>27</v>
      </c>
      <c r="E165" s="1" t="s">
        <v>32</v>
      </c>
      <c r="F165" s="1" t="s">
        <v>67</v>
      </c>
      <c r="G165" s="1" t="s">
        <v>110</v>
      </c>
      <c r="H165" s="1" t="s">
        <v>76</v>
      </c>
      <c r="I165" s="1" t="s">
        <v>24</v>
      </c>
      <c r="J165" s="2">
        <v>45460</v>
      </c>
      <c r="K165" s="2">
        <v>45463</v>
      </c>
      <c r="L165" s="1">
        <v>3</v>
      </c>
      <c r="M165" s="1" t="s">
        <v>97</v>
      </c>
      <c r="N165" s="1" t="s">
        <v>82</v>
      </c>
      <c r="O165" s="4">
        <v>91052.02</v>
      </c>
      <c r="P165" s="1">
        <v>3</v>
      </c>
      <c r="Q165" s="10" t="s">
        <v>58</v>
      </c>
      <c r="R165" s="14" t="str" cm="1">
        <f t="array" ref="R165">_xlfn.IFS(C165&lt;18,"Under 18",C165&lt;36,"18-35",C165&lt;51,"36-50",C165&lt;66,"51-65",C165&gt;=66,"66+")</f>
        <v>66+</v>
      </c>
      <c r="S165" s="18">
        <v>45444</v>
      </c>
    </row>
    <row r="166" spans="1:19">
      <c r="A166" s="21" t="s">
        <v>506</v>
      </c>
      <c r="B166" s="1" t="s">
        <v>507</v>
      </c>
      <c r="C166" s="1">
        <v>41</v>
      </c>
      <c r="D166" s="1" t="s">
        <v>19</v>
      </c>
      <c r="E166" s="1" t="s">
        <v>51</v>
      </c>
      <c r="F166" s="1" t="s">
        <v>67</v>
      </c>
      <c r="G166" s="1" t="s">
        <v>68</v>
      </c>
      <c r="H166" s="1" t="s">
        <v>99</v>
      </c>
      <c r="I166" s="1" t="s">
        <v>24</v>
      </c>
      <c r="J166" s="2">
        <v>45574</v>
      </c>
      <c r="K166" s="2">
        <v>45551</v>
      </c>
      <c r="L166" s="1">
        <v>6</v>
      </c>
      <c r="M166" s="1" t="s">
        <v>56</v>
      </c>
      <c r="N166" s="1" t="s">
        <v>63</v>
      </c>
      <c r="O166" s="4">
        <v>73896.12</v>
      </c>
      <c r="P166" s="1">
        <v>4</v>
      </c>
      <c r="Q166" s="10" t="s">
        <v>58</v>
      </c>
      <c r="R166" s="14" t="str" cm="1">
        <f t="array" ref="R166">_xlfn.IFS(C166&lt;18,"Under 18",C166&lt;36,"18-35",C166&lt;51,"36-50",C166&lt;66,"51-65",C166&gt;=66,"66+")</f>
        <v>36-50</v>
      </c>
      <c r="S166" s="18">
        <v>45566</v>
      </c>
    </row>
    <row r="167" spans="1:19">
      <c r="A167" s="21" t="s">
        <v>509</v>
      </c>
      <c r="B167" s="1" t="s">
        <v>510</v>
      </c>
      <c r="C167" s="1">
        <v>38</v>
      </c>
      <c r="D167" s="1" t="s">
        <v>27</v>
      </c>
      <c r="E167" s="1" t="s">
        <v>247</v>
      </c>
      <c r="F167" s="1" t="s">
        <v>21</v>
      </c>
      <c r="G167" s="1" t="s">
        <v>104</v>
      </c>
      <c r="H167" s="1" t="s">
        <v>69</v>
      </c>
      <c r="I167" s="1" t="s">
        <v>62</v>
      </c>
      <c r="J167" s="2">
        <v>45347</v>
      </c>
      <c r="K167" s="2">
        <v>45351</v>
      </c>
      <c r="L167" s="1">
        <v>4</v>
      </c>
      <c r="M167" s="1" t="s">
        <v>27</v>
      </c>
      <c r="N167" s="1" t="s">
        <v>57</v>
      </c>
      <c r="O167" s="4">
        <v>17183.88</v>
      </c>
      <c r="P167" s="1">
        <v>5</v>
      </c>
      <c r="Q167" s="10" t="s">
        <v>40</v>
      </c>
      <c r="R167" s="14" t="str" cm="1">
        <f t="array" ref="R167">_xlfn.IFS(C167&lt;18,"Under 18",C167&lt;36,"18-35",C167&lt;51,"36-50",C167&lt;66,"51-65",C167&gt;=66,"66+")</f>
        <v>36-50</v>
      </c>
      <c r="S167" s="18">
        <v>45323</v>
      </c>
    </row>
    <row r="168" spans="1:19">
      <c r="A168" s="21" t="s">
        <v>511</v>
      </c>
      <c r="B168" s="1" t="s">
        <v>494</v>
      </c>
      <c r="C168" s="1">
        <v>70</v>
      </c>
      <c r="D168" s="1" t="s">
        <v>27</v>
      </c>
      <c r="E168" s="1" t="s">
        <v>137</v>
      </c>
      <c r="F168" s="1" t="s">
        <v>75</v>
      </c>
      <c r="G168" s="1" t="s">
        <v>34</v>
      </c>
      <c r="H168" s="1" t="s">
        <v>76</v>
      </c>
      <c r="I168" s="1" t="s">
        <v>24</v>
      </c>
      <c r="J168" s="2">
        <v>45468</v>
      </c>
      <c r="K168" s="2">
        <v>45470</v>
      </c>
      <c r="L168" s="1">
        <v>2</v>
      </c>
      <c r="M168" s="1" t="s">
        <v>27</v>
      </c>
      <c r="N168" s="1" t="s">
        <v>90</v>
      </c>
      <c r="O168" s="4">
        <v>86489.2</v>
      </c>
      <c r="P168" s="1">
        <v>4</v>
      </c>
      <c r="Q168" s="10" t="s">
        <v>29</v>
      </c>
      <c r="R168" s="14" t="str" cm="1">
        <f t="array" ref="R168">_xlfn.IFS(C168&lt;18,"Under 18",C168&lt;36,"18-35",C168&lt;51,"36-50",C168&lt;66,"51-65",C168&gt;=66,"66+")</f>
        <v>66+</v>
      </c>
      <c r="S168" s="18">
        <v>45444</v>
      </c>
    </row>
    <row r="169" spans="1:19">
      <c r="A169" s="21" t="s">
        <v>514</v>
      </c>
      <c r="B169" s="1" t="s">
        <v>515</v>
      </c>
      <c r="C169" s="1">
        <v>36</v>
      </c>
      <c r="D169" s="1" t="s">
        <v>19</v>
      </c>
      <c r="E169" s="1" t="s">
        <v>137</v>
      </c>
      <c r="F169" s="1" t="s">
        <v>52</v>
      </c>
      <c r="G169" s="1" t="s">
        <v>110</v>
      </c>
      <c r="H169" s="1" t="s">
        <v>23</v>
      </c>
      <c r="I169" s="1" t="s">
        <v>36</v>
      </c>
      <c r="J169" s="2">
        <v>45609</v>
      </c>
      <c r="K169" s="2">
        <v>45613</v>
      </c>
      <c r="L169" s="1">
        <v>4</v>
      </c>
      <c r="M169" s="1" t="s">
        <v>48</v>
      </c>
      <c r="N169" s="1" t="s">
        <v>85</v>
      </c>
      <c r="O169" s="4">
        <v>61946.18</v>
      </c>
      <c r="P169" s="1">
        <v>5</v>
      </c>
      <c r="Q169" s="10" t="s">
        <v>72</v>
      </c>
      <c r="R169" s="14" t="str" cm="1">
        <f t="array" ref="R169">_xlfn.IFS(C169&lt;18,"Under 18",C169&lt;36,"18-35",C169&lt;51,"36-50",C169&lt;66,"51-65",C169&gt;=66,"66+")</f>
        <v>36-50</v>
      </c>
      <c r="S169" s="18">
        <v>45597</v>
      </c>
    </row>
    <row r="170" spans="1:19">
      <c r="A170" s="21" t="s">
        <v>518</v>
      </c>
      <c r="B170" s="1" t="s">
        <v>519</v>
      </c>
      <c r="C170" s="1">
        <v>56</v>
      </c>
      <c r="D170" s="1" t="s">
        <v>19</v>
      </c>
      <c r="E170" s="1" t="s">
        <v>51</v>
      </c>
      <c r="F170" s="1" t="s">
        <v>67</v>
      </c>
      <c r="G170" s="1" t="s">
        <v>110</v>
      </c>
      <c r="H170" s="1" t="s">
        <v>45</v>
      </c>
      <c r="I170" s="1" t="s">
        <v>24</v>
      </c>
      <c r="J170" s="2">
        <v>45904</v>
      </c>
      <c r="K170" s="2">
        <v>45761</v>
      </c>
      <c r="L170" s="1">
        <v>5</v>
      </c>
      <c r="M170" s="1" t="s">
        <v>38</v>
      </c>
      <c r="N170" s="1" t="s">
        <v>85</v>
      </c>
      <c r="O170" s="4">
        <v>17105.509999999998</v>
      </c>
      <c r="P170" s="1">
        <v>1</v>
      </c>
      <c r="Q170" s="10" t="s">
        <v>40</v>
      </c>
      <c r="R170" s="14" t="str" cm="1">
        <f t="array" ref="R170">_xlfn.IFS(C170&lt;18,"Under 18",C170&lt;36,"18-35",C170&lt;51,"36-50",C170&lt;66,"51-65",C170&gt;=66,"66+")</f>
        <v>51-65</v>
      </c>
      <c r="S170" s="18">
        <v>45901</v>
      </c>
    </row>
    <row r="171" spans="1:19">
      <c r="A171" s="21" t="s">
        <v>520</v>
      </c>
      <c r="B171" s="1" t="s">
        <v>521</v>
      </c>
      <c r="C171" s="1">
        <v>17</v>
      </c>
      <c r="D171" s="1" t="s">
        <v>27</v>
      </c>
      <c r="E171" s="1" t="s">
        <v>159</v>
      </c>
      <c r="F171" s="1" t="s">
        <v>33</v>
      </c>
      <c r="G171" s="1" t="s">
        <v>34</v>
      </c>
      <c r="H171" s="1" t="s">
        <v>88</v>
      </c>
      <c r="I171" s="1" t="s">
        <v>24</v>
      </c>
      <c r="J171" s="2">
        <v>45332</v>
      </c>
      <c r="K171" s="2">
        <v>45580</v>
      </c>
      <c r="L171" s="1">
        <v>13</v>
      </c>
      <c r="M171" s="1" t="s">
        <v>38</v>
      </c>
      <c r="N171" s="1" t="s">
        <v>28</v>
      </c>
      <c r="O171" s="4">
        <v>128077.94</v>
      </c>
      <c r="P171" s="1">
        <v>2</v>
      </c>
      <c r="Q171" s="10" t="s">
        <v>58</v>
      </c>
      <c r="R171" s="14" t="str" cm="1">
        <f t="array" ref="R171">_xlfn.IFS(C171&lt;18,"Under 18",C171&lt;36,"18-35",C171&lt;51,"36-50",C171&lt;66,"51-65",C171&gt;=66,"66+")</f>
        <v>Under 18</v>
      </c>
      <c r="S171" s="18">
        <v>45323</v>
      </c>
    </row>
    <row r="172" spans="1:19">
      <c r="A172" s="21" t="s">
        <v>523</v>
      </c>
      <c r="B172" s="1" t="s">
        <v>524</v>
      </c>
      <c r="C172" s="1">
        <v>73</v>
      </c>
      <c r="D172" s="1" t="s">
        <v>19</v>
      </c>
      <c r="E172" s="1" t="s">
        <v>202</v>
      </c>
      <c r="F172" s="1" t="s">
        <v>33</v>
      </c>
      <c r="G172" s="1" t="s">
        <v>22</v>
      </c>
      <c r="H172" s="1" t="s">
        <v>61</v>
      </c>
      <c r="I172" s="1" t="s">
        <v>62</v>
      </c>
      <c r="J172" s="2">
        <v>45962</v>
      </c>
      <c r="K172" s="2">
        <v>45670</v>
      </c>
      <c r="L172" s="1">
        <v>2</v>
      </c>
      <c r="M172" s="1" t="s">
        <v>97</v>
      </c>
      <c r="N172" s="1" t="s">
        <v>85</v>
      </c>
      <c r="O172" s="4">
        <v>66076.94</v>
      </c>
      <c r="P172" s="1">
        <v>1</v>
      </c>
      <c r="Q172" s="10" t="s">
        <v>29</v>
      </c>
      <c r="R172" s="14" t="str" cm="1">
        <f t="array" ref="R172">_xlfn.IFS(C172&lt;18,"Under 18",C172&lt;36,"18-35",C172&lt;51,"36-50",C172&lt;66,"51-65",C172&gt;=66,"66+")</f>
        <v>66+</v>
      </c>
      <c r="S172" s="18">
        <v>45962</v>
      </c>
    </row>
    <row r="173" spans="1:19">
      <c r="A173" s="21" t="s">
        <v>526</v>
      </c>
      <c r="B173" s="1" t="s">
        <v>527</v>
      </c>
      <c r="C173" s="1">
        <v>5</v>
      </c>
      <c r="D173" s="1" t="s">
        <v>27</v>
      </c>
      <c r="E173" s="1" t="s">
        <v>20</v>
      </c>
      <c r="F173" s="1" t="s">
        <v>67</v>
      </c>
      <c r="G173" s="1" t="s">
        <v>53</v>
      </c>
      <c r="H173" s="1" t="s">
        <v>105</v>
      </c>
      <c r="I173" s="1" t="s">
        <v>36</v>
      </c>
      <c r="J173" s="2">
        <v>45699</v>
      </c>
      <c r="K173" s="2">
        <v>45758</v>
      </c>
      <c r="L173" s="1">
        <v>2</v>
      </c>
      <c r="M173" s="1" t="s">
        <v>97</v>
      </c>
      <c r="N173" s="1" t="s">
        <v>28</v>
      </c>
      <c r="O173" s="4">
        <v>123946.04</v>
      </c>
      <c r="P173" s="1">
        <v>2</v>
      </c>
      <c r="Q173" s="10" t="s">
        <v>58</v>
      </c>
      <c r="R173" s="14" t="str" cm="1">
        <f t="array" ref="R173">_xlfn.IFS(C173&lt;18,"Under 18",C173&lt;36,"18-35",C173&lt;51,"36-50",C173&lt;66,"51-65",C173&gt;=66,"66+")</f>
        <v>Under 18</v>
      </c>
      <c r="S173" s="18">
        <v>45689</v>
      </c>
    </row>
    <row r="174" spans="1:19">
      <c r="A174" s="21" t="s">
        <v>528</v>
      </c>
      <c r="B174" s="1" t="s">
        <v>529</v>
      </c>
      <c r="C174" s="1">
        <v>37</v>
      </c>
      <c r="D174" s="1" t="s">
        <v>43</v>
      </c>
      <c r="E174" s="1" t="s">
        <v>159</v>
      </c>
      <c r="F174" s="1" t="s">
        <v>120</v>
      </c>
      <c r="G174" s="1" t="s">
        <v>132</v>
      </c>
      <c r="H174" s="1" t="s">
        <v>105</v>
      </c>
      <c r="I174" s="1" t="s">
        <v>24</v>
      </c>
      <c r="J174" s="2">
        <v>45303</v>
      </c>
      <c r="K174" s="2">
        <v>45424</v>
      </c>
      <c r="L174" s="1">
        <v>4</v>
      </c>
      <c r="M174" s="1" t="s">
        <v>97</v>
      </c>
      <c r="N174" s="1" t="s">
        <v>39</v>
      </c>
      <c r="O174" s="4">
        <v>53157.89</v>
      </c>
      <c r="P174" s="1">
        <v>3</v>
      </c>
      <c r="Q174" s="10" t="s">
        <v>29</v>
      </c>
      <c r="R174" s="14" t="str" cm="1">
        <f t="array" ref="R174">_xlfn.IFS(C174&lt;18,"Under 18",C174&lt;36,"18-35",C174&lt;51,"36-50",C174&lt;66,"51-65",C174&gt;=66,"66+")</f>
        <v>36-50</v>
      </c>
      <c r="S174" s="18">
        <v>45292</v>
      </c>
    </row>
    <row r="175" spans="1:19">
      <c r="A175" s="21" t="s">
        <v>530</v>
      </c>
      <c r="B175" s="1" t="s">
        <v>403</v>
      </c>
      <c r="C175" s="1">
        <v>70</v>
      </c>
      <c r="D175" s="1" t="s">
        <v>19</v>
      </c>
      <c r="E175" s="1" t="s">
        <v>20</v>
      </c>
      <c r="F175" s="1" t="s">
        <v>67</v>
      </c>
      <c r="G175" s="1" t="s">
        <v>34</v>
      </c>
      <c r="H175" s="1" t="s">
        <v>88</v>
      </c>
      <c r="I175" s="1" t="s">
        <v>36</v>
      </c>
      <c r="J175" s="2">
        <v>45357</v>
      </c>
      <c r="K175" s="2">
        <v>45479</v>
      </c>
      <c r="L175" s="1">
        <v>4</v>
      </c>
      <c r="M175" s="1" t="s">
        <v>97</v>
      </c>
      <c r="N175" s="1" t="s">
        <v>57</v>
      </c>
      <c r="O175" s="4">
        <v>21690.09</v>
      </c>
      <c r="P175" s="1">
        <v>5</v>
      </c>
      <c r="Q175" s="10" t="s">
        <v>72</v>
      </c>
      <c r="R175" s="14" t="str" cm="1">
        <f t="array" ref="R175">_xlfn.IFS(C175&lt;18,"Under 18",C175&lt;36,"18-35",C175&lt;51,"36-50",C175&lt;66,"51-65",C175&gt;=66,"66+")</f>
        <v>66+</v>
      </c>
      <c r="S175" s="18">
        <v>45352</v>
      </c>
    </row>
    <row r="176" spans="1:19">
      <c r="A176" s="21" t="s">
        <v>531</v>
      </c>
      <c r="B176" s="1" t="s">
        <v>521</v>
      </c>
      <c r="C176" s="1">
        <v>19</v>
      </c>
      <c r="D176" s="1" t="s">
        <v>27</v>
      </c>
      <c r="E176" s="1" t="s">
        <v>51</v>
      </c>
      <c r="F176" s="1" t="s">
        <v>21</v>
      </c>
      <c r="G176" s="1" t="s">
        <v>36</v>
      </c>
      <c r="H176" s="1" t="s">
        <v>88</v>
      </c>
      <c r="I176" s="1" t="s">
        <v>24</v>
      </c>
      <c r="J176" s="2">
        <v>45578</v>
      </c>
      <c r="K176" s="2">
        <v>45579</v>
      </c>
      <c r="L176" s="1">
        <v>1</v>
      </c>
      <c r="M176" s="1" t="s">
        <v>97</v>
      </c>
      <c r="N176" s="1" t="s">
        <v>28</v>
      </c>
      <c r="O176" s="4">
        <v>45467.44</v>
      </c>
      <c r="P176" s="1">
        <v>5</v>
      </c>
      <c r="Q176" s="10" t="s">
        <v>72</v>
      </c>
      <c r="R176" s="14" t="str" cm="1">
        <f t="array" ref="R176">_xlfn.IFS(C176&lt;18,"Under 18",C176&lt;36,"18-35",C176&lt;51,"36-50",C176&lt;66,"51-65",C176&gt;=66,"66+")</f>
        <v>18-35</v>
      </c>
      <c r="S176" s="18">
        <v>45566</v>
      </c>
    </row>
    <row r="177" spans="1:19">
      <c r="A177" s="21" t="s">
        <v>533</v>
      </c>
      <c r="B177" s="1" t="s">
        <v>60</v>
      </c>
      <c r="C177" s="1">
        <v>56</v>
      </c>
      <c r="D177" s="1" t="s">
        <v>27</v>
      </c>
      <c r="E177" s="1" t="s">
        <v>66</v>
      </c>
      <c r="F177" s="1" t="s">
        <v>67</v>
      </c>
      <c r="G177" s="1" t="s">
        <v>36</v>
      </c>
      <c r="H177" s="1" t="s">
        <v>88</v>
      </c>
      <c r="I177" s="1" t="s">
        <v>36</v>
      </c>
      <c r="J177" s="2">
        <v>45425</v>
      </c>
      <c r="K177" s="2">
        <v>45427</v>
      </c>
      <c r="L177" s="1">
        <v>2</v>
      </c>
      <c r="M177" s="1" t="s">
        <v>56</v>
      </c>
      <c r="N177" s="1" t="s">
        <v>28</v>
      </c>
      <c r="O177" s="4">
        <v>35218.21</v>
      </c>
      <c r="P177" s="1">
        <v>3</v>
      </c>
      <c r="Q177" s="10" t="s">
        <v>29</v>
      </c>
      <c r="R177" s="14" t="str" cm="1">
        <f t="array" ref="R177">_xlfn.IFS(C177&lt;18,"Under 18",C177&lt;36,"18-35",C177&lt;51,"36-50",C177&lt;66,"51-65",C177&gt;=66,"66+")</f>
        <v>51-65</v>
      </c>
      <c r="S177" s="18">
        <v>45413</v>
      </c>
    </row>
    <row r="178" spans="1:19">
      <c r="A178" s="21" t="s">
        <v>536</v>
      </c>
      <c r="B178" s="1" t="s">
        <v>264</v>
      </c>
      <c r="C178" s="1">
        <v>58</v>
      </c>
      <c r="D178" s="1" t="s">
        <v>43</v>
      </c>
      <c r="E178" s="1" t="s">
        <v>66</v>
      </c>
      <c r="F178" s="1" t="s">
        <v>52</v>
      </c>
      <c r="G178" s="1" t="s">
        <v>132</v>
      </c>
      <c r="H178" s="1" t="s">
        <v>93</v>
      </c>
      <c r="I178" s="1" t="s">
        <v>62</v>
      </c>
      <c r="J178" s="2">
        <v>45613</v>
      </c>
      <c r="K178" s="2">
        <v>45614</v>
      </c>
      <c r="L178" s="1">
        <v>1</v>
      </c>
      <c r="M178" s="1" t="s">
        <v>27</v>
      </c>
      <c r="N178" s="1" t="s">
        <v>28</v>
      </c>
      <c r="O178" s="4">
        <v>34506.46</v>
      </c>
      <c r="P178" s="1">
        <v>3</v>
      </c>
      <c r="Q178" s="10" t="s">
        <v>29</v>
      </c>
      <c r="R178" s="14" t="str" cm="1">
        <f t="array" ref="R178">_xlfn.IFS(C178&lt;18,"Under 18",C178&lt;36,"18-35",C178&lt;51,"36-50",C178&lt;66,"51-65",C178&gt;=66,"66+")</f>
        <v>51-65</v>
      </c>
      <c r="S178" s="18">
        <v>45597</v>
      </c>
    </row>
    <row r="179" spans="1:19">
      <c r="A179" s="21" t="s">
        <v>537</v>
      </c>
      <c r="B179" s="1" t="s">
        <v>538</v>
      </c>
      <c r="C179" s="1">
        <v>42</v>
      </c>
      <c r="D179" s="1" t="s">
        <v>19</v>
      </c>
      <c r="E179" s="1" t="s">
        <v>51</v>
      </c>
      <c r="F179" s="1" t="s">
        <v>52</v>
      </c>
      <c r="G179" s="1" t="s">
        <v>34</v>
      </c>
      <c r="H179" s="1" t="s">
        <v>105</v>
      </c>
      <c r="I179" s="1" t="s">
        <v>24</v>
      </c>
      <c r="J179" s="2">
        <v>45355</v>
      </c>
      <c r="K179" s="2">
        <v>45416</v>
      </c>
      <c r="L179" s="1">
        <v>2</v>
      </c>
      <c r="M179" s="1" t="s">
        <v>56</v>
      </c>
      <c r="N179" s="1" t="s">
        <v>28</v>
      </c>
      <c r="O179" s="4">
        <v>64823.51</v>
      </c>
      <c r="P179" s="1">
        <v>1</v>
      </c>
      <c r="Q179" s="10" t="s">
        <v>58</v>
      </c>
      <c r="R179" s="14" t="str" cm="1">
        <f t="array" ref="R179">_xlfn.IFS(C179&lt;18,"Under 18",C179&lt;36,"18-35",C179&lt;51,"36-50",C179&lt;66,"51-65",C179&gt;=66,"66+")</f>
        <v>36-50</v>
      </c>
      <c r="S179" s="18">
        <v>45352</v>
      </c>
    </row>
    <row r="180" spans="1:19">
      <c r="A180" s="21" t="s">
        <v>539</v>
      </c>
      <c r="B180" s="1" t="s">
        <v>515</v>
      </c>
      <c r="C180" s="1">
        <v>14</v>
      </c>
      <c r="D180" s="1" t="s">
        <v>19</v>
      </c>
      <c r="E180" s="1" t="s">
        <v>32</v>
      </c>
      <c r="F180" s="1" t="s">
        <v>75</v>
      </c>
      <c r="G180" s="1" t="s">
        <v>132</v>
      </c>
      <c r="H180" s="1" t="s">
        <v>35</v>
      </c>
      <c r="I180" s="1" t="s">
        <v>36</v>
      </c>
      <c r="J180" s="2">
        <v>45387</v>
      </c>
      <c r="K180" s="2">
        <v>45417</v>
      </c>
      <c r="L180" s="1">
        <v>1</v>
      </c>
      <c r="M180" s="1" t="s">
        <v>56</v>
      </c>
      <c r="N180" s="1" t="s">
        <v>63</v>
      </c>
      <c r="O180" s="4">
        <v>26463.71</v>
      </c>
      <c r="P180" s="1">
        <v>4</v>
      </c>
      <c r="Q180" s="10" t="s">
        <v>58</v>
      </c>
      <c r="R180" s="14" t="str" cm="1">
        <f t="array" ref="R180">_xlfn.IFS(C180&lt;18,"Under 18",C180&lt;36,"18-35",C180&lt;51,"36-50",C180&lt;66,"51-65",C180&gt;=66,"66+")</f>
        <v>Under 18</v>
      </c>
      <c r="S180" s="18">
        <v>45383</v>
      </c>
    </row>
    <row r="181" spans="1:19">
      <c r="A181" s="21" t="s">
        <v>540</v>
      </c>
      <c r="B181" s="1" t="s">
        <v>412</v>
      </c>
      <c r="C181" s="1">
        <v>17</v>
      </c>
      <c r="D181" s="1" t="s">
        <v>19</v>
      </c>
      <c r="E181" s="1" t="s">
        <v>66</v>
      </c>
      <c r="F181" s="1" t="s">
        <v>120</v>
      </c>
      <c r="G181" s="1" t="s">
        <v>110</v>
      </c>
      <c r="H181" s="1" t="s">
        <v>69</v>
      </c>
      <c r="I181" s="1" t="s">
        <v>36</v>
      </c>
      <c r="J181" s="2">
        <v>45424</v>
      </c>
      <c r="K181" s="2">
        <v>45455</v>
      </c>
      <c r="L181" s="1">
        <v>1</v>
      </c>
      <c r="M181" s="1" t="s">
        <v>56</v>
      </c>
      <c r="N181" s="1" t="s">
        <v>82</v>
      </c>
      <c r="O181" s="4">
        <v>80784.479999999996</v>
      </c>
      <c r="P181" s="1">
        <v>4</v>
      </c>
      <c r="Q181" s="10" t="s">
        <v>40</v>
      </c>
      <c r="R181" s="14" t="str" cm="1">
        <f t="array" ref="R181">_xlfn.IFS(C181&lt;18,"Under 18",C181&lt;36,"18-35",C181&lt;51,"36-50",C181&lt;66,"51-65",C181&gt;=66,"66+")</f>
        <v>Under 18</v>
      </c>
      <c r="S181" s="18">
        <v>45413</v>
      </c>
    </row>
    <row r="182" spans="1:19">
      <c r="A182" s="21" t="s">
        <v>541</v>
      </c>
      <c r="B182" s="1" t="s">
        <v>542</v>
      </c>
      <c r="C182" s="1">
        <v>58</v>
      </c>
      <c r="D182" s="1" t="s">
        <v>19</v>
      </c>
      <c r="E182" s="1" t="s">
        <v>117</v>
      </c>
      <c r="F182" s="1" t="s">
        <v>33</v>
      </c>
      <c r="G182" s="1" t="s">
        <v>68</v>
      </c>
      <c r="H182" s="1" t="s">
        <v>93</v>
      </c>
      <c r="I182" s="1" t="s">
        <v>36</v>
      </c>
      <c r="J182" s="2">
        <v>45414</v>
      </c>
      <c r="K182" s="2">
        <v>45567</v>
      </c>
      <c r="L182" s="1">
        <v>5</v>
      </c>
      <c r="M182" s="1" t="s">
        <v>97</v>
      </c>
      <c r="N182" s="1" t="s">
        <v>85</v>
      </c>
      <c r="O182" s="4">
        <v>42075.43</v>
      </c>
      <c r="P182" s="1">
        <v>4</v>
      </c>
      <c r="Q182" s="10" t="s">
        <v>29</v>
      </c>
      <c r="R182" s="14" t="str" cm="1">
        <f t="array" ref="R182">_xlfn.IFS(C182&lt;18,"Under 18",C182&lt;36,"18-35",C182&lt;51,"36-50",C182&lt;66,"51-65",C182&gt;=66,"66+")</f>
        <v>51-65</v>
      </c>
      <c r="S182" s="18">
        <v>45413</v>
      </c>
    </row>
    <row r="183" spans="1:19">
      <c r="A183" s="21" t="s">
        <v>543</v>
      </c>
      <c r="B183" s="1" t="s">
        <v>208</v>
      </c>
      <c r="C183" s="1">
        <v>81</v>
      </c>
      <c r="D183" s="1" t="s">
        <v>27</v>
      </c>
      <c r="E183" s="1" t="s">
        <v>66</v>
      </c>
      <c r="F183" s="1" t="s">
        <v>75</v>
      </c>
      <c r="G183" s="1" t="s">
        <v>104</v>
      </c>
      <c r="H183" s="1" t="s">
        <v>88</v>
      </c>
      <c r="I183" s="1" t="s">
        <v>62</v>
      </c>
      <c r="J183" s="2">
        <v>45311</v>
      </c>
      <c r="K183" s="2">
        <v>45319</v>
      </c>
      <c r="L183" s="1">
        <v>8</v>
      </c>
      <c r="M183" s="1" t="s">
        <v>27</v>
      </c>
      <c r="N183" s="1" t="s">
        <v>85</v>
      </c>
      <c r="O183" s="4">
        <v>98281.78</v>
      </c>
      <c r="P183" s="1">
        <v>4</v>
      </c>
      <c r="Q183" s="10" t="s">
        <v>72</v>
      </c>
      <c r="R183" s="14" t="str" cm="1">
        <f t="array" ref="R183">_xlfn.IFS(C183&lt;18,"Under 18",C183&lt;36,"18-35",C183&lt;51,"36-50",C183&lt;66,"51-65",C183&gt;=66,"66+")</f>
        <v>66+</v>
      </c>
      <c r="S183" s="18">
        <v>45292</v>
      </c>
    </row>
    <row r="184" spans="1:19">
      <c r="A184" s="21" t="s">
        <v>545</v>
      </c>
      <c r="B184" s="1" t="s">
        <v>255</v>
      </c>
      <c r="C184" s="1">
        <v>36</v>
      </c>
      <c r="D184" s="1" t="s">
        <v>19</v>
      </c>
      <c r="E184" s="1" t="s">
        <v>20</v>
      </c>
      <c r="F184" s="1" t="s">
        <v>67</v>
      </c>
      <c r="G184" s="1" t="s">
        <v>132</v>
      </c>
      <c r="H184" s="1" t="s">
        <v>35</v>
      </c>
      <c r="I184" s="1" t="s">
        <v>62</v>
      </c>
      <c r="J184" s="2">
        <v>45775</v>
      </c>
      <c r="K184" s="2">
        <v>45662</v>
      </c>
      <c r="L184" s="1">
        <v>3</v>
      </c>
      <c r="M184" s="1" t="s">
        <v>38</v>
      </c>
      <c r="N184" s="1" t="s">
        <v>39</v>
      </c>
      <c r="O184" s="4">
        <v>19309.810000000001</v>
      </c>
      <c r="P184" s="1">
        <v>4</v>
      </c>
      <c r="Q184" s="10" t="s">
        <v>29</v>
      </c>
      <c r="R184" s="14" t="str" cm="1">
        <f t="array" ref="R184">_xlfn.IFS(C184&lt;18,"Under 18",C184&lt;36,"18-35",C184&lt;51,"36-50",C184&lt;66,"51-65",C184&gt;=66,"66+")</f>
        <v>36-50</v>
      </c>
      <c r="S184" s="18">
        <v>45748</v>
      </c>
    </row>
    <row r="185" spans="1:19">
      <c r="A185" s="21" t="s">
        <v>547</v>
      </c>
      <c r="B185" s="1" t="s">
        <v>548</v>
      </c>
      <c r="C185" s="1">
        <v>23</v>
      </c>
      <c r="D185" s="1" t="s">
        <v>19</v>
      </c>
      <c r="E185" s="1" t="s">
        <v>51</v>
      </c>
      <c r="F185" s="1" t="s">
        <v>120</v>
      </c>
      <c r="G185" s="1" t="s">
        <v>34</v>
      </c>
      <c r="H185" s="1" t="s">
        <v>88</v>
      </c>
      <c r="I185" s="1" t="s">
        <v>36</v>
      </c>
      <c r="J185" s="2">
        <v>45898</v>
      </c>
      <c r="K185" s="2">
        <v>45847</v>
      </c>
      <c r="L185" s="1">
        <v>9</v>
      </c>
      <c r="M185" s="1" t="s">
        <v>97</v>
      </c>
      <c r="N185" s="1" t="s">
        <v>28</v>
      </c>
      <c r="O185" s="4">
        <v>173225.25</v>
      </c>
      <c r="P185" s="1">
        <v>4</v>
      </c>
      <c r="Q185" s="10" t="s">
        <v>72</v>
      </c>
      <c r="R185" s="14" t="str" cm="1">
        <f t="array" ref="R185">_xlfn.IFS(C185&lt;18,"Under 18",C185&lt;36,"18-35",C185&lt;51,"36-50",C185&lt;66,"51-65",C185&gt;=66,"66+")</f>
        <v>18-35</v>
      </c>
      <c r="S185" s="18">
        <v>45870</v>
      </c>
    </row>
    <row r="186" spans="1:19">
      <c r="A186" s="21" t="s">
        <v>550</v>
      </c>
      <c r="B186" s="1" t="s">
        <v>551</v>
      </c>
      <c r="C186" s="1">
        <v>8</v>
      </c>
      <c r="D186" s="1" t="s">
        <v>19</v>
      </c>
      <c r="E186" s="1" t="s">
        <v>202</v>
      </c>
      <c r="F186" s="1" t="s">
        <v>21</v>
      </c>
      <c r="G186" s="1" t="s">
        <v>53</v>
      </c>
      <c r="H186" s="1" t="s">
        <v>69</v>
      </c>
      <c r="I186" s="1" t="s">
        <v>24</v>
      </c>
      <c r="J186" s="2">
        <v>45878</v>
      </c>
      <c r="K186" s="2">
        <v>45909</v>
      </c>
      <c r="L186" s="1">
        <v>1</v>
      </c>
      <c r="M186" s="1" t="s">
        <v>56</v>
      </c>
      <c r="N186" s="1" t="s">
        <v>39</v>
      </c>
      <c r="O186" s="4">
        <v>35184.75</v>
      </c>
      <c r="P186" s="1">
        <v>5</v>
      </c>
      <c r="Q186" s="10" t="s">
        <v>72</v>
      </c>
      <c r="R186" s="14" t="str" cm="1">
        <f t="array" ref="R186">_xlfn.IFS(C186&lt;18,"Under 18",C186&lt;36,"18-35",C186&lt;51,"36-50",C186&lt;66,"51-65",C186&gt;=66,"66+")</f>
        <v>Under 18</v>
      </c>
      <c r="S186" s="18">
        <v>45870</v>
      </c>
    </row>
    <row r="187" spans="1:19">
      <c r="A187" s="21" t="s">
        <v>552</v>
      </c>
      <c r="B187" s="1" t="s">
        <v>553</v>
      </c>
      <c r="C187" s="1">
        <v>68</v>
      </c>
      <c r="D187" s="1" t="s">
        <v>43</v>
      </c>
      <c r="E187" s="1" t="s">
        <v>159</v>
      </c>
      <c r="F187" s="1" t="s">
        <v>52</v>
      </c>
      <c r="G187" s="1" t="s">
        <v>22</v>
      </c>
      <c r="H187" s="1" t="s">
        <v>88</v>
      </c>
      <c r="I187" s="1" t="s">
        <v>62</v>
      </c>
      <c r="J187" s="2">
        <v>45366</v>
      </c>
      <c r="K187" s="2">
        <v>45373</v>
      </c>
      <c r="L187" s="1">
        <v>7</v>
      </c>
      <c r="M187" s="1" t="s">
        <v>56</v>
      </c>
      <c r="N187" s="1" t="s">
        <v>63</v>
      </c>
      <c r="O187" s="4">
        <v>34028.86</v>
      </c>
      <c r="P187" s="1">
        <v>3</v>
      </c>
      <c r="Q187" s="10" t="s">
        <v>40</v>
      </c>
      <c r="R187" s="14" t="str" cm="1">
        <f t="array" ref="R187">_xlfn.IFS(C187&lt;18,"Under 18",C187&lt;36,"18-35",C187&lt;51,"36-50",C187&lt;66,"51-65",C187&gt;=66,"66+")</f>
        <v>66+</v>
      </c>
      <c r="S187" s="18">
        <v>45352</v>
      </c>
    </row>
    <row r="188" spans="1:19">
      <c r="A188" s="21" t="s">
        <v>555</v>
      </c>
      <c r="B188" s="1" t="s">
        <v>443</v>
      </c>
      <c r="C188" s="1">
        <v>29</v>
      </c>
      <c r="D188" s="1" t="s">
        <v>27</v>
      </c>
      <c r="E188" s="1" t="s">
        <v>44</v>
      </c>
      <c r="F188" s="1" t="s">
        <v>75</v>
      </c>
      <c r="G188" s="1" t="s">
        <v>68</v>
      </c>
      <c r="H188" s="1" t="s">
        <v>35</v>
      </c>
      <c r="I188" s="1" t="s">
        <v>36</v>
      </c>
      <c r="J188" s="2">
        <v>45895</v>
      </c>
      <c r="K188" s="2">
        <v>45898</v>
      </c>
      <c r="L188" s="1">
        <v>3</v>
      </c>
      <c r="M188" s="1" t="s">
        <v>27</v>
      </c>
      <c r="N188" s="1" t="s">
        <v>82</v>
      </c>
      <c r="O188" s="4">
        <v>24972.71</v>
      </c>
      <c r="P188" s="1">
        <v>1</v>
      </c>
      <c r="Q188" s="10" t="s">
        <v>29</v>
      </c>
      <c r="R188" s="14" t="str" cm="1">
        <f t="array" ref="R188">_xlfn.IFS(C188&lt;18,"Under 18",C188&lt;36,"18-35",C188&lt;51,"36-50",C188&lt;66,"51-65",C188&gt;=66,"66+")</f>
        <v>18-35</v>
      </c>
      <c r="S188" s="18">
        <v>45870</v>
      </c>
    </row>
    <row r="189" spans="1:19">
      <c r="A189" s="21" t="s">
        <v>556</v>
      </c>
      <c r="B189" s="1" t="s">
        <v>557</v>
      </c>
      <c r="C189" s="1">
        <v>82</v>
      </c>
      <c r="D189" s="1" t="s">
        <v>27</v>
      </c>
      <c r="E189" s="1" t="s">
        <v>159</v>
      </c>
      <c r="F189" s="1" t="s">
        <v>75</v>
      </c>
      <c r="G189" s="1" t="s">
        <v>132</v>
      </c>
      <c r="H189" s="1" t="s">
        <v>88</v>
      </c>
      <c r="I189" s="1" t="s">
        <v>62</v>
      </c>
      <c r="J189" s="2">
        <v>45398</v>
      </c>
      <c r="K189" s="2">
        <v>45399</v>
      </c>
      <c r="L189" s="1">
        <v>1</v>
      </c>
      <c r="M189" s="1" t="s">
        <v>56</v>
      </c>
      <c r="N189" s="1" t="s">
        <v>85</v>
      </c>
      <c r="O189" s="4">
        <v>83713.710000000006</v>
      </c>
      <c r="P189" s="1">
        <v>3</v>
      </c>
      <c r="Q189" s="10" t="s">
        <v>72</v>
      </c>
      <c r="R189" s="14" t="str" cm="1">
        <f t="array" ref="R189">_xlfn.IFS(C189&lt;18,"Under 18",C189&lt;36,"18-35",C189&lt;51,"36-50",C189&lt;66,"51-65",C189&gt;=66,"66+")</f>
        <v>66+</v>
      </c>
      <c r="S189" s="18">
        <v>45383</v>
      </c>
    </row>
    <row r="190" spans="1:19">
      <c r="A190" s="21" t="s">
        <v>560</v>
      </c>
      <c r="B190" s="1" t="s">
        <v>321</v>
      </c>
      <c r="C190" s="1">
        <v>45</v>
      </c>
      <c r="D190" s="1" t="s">
        <v>43</v>
      </c>
      <c r="E190" s="1" t="s">
        <v>159</v>
      </c>
      <c r="F190" s="1" t="s">
        <v>67</v>
      </c>
      <c r="G190" s="1" t="s">
        <v>36</v>
      </c>
      <c r="H190" s="1" t="s">
        <v>93</v>
      </c>
      <c r="I190" s="1" t="s">
        <v>24</v>
      </c>
      <c r="J190" s="2">
        <v>45402</v>
      </c>
      <c r="K190" s="2">
        <v>45409</v>
      </c>
      <c r="L190" s="1">
        <v>7</v>
      </c>
      <c r="M190" s="1" t="s">
        <v>56</v>
      </c>
      <c r="N190" s="1" t="s">
        <v>85</v>
      </c>
      <c r="O190" s="4">
        <v>76369.259999999995</v>
      </c>
      <c r="P190" s="1">
        <v>4</v>
      </c>
      <c r="Q190" s="10" t="s">
        <v>58</v>
      </c>
      <c r="R190" s="14" t="str" cm="1">
        <f t="array" ref="R190">_xlfn.IFS(C190&lt;18,"Under 18",C190&lt;36,"18-35",C190&lt;51,"36-50",C190&lt;66,"51-65",C190&gt;=66,"66+")</f>
        <v>36-50</v>
      </c>
      <c r="S190" s="18">
        <v>45383</v>
      </c>
    </row>
    <row r="191" spans="1:19">
      <c r="A191" s="21" t="s">
        <v>561</v>
      </c>
      <c r="B191" s="1" t="s">
        <v>291</v>
      </c>
      <c r="C191" s="1">
        <v>10</v>
      </c>
      <c r="D191" s="1" t="s">
        <v>19</v>
      </c>
      <c r="E191" s="1" t="s">
        <v>247</v>
      </c>
      <c r="F191" s="1" t="s">
        <v>67</v>
      </c>
      <c r="G191" s="1" t="s">
        <v>22</v>
      </c>
      <c r="H191" s="1" t="s">
        <v>88</v>
      </c>
      <c r="I191" s="1" t="s">
        <v>24</v>
      </c>
      <c r="J191" s="2">
        <v>45593</v>
      </c>
      <c r="K191" s="2">
        <v>45595</v>
      </c>
      <c r="L191" s="1">
        <v>2</v>
      </c>
      <c r="M191" s="1" t="s">
        <v>97</v>
      </c>
      <c r="N191" s="1" t="s">
        <v>63</v>
      </c>
      <c r="O191" s="4">
        <v>24417.68</v>
      </c>
      <c r="P191" s="1">
        <v>4</v>
      </c>
      <c r="Q191" s="10" t="s">
        <v>72</v>
      </c>
      <c r="R191" s="14" t="str" cm="1">
        <f t="array" ref="R191">_xlfn.IFS(C191&lt;18,"Under 18",C191&lt;36,"18-35",C191&lt;51,"36-50",C191&lt;66,"51-65",C191&gt;=66,"66+")</f>
        <v>Under 18</v>
      </c>
      <c r="S191" s="18">
        <v>45566</v>
      </c>
    </row>
    <row r="192" spans="1:19">
      <c r="A192" s="21" t="s">
        <v>564</v>
      </c>
      <c r="B192" s="1" t="s">
        <v>565</v>
      </c>
      <c r="C192" s="1">
        <v>56</v>
      </c>
      <c r="D192" s="1" t="s">
        <v>27</v>
      </c>
      <c r="E192" s="1" t="s">
        <v>117</v>
      </c>
      <c r="F192" s="1" t="s">
        <v>120</v>
      </c>
      <c r="G192" s="1" t="s">
        <v>132</v>
      </c>
      <c r="H192" s="1" t="s">
        <v>76</v>
      </c>
      <c r="I192" s="1" t="s">
        <v>36</v>
      </c>
      <c r="J192" s="2">
        <v>45460</v>
      </c>
      <c r="K192" s="2">
        <v>45461</v>
      </c>
      <c r="L192" s="1">
        <v>1</v>
      </c>
      <c r="M192" s="1" t="s">
        <v>48</v>
      </c>
      <c r="N192" s="1" t="s">
        <v>28</v>
      </c>
      <c r="O192" s="4">
        <v>62895.360000000001</v>
      </c>
      <c r="P192" s="1">
        <v>5</v>
      </c>
      <c r="Q192" s="10" t="s">
        <v>58</v>
      </c>
      <c r="R192" s="14" t="str" cm="1">
        <f t="array" ref="R192">_xlfn.IFS(C192&lt;18,"Under 18",C192&lt;36,"18-35",C192&lt;51,"36-50",C192&lt;66,"51-65",C192&gt;=66,"66+")</f>
        <v>51-65</v>
      </c>
      <c r="S192" s="18">
        <v>45444</v>
      </c>
    </row>
    <row r="193" spans="1:19">
      <c r="A193" s="21" t="s">
        <v>566</v>
      </c>
      <c r="B193" s="1" t="s">
        <v>403</v>
      </c>
      <c r="C193" s="1">
        <v>74</v>
      </c>
      <c r="D193" s="1" t="s">
        <v>27</v>
      </c>
      <c r="E193" s="1" t="s">
        <v>159</v>
      </c>
      <c r="F193" s="1" t="s">
        <v>75</v>
      </c>
      <c r="G193" s="1" t="s">
        <v>104</v>
      </c>
      <c r="H193" s="1" t="s">
        <v>61</v>
      </c>
      <c r="I193" s="1" t="s">
        <v>62</v>
      </c>
      <c r="J193" s="2">
        <v>45794</v>
      </c>
      <c r="K193" s="2">
        <v>45795</v>
      </c>
      <c r="L193" s="1">
        <v>1</v>
      </c>
      <c r="M193" s="1" t="s">
        <v>97</v>
      </c>
      <c r="N193" s="1" t="s">
        <v>57</v>
      </c>
      <c r="O193" s="4">
        <v>19080.04</v>
      </c>
      <c r="P193" s="1">
        <v>3</v>
      </c>
      <c r="Q193" s="10" t="s">
        <v>58</v>
      </c>
      <c r="R193" s="14" t="str" cm="1">
        <f t="array" ref="R193">_xlfn.IFS(C193&lt;18,"Under 18",C193&lt;36,"18-35",C193&lt;51,"36-50",C193&lt;66,"51-65",C193&gt;=66,"66+")</f>
        <v>66+</v>
      </c>
      <c r="S193" s="18">
        <v>45778</v>
      </c>
    </row>
    <row r="194" spans="1:19">
      <c r="A194" s="21" t="s">
        <v>567</v>
      </c>
      <c r="B194" s="1" t="s">
        <v>295</v>
      </c>
      <c r="C194" s="1">
        <v>85</v>
      </c>
      <c r="D194" s="1" t="s">
        <v>43</v>
      </c>
      <c r="E194" s="1" t="s">
        <v>117</v>
      </c>
      <c r="F194" s="1" t="s">
        <v>21</v>
      </c>
      <c r="G194" s="1" t="s">
        <v>36</v>
      </c>
      <c r="H194" s="1" t="s">
        <v>88</v>
      </c>
      <c r="I194" s="1" t="s">
        <v>62</v>
      </c>
      <c r="J194" s="2">
        <v>45355</v>
      </c>
      <c r="K194" s="2">
        <v>45477</v>
      </c>
      <c r="L194" s="1">
        <v>4</v>
      </c>
      <c r="M194" s="1" t="s">
        <v>27</v>
      </c>
      <c r="N194" s="1" t="s">
        <v>28</v>
      </c>
      <c r="O194" s="4">
        <v>25620.55</v>
      </c>
      <c r="P194" s="1">
        <v>2</v>
      </c>
      <c r="Q194" s="10" t="s">
        <v>29</v>
      </c>
      <c r="R194" s="14" t="str" cm="1">
        <f t="array" ref="R194">_xlfn.IFS(C194&lt;18,"Under 18",C194&lt;36,"18-35",C194&lt;51,"36-50",C194&lt;66,"51-65",C194&gt;=66,"66+")</f>
        <v>66+</v>
      </c>
      <c r="S194" s="18">
        <v>45352</v>
      </c>
    </row>
    <row r="195" spans="1:19">
      <c r="A195" s="21" t="s">
        <v>568</v>
      </c>
      <c r="B195" s="1" t="s">
        <v>412</v>
      </c>
      <c r="C195" s="1">
        <v>90</v>
      </c>
      <c r="D195" s="1" t="s">
        <v>27</v>
      </c>
      <c r="E195" s="1" t="s">
        <v>51</v>
      </c>
      <c r="F195" s="1" t="s">
        <v>52</v>
      </c>
      <c r="G195" s="1" t="s">
        <v>36</v>
      </c>
      <c r="H195" s="1" t="s">
        <v>69</v>
      </c>
      <c r="I195" s="1" t="s">
        <v>62</v>
      </c>
      <c r="J195" s="2">
        <v>45539</v>
      </c>
      <c r="K195" s="2">
        <v>45397</v>
      </c>
      <c r="L195" s="1">
        <v>6</v>
      </c>
      <c r="M195" s="1" t="s">
        <v>27</v>
      </c>
      <c r="N195" s="1" t="s">
        <v>85</v>
      </c>
      <c r="O195" s="4">
        <v>28608.43</v>
      </c>
      <c r="P195" s="1">
        <v>2</v>
      </c>
      <c r="Q195" s="10" t="s">
        <v>58</v>
      </c>
      <c r="R195" s="14" t="str" cm="1">
        <f t="array" ref="R195">_xlfn.IFS(C195&lt;18,"Under 18",C195&lt;36,"18-35",C195&lt;51,"36-50",C195&lt;66,"51-65",C195&gt;=66,"66+")</f>
        <v>66+</v>
      </c>
      <c r="S195" s="18">
        <v>45536</v>
      </c>
    </row>
    <row r="196" spans="1:19">
      <c r="A196" s="21" t="s">
        <v>569</v>
      </c>
      <c r="B196" s="1" t="s">
        <v>570</v>
      </c>
      <c r="C196" s="1">
        <v>39</v>
      </c>
      <c r="D196" s="1" t="s">
        <v>19</v>
      </c>
      <c r="E196" s="1" t="s">
        <v>20</v>
      </c>
      <c r="F196" s="1" t="s">
        <v>21</v>
      </c>
      <c r="G196" s="1" t="s">
        <v>110</v>
      </c>
      <c r="H196" s="1" t="s">
        <v>45</v>
      </c>
      <c r="I196" s="1" t="s">
        <v>36</v>
      </c>
      <c r="J196" s="2">
        <v>45871</v>
      </c>
      <c r="K196" s="2">
        <v>45902</v>
      </c>
      <c r="L196" s="1">
        <v>1</v>
      </c>
      <c r="M196" s="1" t="s">
        <v>97</v>
      </c>
      <c r="N196" s="1" t="s">
        <v>28</v>
      </c>
      <c r="O196" s="4">
        <v>130409.18</v>
      </c>
      <c r="P196" s="1">
        <v>5</v>
      </c>
      <c r="Q196" s="10" t="s">
        <v>58</v>
      </c>
      <c r="R196" s="14" t="str" cm="1">
        <f t="array" ref="R196">_xlfn.IFS(C196&lt;18,"Under 18",C196&lt;36,"18-35",C196&lt;51,"36-50",C196&lt;66,"51-65",C196&gt;=66,"66+")</f>
        <v>36-50</v>
      </c>
      <c r="S196" s="18">
        <v>45870</v>
      </c>
    </row>
    <row r="197" spans="1:19">
      <c r="A197" s="21" t="s">
        <v>571</v>
      </c>
      <c r="B197" s="1" t="s">
        <v>131</v>
      </c>
      <c r="C197" s="1">
        <v>26</v>
      </c>
      <c r="D197" s="1" t="s">
        <v>27</v>
      </c>
      <c r="E197" s="1" t="s">
        <v>51</v>
      </c>
      <c r="F197" s="1" t="s">
        <v>33</v>
      </c>
      <c r="G197" s="1" t="s">
        <v>22</v>
      </c>
      <c r="H197" s="1" t="s">
        <v>45</v>
      </c>
      <c r="I197" s="1" t="s">
        <v>36</v>
      </c>
      <c r="J197" s="2">
        <v>45443</v>
      </c>
      <c r="K197" s="2">
        <v>45328</v>
      </c>
      <c r="L197" s="1">
        <v>2</v>
      </c>
      <c r="M197" s="1" t="s">
        <v>27</v>
      </c>
      <c r="N197" s="1" t="s">
        <v>90</v>
      </c>
      <c r="O197" s="4">
        <v>40331.24</v>
      </c>
      <c r="P197" s="1">
        <v>4</v>
      </c>
      <c r="Q197" s="10" t="s">
        <v>58</v>
      </c>
      <c r="R197" s="14" t="str" cm="1">
        <f t="array" ref="R197">_xlfn.IFS(C197&lt;18,"Under 18",C197&lt;36,"18-35",C197&lt;51,"36-50",C197&lt;66,"51-65",C197&gt;=66,"66+")</f>
        <v>18-35</v>
      </c>
      <c r="S197" s="18">
        <v>45413</v>
      </c>
    </row>
    <row r="198" spans="1:19">
      <c r="A198" s="21" t="s">
        <v>572</v>
      </c>
      <c r="B198" s="1" t="s">
        <v>393</v>
      </c>
      <c r="C198" s="1">
        <v>15</v>
      </c>
      <c r="D198" s="1" t="s">
        <v>43</v>
      </c>
      <c r="E198" s="1" t="s">
        <v>137</v>
      </c>
      <c r="F198" s="1" t="s">
        <v>120</v>
      </c>
      <c r="G198" s="1" t="s">
        <v>22</v>
      </c>
      <c r="H198" s="1" t="s">
        <v>45</v>
      </c>
      <c r="I198" s="1" t="s">
        <v>62</v>
      </c>
      <c r="J198" s="2">
        <v>45328</v>
      </c>
      <c r="K198" s="2">
        <v>45479</v>
      </c>
      <c r="L198" s="1">
        <v>5</v>
      </c>
      <c r="M198" s="1" t="s">
        <v>97</v>
      </c>
      <c r="N198" s="1" t="s">
        <v>90</v>
      </c>
      <c r="O198" s="4">
        <v>53075.91</v>
      </c>
      <c r="P198" s="1">
        <v>2</v>
      </c>
      <c r="Q198" s="10" t="s">
        <v>58</v>
      </c>
      <c r="R198" s="14" t="str" cm="1">
        <f t="array" ref="R198">_xlfn.IFS(C198&lt;18,"Under 18",C198&lt;36,"18-35",C198&lt;51,"36-50",C198&lt;66,"51-65",C198&gt;=66,"66+")</f>
        <v>Under 18</v>
      </c>
      <c r="S198" s="18">
        <v>45323</v>
      </c>
    </row>
    <row r="199" spans="1:19">
      <c r="A199" s="21" t="s">
        <v>573</v>
      </c>
      <c r="B199" s="1" t="s">
        <v>574</v>
      </c>
      <c r="C199" s="1">
        <v>5</v>
      </c>
      <c r="D199" s="1" t="s">
        <v>19</v>
      </c>
      <c r="E199" s="1" t="s">
        <v>159</v>
      </c>
      <c r="F199" s="1" t="s">
        <v>120</v>
      </c>
      <c r="G199" s="1" t="s">
        <v>36</v>
      </c>
      <c r="H199" s="1" t="s">
        <v>99</v>
      </c>
      <c r="I199" s="1" t="s">
        <v>62</v>
      </c>
      <c r="J199" s="2">
        <v>45545</v>
      </c>
      <c r="K199" s="2">
        <v>45575</v>
      </c>
      <c r="L199" s="1">
        <v>1</v>
      </c>
      <c r="M199" s="1" t="s">
        <v>48</v>
      </c>
      <c r="N199" s="1" t="s">
        <v>82</v>
      </c>
      <c r="O199" s="4">
        <v>40892.870000000003</v>
      </c>
      <c r="P199" s="1">
        <v>5</v>
      </c>
      <c r="Q199" s="10" t="s">
        <v>40</v>
      </c>
      <c r="R199" s="14" t="str" cm="1">
        <f t="array" ref="R199">_xlfn.IFS(C199&lt;18,"Under 18",C199&lt;36,"18-35",C199&lt;51,"36-50",C199&lt;66,"51-65",C199&gt;=66,"66+")</f>
        <v>Under 18</v>
      </c>
      <c r="S199" s="18">
        <v>45536</v>
      </c>
    </row>
    <row r="200" spans="1:19">
      <c r="A200" s="21" t="s">
        <v>575</v>
      </c>
      <c r="B200" s="1" t="s">
        <v>131</v>
      </c>
      <c r="C200" s="1">
        <v>40</v>
      </c>
      <c r="D200" s="1" t="s">
        <v>43</v>
      </c>
      <c r="E200" s="1" t="s">
        <v>137</v>
      </c>
      <c r="F200" s="1" t="s">
        <v>67</v>
      </c>
      <c r="G200" s="1" t="s">
        <v>132</v>
      </c>
      <c r="H200" s="1" t="s">
        <v>35</v>
      </c>
      <c r="I200" s="1" t="s">
        <v>24</v>
      </c>
      <c r="J200" s="2">
        <v>45795</v>
      </c>
      <c r="K200" s="2">
        <v>45801</v>
      </c>
      <c r="L200" s="1">
        <v>6</v>
      </c>
      <c r="M200" s="1" t="s">
        <v>48</v>
      </c>
      <c r="N200" s="1" t="s">
        <v>85</v>
      </c>
      <c r="O200" s="4">
        <v>33935.07</v>
      </c>
      <c r="P200" s="1">
        <v>5</v>
      </c>
      <c r="Q200" s="10" t="s">
        <v>58</v>
      </c>
      <c r="R200" s="14" t="str" cm="1">
        <f t="array" ref="R200">_xlfn.IFS(C200&lt;18,"Under 18",C200&lt;36,"18-35",C200&lt;51,"36-50",C200&lt;66,"51-65",C200&gt;=66,"66+")</f>
        <v>36-50</v>
      </c>
      <c r="S200" s="18">
        <v>45778</v>
      </c>
    </row>
    <row r="201" spans="1:19">
      <c r="A201" s="21" t="s">
        <v>576</v>
      </c>
      <c r="B201" s="1" t="s">
        <v>329</v>
      </c>
      <c r="C201" s="1">
        <v>28</v>
      </c>
      <c r="D201" s="1" t="s">
        <v>43</v>
      </c>
      <c r="E201" s="1" t="s">
        <v>66</v>
      </c>
      <c r="F201" s="1" t="s">
        <v>21</v>
      </c>
      <c r="G201" s="1" t="s">
        <v>110</v>
      </c>
      <c r="H201" s="1" t="s">
        <v>45</v>
      </c>
      <c r="I201" s="1" t="s">
        <v>36</v>
      </c>
      <c r="J201" s="2">
        <v>45966</v>
      </c>
      <c r="K201" s="2">
        <v>45800</v>
      </c>
      <c r="L201" s="1">
        <v>12</v>
      </c>
      <c r="M201" s="1" t="s">
        <v>48</v>
      </c>
      <c r="N201" s="1" t="s">
        <v>85</v>
      </c>
      <c r="O201" s="4">
        <v>71858.83</v>
      </c>
      <c r="P201" s="1">
        <v>3</v>
      </c>
      <c r="Q201" s="10" t="s">
        <v>72</v>
      </c>
      <c r="R201" s="14" t="str" cm="1">
        <f t="array" ref="R201">_xlfn.IFS(C201&lt;18,"Under 18",C201&lt;36,"18-35",C201&lt;51,"36-50",C201&lt;66,"51-65",C201&gt;=66,"66+")</f>
        <v>18-35</v>
      </c>
      <c r="S201" s="18">
        <v>45962</v>
      </c>
    </row>
    <row r="202" spans="1:19">
      <c r="A202" s="21" t="s">
        <v>578</v>
      </c>
      <c r="B202" s="1" t="s">
        <v>524</v>
      </c>
      <c r="C202" s="1">
        <v>59</v>
      </c>
      <c r="D202" s="1" t="s">
        <v>19</v>
      </c>
      <c r="E202" s="1" t="s">
        <v>247</v>
      </c>
      <c r="F202" s="1" t="s">
        <v>33</v>
      </c>
      <c r="G202" s="1" t="s">
        <v>104</v>
      </c>
      <c r="H202" s="1" t="s">
        <v>23</v>
      </c>
      <c r="I202" s="1" t="s">
        <v>24</v>
      </c>
      <c r="J202" s="2">
        <v>45748</v>
      </c>
      <c r="K202" s="2">
        <v>45809</v>
      </c>
      <c r="L202" s="1">
        <v>2</v>
      </c>
      <c r="M202" s="1" t="s">
        <v>97</v>
      </c>
      <c r="N202" s="1" t="s">
        <v>85</v>
      </c>
      <c r="O202" s="4">
        <v>40976.79</v>
      </c>
      <c r="P202" s="1">
        <v>5</v>
      </c>
      <c r="Q202" s="10" t="s">
        <v>58</v>
      </c>
      <c r="R202" s="14" t="str" cm="1">
        <f t="array" ref="R202">_xlfn.IFS(C202&lt;18,"Under 18",C202&lt;36,"18-35",C202&lt;51,"36-50",C202&lt;66,"51-65",C202&gt;=66,"66+")</f>
        <v>51-65</v>
      </c>
      <c r="S202" s="18">
        <v>45748</v>
      </c>
    </row>
    <row r="203" spans="1:19">
      <c r="A203" s="21" t="s">
        <v>579</v>
      </c>
      <c r="B203" s="1" t="s">
        <v>204</v>
      </c>
      <c r="C203" s="1">
        <v>76</v>
      </c>
      <c r="D203" s="1" t="s">
        <v>27</v>
      </c>
      <c r="E203" s="1" t="s">
        <v>20</v>
      </c>
      <c r="F203" s="1" t="s">
        <v>52</v>
      </c>
      <c r="G203" s="1" t="s">
        <v>22</v>
      </c>
      <c r="H203" s="1" t="s">
        <v>105</v>
      </c>
      <c r="I203" s="1" t="s">
        <v>36</v>
      </c>
      <c r="J203" s="2">
        <v>45650</v>
      </c>
      <c r="K203" s="2">
        <v>45651</v>
      </c>
      <c r="L203" s="1">
        <v>1</v>
      </c>
      <c r="M203" s="1" t="s">
        <v>56</v>
      </c>
      <c r="N203" s="1" t="s">
        <v>82</v>
      </c>
      <c r="O203" s="4">
        <v>14003.89</v>
      </c>
      <c r="P203" s="1">
        <v>2</v>
      </c>
      <c r="Q203" s="10" t="s">
        <v>58</v>
      </c>
      <c r="R203" s="14" t="str" cm="1">
        <f t="array" ref="R203">_xlfn.IFS(C203&lt;18,"Under 18",C203&lt;36,"18-35",C203&lt;51,"36-50",C203&lt;66,"51-65",C203&gt;=66,"66+")</f>
        <v>66+</v>
      </c>
      <c r="S203" s="18">
        <v>45627</v>
      </c>
    </row>
    <row r="204" spans="1:19">
      <c r="A204" s="21" t="s">
        <v>581</v>
      </c>
      <c r="B204" s="1" t="s">
        <v>339</v>
      </c>
      <c r="C204" s="1">
        <v>66</v>
      </c>
      <c r="D204" s="1" t="s">
        <v>19</v>
      </c>
      <c r="E204" s="1" t="s">
        <v>137</v>
      </c>
      <c r="F204" s="1" t="s">
        <v>33</v>
      </c>
      <c r="G204" s="1" t="s">
        <v>110</v>
      </c>
      <c r="H204" s="1" t="s">
        <v>69</v>
      </c>
      <c r="I204" s="1" t="s">
        <v>62</v>
      </c>
      <c r="J204" s="2">
        <v>45990</v>
      </c>
      <c r="K204" s="2">
        <v>45728</v>
      </c>
      <c r="L204" s="1">
        <v>4</v>
      </c>
      <c r="M204" s="1" t="s">
        <v>97</v>
      </c>
      <c r="N204" s="1" t="s">
        <v>82</v>
      </c>
      <c r="O204" s="4">
        <v>98746.54</v>
      </c>
      <c r="P204" s="1">
        <v>4</v>
      </c>
      <c r="Q204" s="10" t="s">
        <v>29</v>
      </c>
      <c r="R204" s="14" t="str" cm="1">
        <f t="array" ref="R204">_xlfn.IFS(C204&lt;18,"Under 18",C204&lt;36,"18-35",C204&lt;51,"36-50",C204&lt;66,"51-65",C204&gt;=66,"66+")</f>
        <v>66+</v>
      </c>
      <c r="S204" s="18">
        <v>45962</v>
      </c>
    </row>
    <row r="205" spans="1:19">
      <c r="A205" s="21" t="s">
        <v>583</v>
      </c>
      <c r="B205" s="1" t="s">
        <v>304</v>
      </c>
      <c r="C205" s="1">
        <v>60</v>
      </c>
      <c r="D205" s="1" t="s">
        <v>43</v>
      </c>
      <c r="E205" s="1" t="s">
        <v>117</v>
      </c>
      <c r="F205" s="1" t="s">
        <v>52</v>
      </c>
      <c r="G205" s="1" t="s">
        <v>22</v>
      </c>
      <c r="H205" s="1" t="s">
        <v>99</v>
      </c>
      <c r="I205" s="1" t="s">
        <v>36</v>
      </c>
      <c r="J205" s="2">
        <v>45985</v>
      </c>
      <c r="K205" s="2">
        <v>45759</v>
      </c>
      <c r="L205" s="1">
        <v>10</v>
      </c>
      <c r="M205" s="1" t="s">
        <v>97</v>
      </c>
      <c r="N205" s="1" t="s">
        <v>28</v>
      </c>
      <c r="O205" s="4">
        <v>61675.63</v>
      </c>
      <c r="P205" s="1">
        <v>4</v>
      </c>
      <c r="Q205" s="10" t="s">
        <v>40</v>
      </c>
      <c r="R205" s="14" t="str" cm="1">
        <f t="array" ref="R205">_xlfn.IFS(C205&lt;18,"Under 18",C205&lt;36,"18-35",C205&lt;51,"36-50",C205&lt;66,"51-65",C205&gt;=66,"66+")</f>
        <v>51-65</v>
      </c>
      <c r="S205" s="18">
        <v>45962</v>
      </c>
    </row>
    <row r="206" spans="1:19">
      <c r="A206" s="21" t="s">
        <v>584</v>
      </c>
      <c r="B206" s="1" t="s">
        <v>585</v>
      </c>
      <c r="C206" s="1">
        <v>36</v>
      </c>
      <c r="D206" s="1" t="s">
        <v>27</v>
      </c>
      <c r="E206" s="1" t="s">
        <v>247</v>
      </c>
      <c r="F206" s="1" t="s">
        <v>52</v>
      </c>
      <c r="G206" s="1" t="s">
        <v>68</v>
      </c>
      <c r="H206" s="1" t="s">
        <v>61</v>
      </c>
      <c r="I206" s="1" t="s">
        <v>36</v>
      </c>
      <c r="J206" s="2">
        <v>45624</v>
      </c>
      <c r="K206" s="2">
        <v>45626</v>
      </c>
      <c r="L206" s="1">
        <v>2</v>
      </c>
      <c r="M206" s="1" t="s">
        <v>48</v>
      </c>
      <c r="N206" s="1" t="s">
        <v>63</v>
      </c>
      <c r="O206" s="4">
        <v>22944.84</v>
      </c>
      <c r="P206" s="1">
        <v>5</v>
      </c>
      <c r="Q206" s="10" t="s">
        <v>58</v>
      </c>
      <c r="R206" s="14" t="str" cm="1">
        <f t="array" ref="R206">_xlfn.IFS(C206&lt;18,"Under 18",C206&lt;36,"18-35",C206&lt;51,"36-50",C206&lt;66,"51-65",C206&gt;=66,"66+")</f>
        <v>36-50</v>
      </c>
      <c r="S206" s="18">
        <v>45597</v>
      </c>
    </row>
    <row r="207" spans="1:19">
      <c r="A207" s="21" t="s">
        <v>586</v>
      </c>
      <c r="B207" s="1" t="s">
        <v>103</v>
      </c>
      <c r="C207" s="1">
        <v>38</v>
      </c>
      <c r="D207" s="1" t="s">
        <v>43</v>
      </c>
      <c r="E207" s="1" t="s">
        <v>247</v>
      </c>
      <c r="F207" s="1" t="s">
        <v>67</v>
      </c>
      <c r="G207" s="1" t="s">
        <v>132</v>
      </c>
      <c r="H207" s="1" t="s">
        <v>88</v>
      </c>
      <c r="I207" s="1" t="s">
        <v>62</v>
      </c>
      <c r="J207" s="2">
        <v>45750</v>
      </c>
      <c r="K207" s="2">
        <v>45841</v>
      </c>
      <c r="L207" s="1">
        <v>3</v>
      </c>
      <c r="M207" s="1" t="s">
        <v>56</v>
      </c>
      <c r="N207" s="1" t="s">
        <v>39</v>
      </c>
      <c r="O207" s="4">
        <v>65038.14</v>
      </c>
      <c r="P207" s="1">
        <v>3</v>
      </c>
      <c r="Q207" s="10" t="s">
        <v>29</v>
      </c>
      <c r="R207" s="14" t="str" cm="1">
        <f t="array" ref="R207">_xlfn.IFS(C207&lt;18,"Under 18",C207&lt;36,"18-35",C207&lt;51,"36-50",C207&lt;66,"51-65",C207&gt;=66,"66+")</f>
        <v>36-50</v>
      </c>
      <c r="S207" s="18">
        <v>45748</v>
      </c>
    </row>
    <row r="208" spans="1:19">
      <c r="A208" s="21" t="s">
        <v>587</v>
      </c>
      <c r="B208" s="1" t="s">
        <v>308</v>
      </c>
      <c r="C208" s="1">
        <v>38</v>
      </c>
      <c r="D208" s="1" t="s">
        <v>19</v>
      </c>
      <c r="E208" s="1" t="s">
        <v>247</v>
      </c>
      <c r="F208" s="1" t="s">
        <v>120</v>
      </c>
      <c r="G208" s="1" t="s">
        <v>110</v>
      </c>
      <c r="H208" s="1" t="s">
        <v>88</v>
      </c>
      <c r="I208" s="1" t="s">
        <v>62</v>
      </c>
      <c r="J208" s="2">
        <v>45774</v>
      </c>
      <c r="K208" s="2">
        <v>45752</v>
      </c>
      <c r="L208" s="1">
        <v>7</v>
      </c>
      <c r="M208" s="1" t="s">
        <v>27</v>
      </c>
      <c r="N208" s="1" t="s">
        <v>82</v>
      </c>
      <c r="O208" s="4">
        <v>83684.899999999994</v>
      </c>
      <c r="P208" s="1">
        <v>3</v>
      </c>
      <c r="Q208" s="10" t="s">
        <v>58</v>
      </c>
      <c r="R208" s="14" t="str" cm="1">
        <f t="array" ref="R208">_xlfn.IFS(C208&lt;18,"Under 18",C208&lt;36,"18-35",C208&lt;51,"36-50",C208&lt;66,"51-65",C208&gt;=66,"66+")</f>
        <v>36-50</v>
      </c>
      <c r="S208" s="18">
        <v>45748</v>
      </c>
    </row>
    <row r="209" spans="1:19">
      <c r="A209" s="21" t="s">
        <v>588</v>
      </c>
      <c r="B209" s="1" t="s">
        <v>208</v>
      </c>
      <c r="C209" s="1">
        <v>16</v>
      </c>
      <c r="D209" s="1" t="s">
        <v>43</v>
      </c>
      <c r="E209" s="1" t="s">
        <v>137</v>
      </c>
      <c r="F209" s="1" t="s">
        <v>75</v>
      </c>
      <c r="G209" s="1" t="s">
        <v>22</v>
      </c>
      <c r="H209" s="1" t="s">
        <v>93</v>
      </c>
      <c r="I209" s="1" t="s">
        <v>36</v>
      </c>
      <c r="J209" s="2">
        <v>45346</v>
      </c>
      <c r="K209" s="2">
        <v>45351</v>
      </c>
      <c r="L209" s="1">
        <v>5</v>
      </c>
      <c r="M209" s="1" t="s">
        <v>56</v>
      </c>
      <c r="N209" s="1" t="s">
        <v>85</v>
      </c>
      <c r="O209" s="4">
        <v>76928.100000000006</v>
      </c>
      <c r="P209" s="1">
        <v>4</v>
      </c>
      <c r="Q209" s="10" t="s">
        <v>40</v>
      </c>
      <c r="R209" s="14" t="str" cm="1">
        <f t="array" ref="R209">_xlfn.IFS(C209&lt;18,"Under 18",C209&lt;36,"18-35",C209&lt;51,"36-50",C209&lt;66,"51-65",C209&gt;=66,"66+")</f>
        <v>Under 18</v>
      </c>
      <c r="S209" s="18">
        <v>45323</v>
      </c>
    </row>
    <row r="210" spans="1:19">
      <c r="A210" s="21" t="s">
        <v>590</v>
      </c>
      <c r="B210" s="1" t="s">
        <v>551</v>
      </c>
      <c r="C210" s="1">
        <v>53</v>
      </c>
      <c r="D210" s="1" t="s">
        <v>27</v>
      </c>
      <c r="E210" s="1" t="s">
        <v>202</v>
      </c>
      <c r="F210" s="1" t="s">
        <v>33</v>
      </c>
      <c r="G210" s="1" t="s">
        <v>22</v>
      </c>
      <c r="H210" s="1" t="s">
        <v>93</v>
      </c>
      <c r="I210" s="1" t="s">
        <v>62</v>
      </c>
      <c r="J210" s="2">
        <v>45760</v>
      </c>
      <c r="K210" s="2">
        <v>45762</v>
      </c>
      <c r="L210" s="1">
        <v>2</v>
      </c>
      <c r="M210" s="1" t="s">
        <v>56</v>
      </c>
      <c r="N210" s="1" t="s">
        <v>39</v>
      </c>
      <c r="O210" s="4">
        <v>36281.949999999997</v>
      </c>
      <c r="P210" s="1">
        <v>5</v>
      </c>
      <c r="Q210" s="10" t="s">
        <v>29</v>
      </c>
      <c r="R210" s="14" t="str" cm="1">
        <f t="array" ref="R210">_xlfn.IFS(C210&lt;18,"Under 18",C210&lt;36,"18-35",C210&lt;51,"36-50",C210&lt;66,"51-65",C210&gt;=66,"66+")</f>
        <v>51-65</v>
      </c>
      <c r="S210" s="18">
        <v>45748</v>
      </c>
    </row>
    <row r="211" spans="1:19">
      <c r="A211" s="21" t="s">
        <v>592</v>
      </c>
      <c r="B211" s="1" t="s">
        <v>593</v>
      </c>
      <c r="C211" s="1">
        <v>74</v>
      </c>
      <c r="D211" s="1" t="s">
        <v>19</v>
      </c>
      <c r="E211" s="1" t="s">
        <v>51</v>
      </c>
      <c r="F211" s="1" t="s">
        <v>21</v>
      </c>
      <c r="G211" s="1" t="s">
        <v>36</v>
      </c>
      <c r="H211" s="1" t="s">
        <v>76</v>
      </c>
      <c r="I211" s="1" t="s">
        <v>24</v>
      </c>
      <c r="J211" s="2">
        <v>45793</v>
      </c>
      <c r="K211" s="2">
        <v>45794</v>
      </c>
      <c r="L211" s="1">
        <v>1</v>
      </c>
      <c r="M211" s="1" t="s">
        <v>38</v>
      </c>
      <c r="N211" s="1" t="s">
        <v>28</v>
      </c>
      <c r="O211" s="4">
        <v>43318.86</v>
      </c>
      <c r="P211" s="1">
        <v>4</v>
      </c>
      <c r="Q211" s="10" t="s">
        <v>40</v>
      </c>
      <c r="R211" s="14" t="str" cm="1">
        <f t="array" ref="R211">_xlfn.IFS(C211&lt;18,"Under 18",C211&lt;36,"18-35",C211&lt;51,"36-50",C211&lt;66,"51-65",C211&gt;=66,"66+")</f>
        <v>66+</v>
      </c>
      <c r="S211" s="18">
        <v>45778</v>
      </c>
    </row>
    <row r="212" spans="1:19">
      <c r="A212" s="21" t="s">
        <v>594</v>
      </c>
      <c r="B212" s="1" t="s">
        <v>74</v>
      </c>
      <c r="C212" s="1">
        <v>68</v>
      </c>
      <c r="D212" s="1" t="s">
        <v>19</v>
      </c>
      <c r="E212" s="1" t="s">
        <v>66</v>
      </c>
      <c r="F212" s="1" t="s">
        <v>75</v>
      </c>
      <c r="G212" s="1" t="s">
        <v>132</v>
      </c>
      <c r="H212" s="1" t="s">
        <v>88</v>
      </c>
      <c r="I212" s="1" t="s">
        <v>36</v>
      </c>
      <c r="J212" s="2">
        <v>45310</v>
      </c>
      <c r="K212" s="2">
        <v>45311</v>
      </c>
      <c r="L212" s="1">
        <v>1</v>
      </c>
      <c r="M212" s="1" t="s">
        <v>38</v>
      </c>
      <c r="N212" s="1" t="s">
        <v>82</v>
      </c>
      <c r="O212" s="4">
        <v>34782.74</v>
      </c>
      <c r="P212" s="1">
        <v>2</v>
      </c>
      <c r="Q212" s="10" t="s">
        <v>58</v>
      </c>
      <c r="R212" s="14" t="str" cm="1">
        <f t="array" ref="R212">_xlfn.IFS(C212&lt;18,"Under 18",C212&lt;36,"18-35",C212&lt;51,"36-50",C212&lt;66,"51-65",C212&gt;=66,"66+")</f>
        <v>66+</v>
      </c>
      <c r="S212" s="18">
        <v>45292</v>
      </c>
    </row>
    <row r="213" spans="1:19">
      <c r="A213" s="21" t="s">
        <v>596</v>
      </c>
      <c r="B213" s="1" t="s">
        <v>553</v>
      </c>
      <c r="C213" s="1">
        <v>67</v>
      </c>
      <c r="D213" s="1" t="s">
        <v>27</v>
      </c>
      <c r="E213" s="1" t="s">
        <v>202</v>
      </c>
      <c r="F213" s="1" t="s">
        <v>21</v>
      </c>
      <c r="G213" s="1" t="s">
        <v>110</v>
      </c>
      <c r="H213" s="1" t="s">
        <v>88</v>
      </c>
      <c r="I213" s="1" t="s">
        <v>36</v>
      </c>
      <c r="J213" s="2">
        <v>45828</v>
      </c>
      <c r="K213" s="2">
        <v>45831</v>
      </c>
      <c r="L213" s="1">
        <v>3</v>
      </c>
      <c r="M213" s="1" t="s">
        <v>56</v>
      </c>
      <c r="N213" s="1" t="s">
        <v>85</v>
      </c>
      <c r="O213" s="4">
        <v>139036.09</v>
      </c>
      <c r="P213" s="1">
        <v>5</v>
      </c>
      <c r="Q213" s="10" t="s">
        <v>72</v>
      </c>
      <c r="R213" s="14" t="str" cm="1">
        <f t="array" ref="R213">_xlfn.IFS(C213&lt;18,"Under 18",C213&lt;36,"18-35",C213&lt;51,"36-50",C213&lt;66,"51-65",C213&gt;=66,"66+")</f>
        <v>66+</v>
      </c>
      <c r="S213" s="18">
        <v>45809</v>
      </c>
    </row>
    <row r="214" spans="1:19">
      <c r="A214" s="21" t="s">
        <v>598</v>
      </c>
      <c r="B214" s="1" t="s">
        <v>253</v>
      </c>
      <c r="C214" s="1">
        <v>76</v>
      </c>
      <c r="D214" s="1" t="s">
        <v>27</v>
      </c>
      <c r="E214" s="1" t="s">
        <v>32</v>
      </c>
      <c r="F214" s="1" t="s">
        <v>52</v>
      </c>
      <c r="G214" s="1" t="s">
        <v>34</v>
      </c>
      <c r="H214" s="1" t="s">
        <v>76</v>
      </c>
      <c r="I214" s="1" t="s">
        <v>36</v>
      </c>
      <c r="J214" s="2">
        <v>45465</v>
      </c>
      <c r="K214" s="2">
        <v>45468</v>
      </c>
      <c r="L214" s="1">
        <v>3</v>
      </c>
      <c r="M214" s="1" t="s">
        <v>48</v>
      </c>
      <c r="N214" s="1" t="s">
        <v>63</v>
      </c>
      <c r="O214" s="4">
        <v>108678.42</v>
      </c>
      <c r="P214" s="1">
        <v>4</v>
      </c>
      <c r="Q214" s="10" t="s">
        <v>72</v>
      </c>
      <c r="R214" s="14" t="str" cm="1">
        <f t="array" ref="R214">_xlfn.IFS(C214&lt;18,"Under 18",C214&lt;36,"18-35",C214&lt;51,"36-50",C214&lt;66,"51-65",C214&gt;=66,"66+")</f>
        <v>66+</v>
      </c>
      <c r="S214" s="18">
        <v>45444</v>
      </c>
    </row>
    <row r="215" spans="1:19">
      <c r="A215" s="21" t="s">
        <v>600</v>
      </c>
      <c r="B215" s="1" t="s">
        <v>79</v>
      </c>
      <c r="C215" s="1">
        <v>54</v>
      </c>
      <c r="D215" s="1" t="s">
        <v>43</v>
      </c>
      <c r="E215" s="1" t="s">
        <v>44</v>
      </c>
      <c r="F215" s="1" t="s">
        <v>67</v>
      </c>
      <c r="G215" s="1" t="s">
        <v>110</v>
      </c>
      <c r="H215" s="1" t="s">
        <v>61</v>
      </c>
      <c r="I215" s="1" t="s">
        <v>24</v>
      </c>
      <c r="J215" s="2">
        <v>45681</v>
      </c>
      <c r="K215" s="2">
        <v>45685</v>
      </c>
      <c r="L215" s="1">
        <v>4</v>
      </c>
      <c r="M215" s="1" t="s">
        <v>56</v>
      </c>
      <c r="N215" s="1" t="s">
        <v>57</v>
      </c>
      <c r="O215" s="4">
        <v>110895.1</v>
      </c>
      <c r="P215" s="1">
        <v>3</v>
      </c>
      <c r="Q215" s="10" t="s">
        <v>72</v>
      </c>
      <c r="R215" s="14" t="str" cm="1">
        <f t="array" ref="R215">_xlfn.IFS(C215&lt;18,"Under 18",C215&lt;36,"18-35",C215&lt;51,"36-50",C215&lt;66,"51-65",C215&gt;=66,"66+")</f>
        <v>51-65</v>
      </c>
      <c r="S215" s="18">
        <v>45658</v>
      </c>
    </row>
    <row r="216" spans="1:19">
      <c r="A216" s="21" t="s">
        <v>602</v>
      </c>
      <c r="B216" s="1" t="s">
        <v>603</v>
      </c>
      <c r="C216" s="1">
        <v>66</v>
      </c>
      <c r="D216" s="1" t="s">
        <v>27</v>
      </c>
      <c r="E216" s="1" t="s">
        <v>247</v>
      </c>
      <c r="F216" s="1" t="s">
        <v>52</v>
      </c>
      <c r="G216" s="1" t="s">
        <v>104</v>
      </c>
      <c r="H216" s="1" t="s">
        <v>61</v>
      </c>
      <c r="I216" s="1" t="s">
        <v>62</v>
      </c>
      <c r="J216" s="2">
        <v>45924</v>
      </c>
      <c r="K216" s="2">
        <v>45926</v>
      </c>
      <c r="L216" s="1">
        <v>2</v>
      </c>
      <c r="M216" s="1" t="s">
        <v>38</v>
      </c>
      <c r="N216" s="1" t="s">
        <v>85</v>
      </c>
      <c r="O216" s="4">
        <v>56457.13</v>
      </c>
      <c r="P216" s="1">
        <v>5</v>
      </c>
      <c r="Q216" s="10" t="s">
        <v>72</v>
      </c>
      <c r="R216" s="14" t="str" cm="1">
        <f t="array" ref="R216">_xlfn.IFS(C216&lt;18,"Under 18",C216&lt;36,"18-35",C216&lt;51,"36-50",C216&lt;66,"51-65",C216&gt;=66,"66+")</f>
        <v>66+</v>
      </c>
      <c r="S216" s="18">
        <v>45901</v>
      </c>
    </row>
    <row r="217" spans="1:19">
      <c r="A217" s="21" t="s">
        <v>606</v>
      </c>
      <c r="B217" s="1" t="s">
        <v>291</v>
      </c>
      <c r="C217" s="1">
        <v>71</v>
      </c>
      <c r="D217" s="1" t="s">
        <v>43</v>
      </c>
      <c r="E217" s="1" t="s">
        <v>32</v>
      </c>
      <c r="F217" s="1" t="s">
        <v>120</v>
      </c>
      <c r="G217" s="1" t="s">
        <v>22</v>
      </c>
      <c r="H217" s="1" t="s">
        <v>69</v>
      </c>
      <c r="I217" s="1" t="s">
        <v>24</v>
      </c>
      <c r="J217" s="2">
        <v>45504</v>
      </c>
      <c r="K217" s="2">
        <v>45299</v>
      </c>
      <c r="L217" s="1">
        <v>1</v>
      </c>
      <c r="M217" s="1" t="s">
        <v>56</v>
      </c>
      <c r="N217" s="1" t="s">
        <v>57</v>
      </c>
      <c r="O217" s="4">
        <v>60838.6</v>
      </c>
      <c r="P217" s="1">
        <v>3</v>
      </c>
      <c r="Q217" s="10" t="s">
        <v>40</v>
      </c>
      <c r="R217" s="14" t="str" cm="1">
        <f t="array" ref="R217">_xlfn.IFS(C217&lt;18,"Under 18",C217&lt;36,"18-35",C217&lt;51,"36-50",C217&lt;66,"51-65",C217&gt;=66,"66+")</f>
        <v>66+</v>
      </c>
      <c r="S217" s="18">
        <v>45474</v>
      </c>
    </row>
    <row r="218" spans="1:19">
      <c r="A218" s="21" t="s">
        <v>607</v>
      </c>
      <c r="B218" s="1" t="s">
        <v>264</v>
      </c>
      <c r="C218" s="1">
        <v>34</v>
      </c>
      <c r="D218" s="1" t="s">
        <v>43</v>
      </c>
      <c r="E218" s="1" t="s">
        <v>202</v>
      </c>
      <c r="F218" s="1" t="s">
        <v>75</v>
      </c>
      <c r="G218" s="1" t="s">
        <v>68</v>
      </c>
      <c r="H218" s="1" t="s">
        <v>88</v>
      </c>
      <c r="I218" s="1" t="s">
        <v>36</v>
      </c>
      <c r="J218" s="2">
        <v>45343</v>
      </c>
      <c r="K218" s="2">
        <v>45294</v>
      </c>
      <c r="L218" s="1">
        <v>9</v>
      </c>
      <c r="M218" s="1" t="s">
        <v>56</v>
      </c>
      <c r="N218" s="1" t="s">
        <v>82</v>
      </c>
      <c r="O218" s="4">
        <v>88145.64</v>
      </c>
      <c r="P218" s="1">
        <v>3</v>
      </c>
      <c r="Q218" s="10" t="s">
        <v>40</v>
      </c>
      <c r="R218" s="14" t="str" cm="1">
        <f t="array" ref="R218">_xlfn.IFS(C218&lt;18,"Under 18",C218&lt;36,"18-35",C218&lt;51,"36-50",C218&lt;66,"51-65",C218&gt;=66,"66+")</f>
        <v>18-35</v>
      </c>
      <c r="S218" s="18">
        <v>45323</v>
      </c>
    </row>
    <row r="219" spans="1:19">
      <c r="A219" s="21" t="s">
        <v>608</v>
      </c>
      <c r="B219" s="1" t="s">
        <v>538</v>
      </c>
      <c r="C219" s="1">
        <v>57</v>
      </c>
      <c r="D219" s="1" t="s">
        <v>27</v>
      </c>
      <c r="E219" s="1" t="s">
        <v>137</v>
      </c>
      <c r="F219" s="1" t="s">
        <v>52</v>
      </c>
      <c r="G219" s="1" t="s">
        <v>110</v>
      </c>
      <c r="H219" s="1" t="s">
        <v>45</v>
      </c>
      <c r="I219" s="1" t="s">
        <v>36</v>
      </c>
      <c r="J219" s="2">
        <v>45301</v>
      </c>
      <c r="K219" s="2">
        <v>45332</v>
      </c>
      <c r="L219" s="1">
        <v>1</v>
      </c>
      <c r="M219" s="1" t="s">
        <v>48</v>
      </c>
      <c r="N219" s="1" t="s">
        <v>85</v>
      </c>
      <c r="O219" s="4">
        <v>85239.72</v>
      </c>
      <c r="P219" s="1">
        <v>3</v>
      </c>
      <c r="Q219" s="10" t="s">
        <v>72</v>
      </c>
      <c r="R219" s="14" t="str" cm="1">
        <f t="array" ref="R219">_xlfn.IFS(C219&lt;18,"Under 18",C219&lt;36,"18-35",C219&lt;51,"36-50",C219&lt;66,"51-65",C219&gt;=66,"66+")</f>
        <v>51-65</v>
      </c>
      <c r="S219" s="18">
        <v>45292</v>
      </c>
    </row>
    <row r="220" spans="1:19">
      <c r="A220" s="21" t="s">
        <v>609</v>
      </c>
      <c r="B220" s="1" t="s">
        <v>259</v>
      </c>
      <c r="C220" s="1">
        <v>21</v>
      </c>
      <c r="D220" s="1" t="s">
        <v>19</v>
      </c>
      <c r="E220" s="1" t="s">
        <v>66</v>
      </c>
      <c r="F220" s="1" t="s">
        <v>33</v>
      </c>
      <c r="G220" s="1" t="s">
        <v>104</v>
      </c>
      <c r="H220" s="1" t="s">
        <v>35</v>
      </c>
      <c r="I220" s="1" t="s">
        <v>62</v>
      </c>
      <c r="J220" s="2">
        <v>45691</v>
      </c>
      <c r="K220" s="2">
        <v>45811</v>
      </c>
      <c r="L220" s="1">
        <v>4</v>
      </c>
      <c r="M220" s="1" t="s">
        <v>48</v>
      </c>
      <c r="N220" s="1" t="s">
        <v>57</v>
      </c>
      <c r="O220" s="4">
        <v>56626.59</v>
      </c>
      <c r="P220" s="1">
        <v>5</v>
      </c>
      <c r="Q220" s="10" t="s">
        <v>58</v>
      </c>
      <c r="R220" s="14" t="str" cm="1">
        <f t="array" ref="R220">_xlfn.IFS(C220&lt;18,"Under 18",C220&lt;36,"18-35",C220&lt;51,"36-50",C220&lt;66,"51-65",C220&gt;=66,"66+")</f>
        <v>18-35</v>
      </c>
      <c r="S220" s="18">
        <v>45689</v>
      </c>
    </row>
    <row r="221" spans="1:19">
      <c r="A221" s="21" t="s">
        <v>610</v>
      </c>
      <c r="B221" s="1" t="s">
        <v>109</v>
      </c>
      <c r="C221" s="1">
        <v>6</v>
      </c>
      <c r="D221" s="1" t="s">
        <v>19</v>
      </c>
      <c r="E221" s="1" t="s">
        <v>137</v>
      </c>
      <c r="F221" s="1" t="s">
        <v>52</v>
      </c>
      <c r="G221" s="1" t="s">
        <v>132</v>
      </c>
      <c r="H221" s="1" t="s">
        <v>88</v>
      </c>
      <c r="I221" s="1" t="s">
        <v>24</v>
      </c>
      <c r="J221" s="2">
        <v>45559</v>
      </c>
      <c r="K221" s="2">
        <v>45561</v>
      </c>
      <c r="L221" s="1">
        <v>2</v>
      </c>
      <c r="M221" s="1" t="s">
        <v>56</v>
      </c>
      <c r="N221" s="1" t="s">
        <v>57</v>
      </c>
      <c r="O221" s="4">
        <v>49894.28</v>
      </c>
      <c r="P221" s="1">
        <v>4</v>
      </c>
      <c r="Q221" s="10" t="s">
        <v>40</v>
      </c>
      <c r="R221" s="14" t="str" cm="1">
        <f t="array" ref="R221">_xlfn.IFS(C221&lt;18,"Under 18",C221&lt;36,"18-35",C221&lt;51,"36-50",C221&lt;66,"51-65",C221&gt;=66,"66+")</f>
        <v>Under 18</v>
      </c>
      <c r="S221" s="18">
        <v>45536</v>
      </c>
    </row>
    <row r="222" spans="1:19">
      <c r="A222" s="21" t="s">
        <v>612</v>
      </c>
      <c r="B222" s="1" t="s">
        <v>613</v>
      </c>
      <c r="C222" s="1">
        <v>85</v>
      </c>
      <c r="D222" s="1" t="s">
        <v>27</v>
      </c>
      <c r="E222" s="1" t="s">
        <v>32</v>
      </c>
      <c r="F222" s="1" t="s">
        <v>33</v>
      </c>
      <c r="G222" s="1" t="s">
        <v>34</v>
      </c>
      <c r="H222" s="1" t="s">
        <v>99</v>
      </c>
      <c r="I222" s="1" t="s">
        <v>62</v>
      </c>
      <c r="J222" s="2">
        <v>45948</v>
      </c>
      <c r="K222" s="2">
        <v>45949</v>
      </c>
      <c r="L222" s="1">
        <v>1</v>
      </c>
      <c r="M222" s="1" t="s">
        <v>56</v>
      </c>
      <c r="N222" s="1" t="s">
        <v>82</v>
      </c>
      <c r="O222" s="4">
        <v>79090.070000000007</v>
      </c>
      <c r="P222" s="1">
        <v>5</v>
      </c>
      <c r="Q222" s="10" t="s">
        <v>40</v>
      </c>
      <c r="R222" s="14" t="str" cm="1">
        <f t="array" ref="R222">_xlfn.IFS(C222&lt;18,"Under 18",C222&lt;36,"18-35",C222&lt;51,"36-50",C222&lt;66,"51-65",C222&gt;=66,"66+")</f>
        <v>66+</v>
      </c>
      <c r="S222" s="18">
        <v>45931</v>
      </c>
    </row>
    <row r="223" spans="1:19">
      <c r="A223" s="21" t="s">
        <v>614</v>
      </c>
      <c r="B223" s="1" t="s">
        <v>615</v>
      </c>
      <c r="C223" s="1">
        <v>7</v>
      </c>
      <c r="D223" s="1" t="s">
        <v>27</v>
      </c>
      <c r="E223" s="1" t="s">
        <v>159</v>
      </c>
      <c r="F223" s="1" t="s">
        <v>33</v>
      </c>
      <c r="G223" s="1" t="s">
        <v>132</v>
      </c>
      <c r="H223" s="1" t="s">
        <v>45</v>
      </c>
      <c r="I223" s="1" t="s">
        <v>62</v>
      </c>
      <c r="J223" s="2">
        <v>45520</v>
      </c>
      <c r="K223" s="2">
        <v>45526</v>
      </c>
      <c r="L223" s="1">
        <v>6</v>
      </c>
      <c r="M223" s="1" t="s">
        <v>48</v>
      </c>
      <c r="N223" s="1" t="s">
        <v>57</v>
      </c>
      <c r="O223" s="4">
        <v>45513.91</v>
      </c>
      <c r="P223" s="1">
        <v>5</v>
      </c>
      <c r="Q223" s="10" t="s">
        <v>72</v>
      </c>
      <c r="R223" s="14" t="str" cm="1">
        <f t="array" ref="R223">_xlfn.IFS(C223&lt;18,"Under 18",C223&lt;36,"18-35",C223&lt;51,"36-50",C223&lt;66,"51-65",C223&gt;=66,"66+")</f>
        <v>Under 18</v>
      </c>
      <c r="S223" s="18">
        <v>45505</v>
      </c>
    </row>
    <row r="224" spans="1:19">
      <c r="A224" s="21" t="s">
        <v>618</v>
      </c>
      <c r="B224" s="1" t="s">
        <v>236</v>
      </c>
      <c r="C224" s="1">
        <v>14</v>
      </c>
      <c r="D224" s="1" t="s">
        <v>43</v>
      </c>
      <c r="E224" s="1" t="s">
        <v>247</v>
      </c>
      <c r="F224" s="1" t="s">
        <v>75</v>
      </c>
      <c r="G224" s="1" t="s">
        <v>68</v>
      </c>
      <c r="H224" s="1" t="s">
        <v>23</v>
      </c>
      <c r="I224" s="1" t="s">
        <v>36</v>
      </c>
      <c r="J224" s="2">
        <v>45714</v>
      </c>
      <c r="K224" s="2">
        <v>45715</v>
      </c>
      <c r="L224" s="1">
        <v>1</v>
      </c>
      <c r="M224" s="1" t="s">
        <v>97</v>
      </c>
      <c r="N224" s="1" t="s">
        <v>82</v>
      </c>
      <c r="O224" s="4">
        <v>53050.28</v>
      </c>
      <c r="P224" s="1">
        <v>4</v>
      </c>
      <c r="Q224" s="10" t="s">
        <v>58</v>
      </c>
      <c r="R224" s="14" t="str" cm="1">
        <f t="array" ref="R224">_xlfn.IFS(C224&lt;18,"Under 18",C224&lt;36,"18-35",C224&lt;51,"36-50",C224&lt;66,"51-65",C224&gt;=66,"66+")</f>
        <v>Under 18</v>
      </c>
      <c r="S224" s="18">
        <v>45689</v>
      </c>
    </row>
    <row r="225" spans="1:19">
      <c r="A225" s="21" t="s">
        <v>619</v>
      </c>
      <c r="B225" s="1" t="s">
        <v>384</v>
      </c>
      <c r="C225" s="1">
        <v>85</v>
      </c>
      <c r="D225" s="1" t="s">
        <v>43</v>
      </c>
      <c r="E225" s="1" t="s">
        <v>32</v>
      </c>
      <c r="F225" s="1" t="s">
        <v>75</v>
      </c>
      <c r="G225" s="1" t="s">
        <v>34</v>
      </c>
      <c r="H225" s="1" t="s">
        <v>88</v>
      </c>
      <c r="I225" s="1" t="s">
        <v>36</v>
      </c>
      <c r="J225" s="2">
        <v>45873</v>
      </c>
      <c r="K225" s="2">
        <v>45904</v>
      </c>
      <c r="L225" s="1">
        <v>1</v>
      </c>
      <c r="M225" s="1" t="s">
        <v>97</v>
      </c>
      <c r="N225" s="1" t="s">
        <v>85</v>
      </c>
      <c r="O225" s="4">
        <v>67138.7</v>
      </c>
      <c r="P225" s="1">
        <v>5</v>
      </c>
      <c r="Q225" s="10" t="s">
        <v>58</v>
      </c>
      <c r="R225" s="14" t="str" cm="1">
        <f t="array" ref="R225">_xlfn.IFS(C225&lt;18,"Under 18",C225&lt;36,"18-35",C225&lt;51,"36-50",C225&lt;66,"51-65",C225&gt;=66,"66+")</f>
        <v>66+</v>
      </c>
      <c r="S225" s="18">
        <v>45870</v>
      </c>
    </row>
    <row r="226" spans="1:19">
      <c r="A226" s="21" t="s">
        <v>620</v>
      </c>
      <c r="B226" s="1" t="s">
        <v>31</v>
      </c>
      <c r="C226" s="1">
        <v>14</v>
      </c>
      <c r="D226" s="1" t="s">
        <v>43</v>
      </c>
      <c r="E226" s="1" t="s">
        <v>137</v>
      </c>
      <c r="F226" s="1" t="s">
        <v>75</v>
      </c>
      <c r="G226" s="1" t="s">
        <v>36</v>
      </c>
      <c r="H226" s="1" t="s">
        <v>61</v>
      </c>
      <c r="I226" s="1" t="s">
        <v>24</v>
      </c>
      <c r="J226" s="2">
        <v>45917</v>
      </c>
      <c r="K226" s="2">
        <v>45918</v>
      </c>
      <c r="L226" s="1">
        <v>1</v>
      </c>
      <c r="M226" s="1" t="s">
        <v>27</v>
      </c>
      <c r="N226" s="1" t="s">
        <v>28</v>
      </c>
      <c r="O226" s="4">
        <v>45364.36</v>
      </c>
      <c r="P226" s="1">
        <v>5</v>
      </c>
      <c r="Q226" s="10" t="s">
        <v>58</v>
      </c>
      <c r="R226" s="14" t="str" cm="1">
        <f t="array" ref="R226">_xlfn.IFS(C226&lt;18,"Under 18",C226&lt;36,"18-35",C226&lt;51,"36-50",C226&lt;66,"51-65",C226&gt;=66,"66+")</f>
        <v>Under 18</v>
      </c>
      <c r="S226" s="18">
        <v>45901</v>
      </c>
    </row>
    <row r="227" spans="1:19">
      <c r="A227" s="21" t="s">
        <v>622</v>
      </c>
      <c r="B227" s="1" t="s">
        <v>378</v>
      </c>
      <c r="C227" s="1">
        <v>59</v>
      </c>
      <c r="D227" s="1" t="s">
        <v>27</v>
      </c>
      <c r="E227" s="1" t="s">
        <v>44</v>
      </c>
      <c r="F227" s="1" t="s">
        <v>21</v>
      </c>
      <c r="G227" s="1" t="s">
        <v>34</v>
      </c>
      <c r="H227" s="1" t="s">
        <v>23</v>
      </c>
      <c r="I227" s="1" t="s">
        <v>24</v>
      </c>
      <c r="J227" s="2">
        <v>45895</v>
      </c>
      <c r="K227" s="2">
        <v>45896</v>
      </c>
      <c r="L227" s="1">
        <v>1</v>
      </c>
      <c r="M227" s="1" t="s">
        <v>56</v>
      </c>
      <c r="N227" s="1" t="s">
        <v>28</v>
      </c>
      <c r="O227" s="4">
        <v>156937.26</v>
      </c>
      <c r="P227" s="1">
        <v>4</v>
      </c>
      <c r="Q227" s="10" t="s">
        <v>58</v>
      </c>
      <c r="R227" s="14" t="str" cm="1">
        <f t="array" ref="R227">_xlfn.IFS(C227&lt;18,"Under 18",C227&lt;36,"18-35",C227&lt;51,"36-50",C227&lt;66,"51-65",C227&gt;=66,"66+")</f>
        <v>51-65</v>
      </c>
      <c r="S227" s="18">
        <v>45870</v>
      </c>
    </row>
    <row r="228" spans="1:19">
      <c r="A228" s="21" t="s">
        <v>624</v>
      </c>
      <c r="B228" s="1" t="s">
        <v>299</v>
      </c>
      <c r="C228" s="1">
        <v>85</v>
      </c>
      <c r="D228" s="1" t="s">
        <v>27</v>
      </c>
      <c r="E228" s="1" t="s">
        <v>66</v>
      </c>
      <c r="F228" s="1" t="s">
        <v>21</v>
      </c>
      <c r="G228" s="1" t="s">
        <v>132</v>
      </c>
      <c r="H228" s="1" t="s">
        <v>105</v>
      </c>
      <c r="I228" s="1" t="s">
        <v>62</v>
      </c>
      <c r="J228" s="2">
        <v>46000</v>
      </c>
      <c r="K228" s="2">
        <v>45916</v>
      </c>
      <c r="L228" s="1">
        <v>4</v>
      </c>
      <c r="M228" s="1" t="s">
        <v>27</v>
      </c>
      <c r="N228" s="1" t="s">
        <v>63</v>
      </c>
      <c r="O228" s="4">
        <v>41044.51</v>
      </c>
      <c r="P228" s="1">
        <v>4</v>
      </c>
      <c r="Q228" s="10" t="s">
        <v>40</v>
      </c>
      <c r="R228" s="14" t="str" cm="1">
        <f t="array" ref="R228">_xlfn.IFS(C228&lt;18,"Under 18",C228&lt;36,"18-35",C228&lt;51,"36-50",C228&lt;66,"51-65",C228&gt;=66,"66+")</f>
        <v>66+</v>
      </c>
      <c r="S228" s="18">
        <v>45992</v>
      </c>
    </row>
    <row r="229" spans="1:19">
      <c r="A229" s="21" t="s">
        <v>626</v>
      </c>
      <c r="B229" s="1" t="s">
        <v>499</v>
      </c>
      <c r="C229" s="1">
        <v>90</v>
      </c>
      <c r="D229" s="1" t="s">
        <v>27</v>
      </c>
      <c r="E229" s="1" t="s">
        <v>66</v>
      </c>
      <c r="F229" s="1" t="s">
        <v>67</v>
      </c>
      <c r="G229" s="1" t="s">
        <v>132</v>
      </c>
      <c r="H229" s="1" t="s">
        <v>61</v>
      </c>
      <c r="I229" s="1" t="s">
        <v>24</v>
      </c>
      <c r="J229" s="2">
        <v>45613</v>
      </c>
      <c r="K229" s="2">
        <v>45620</v>
      </c>
      <c r="L229" s="1">
        <v>7</v>
      </c>
      <c r="M229" s="1" t="s">
        <v>38</v>
      </c>
      <c r="N229" s="1" t="s">
        <v>63</v>
      </c>
      <c r="O229" s="4">
        <v>27309.03</v>
      </c>
      <c r="P229" s="1">
        <v>5</v>
      </c>
      <c r="Q229" s="10" t="s">
        <v>72</v>
      </c>
      <c r="R229" s="14" t="str" cm="1">
        <f t="array" ref="R229">_xlfn.IFS(C229&lt;18,"Under 18",C229&lt;36,"18-35",C229&lt;51,"36-50",C229&lt;66,"51-65",C229&gt;=66,"66+")</f>
        <v>66+</v>
      </c>
      <c r="S229" s="18">
        <v>45597</v>
      </c>
    </row>
    <row r="230" spans="1:19">
      <c r="A230" s="21" t="s">
        <v>628</v>
      </c>
      <c r="B230" s="1" t="s">
        <v>18</v>
      </c>
      <c r="C230" s="1">
        <v>46</v>
      </c>
      <c r="D230" s="1" t="s">
        <v>27</v>
      </c>
      <c r="E230" s="1" t="s">
        <v>202</v>
      </c>
      <c r="F230" s="1" t="s">
        <v>33</v>
      </c>
      <c r="G230" s="1" t="s">
        <v>36</v>
      </c>
      <c r="H230" s="1" t="s">
        <v>23</v>
      </c>
      <c r="I230" s="1" t="s">
        <v>36</v>
      </c>
      <c r="J230" s="2">
        <v>45813</v>
      </c>
      <c r="K230" s="2">
        <v>45966</v>
      </c>
      <c r="L230" s="1">
        <v>5</v>
      </c>
      <c r="M230" s="1" t="s">
        <v>48</v>
      </c>
      <c r="N230" s="1" t="s">
        <v>63</v>
      </c>
      <c r="O230" s="4">
        <v>32872.74</v>
      </c>
      <c r="P230" s="1">
        <v>5</v>
      </c>
      <c r="Q230" s="10" t="s">
        <v>72</v>
      </c>
      <c r="R230" s="14" t="str" cm="1">
        <f t="array" ref="R230">_xlfn.IFS(C230&lt;18,"Under 18",C230&lt;36,"18-35",C230&lt;51,"36-50",C230&lt;66,"51-65",C230&gt;=66,"66+")</f>
        <v>36-50</v>
      </c>
      <c r="S230" s="18">
        <v>45809</v>
      </c>
    </row>
    <row r="231" spans="1:19">
      <c r="A231" s="21" t="s">
        <v>629</v>
      </c>
      <c r="B231" s="1" t="s">
        <v>615</v>
      </c>
      <c r="C231" s="1">
        <v>26</v>
      </c>
      <c r="D231" s="1" t="s">
        <v>43</v>
      </c>
      <c r="E231" s="1" t="s">
        <v>44</v>
      </c>
      <c r="F231" s="1" t="s">
        <v>52</v>
      </c>
      <c r="G231" s="1" t="s">
        <v>34</v>
      </c>
      <c r="H231" s="1" t="s">
        <v>105</v>
      </c>
      <c r="I231" s="1" t="s">
        <v>24</v>
      </c>
      <c r="J231" s="2">
        <v>45456</v>
      </c>
      <c r="K231" s="2">
        <v>45462</v>
      </c>
      <c r="L231" s="1">
        <v>6</v>
      </c>
      <c r="M231" s="1" t="s">
        <v>27</v>
      </c>
      <c r="N231" s="1" t="s">
        <v>39</v>
      </c>
      <c r="O231" s="4">
        <v>45368.39</v>
      </c>
      <c r="P231" s="1">
        <v>4</v>
      </c>
      <c r="Q231" s="10" t="s">
        <v>29</v>
      </c>
      <c r="R231" s="14" t="str" cm="1">
        <f t="array" ref="R231">_xlfn.IFS(C231&lt;18,"Under 18",C231&lt;36,"18-35",C231&lt;51,"36-50",C231&lt;66,"51-65",C231&gt;=66,"66+")</f>
        <v>18-35</v>
      </c>
      <c r="S231" s="18">
        <v>45444</v>
      </c>
    </row>
    <row r="232" spans="1:19">
      <c r="A232" s="21" t="s">
        <v>631</v>
      </c>
      <c r="B232" s="1" t="s">
        <v>551</v>
      </c>
      <c r="C232" s="1">
        <v>83</v>
      </c>
      <c r="D232" s="1" t="s">
        <v>27</v>
      </c>
      <c r="E232" s="1" t="s">
        <v>202</v>
      </c>
      <c r="F232" s="1" t="s">
        <v>52</v>
      </c>
      <c r="G232" s="1" t="s">
        <v>68</v>
      </c>
      <c r="H232" s="1" t="s">
        <v>99</v>
      </c>
      <c r="I232" s="1" t="s">
        <v>62</v>
      </c>
      <c r="J232" s="2">
        <v>45690</v>
      </c>
      <c r="K232" s="2">
        <v>45810</v>
      </c>
      <c r="L232" s="1">
        <v>4</v>
      </c>
      <c r="M232" s="1" t="s">
        <v>56</v>
      </c>
      <c r="N232" s="1" t="s">
        <v>90</v>
      </c>
      <c r="O232" s="4">
        <v>79633.39</v>
      </c>
      <c r="P232" s="1">
        <v>4</v>
      </c>
      <c r="Q232" s="10" t="s">
        <v>58</v>
      </c>
      <c r="R232" s="14" t="str" cm="1">
        <f t="array" ref="R232">_xlfn.IFS(C232&lt;18,"Under 18",C232&lt;36,"18-35",C232&lt;51,"36-50",C232&lt;66,"51-65",C232&gt;=66,"66+")</f>
        <v>66+</v>
      </c>
      <c r="S232" s="18">
        <v>45689</v>
      </c>
    </row>
    <row r="233" spans="1:19">
      <c r="A233" s="21" t="s">
        <v>632</v>
      </c>
      <c r="B233" s="1" t="s">
        <v>50</v>
      </c>
      <c r="C233" s="1">
        <v>29</v>
      </c>
      <c r="D233" s="1" t="s">
        <v>27</v>
      </c>
      <c r="E233" s="1" t="s">
        <v>66</v>
      </c>
      <c r="F233" s="1" t="s">
        <v>52</v>
      </c>
      <c r="G233" s="1" t="s">
        <v>132</v>
      </c>
      <c r="H233" s="1" t="s">
        <v>61</v>
      </c>
      <c r="I233" s="1" t="s">
        <v>24</v>
      </c>
      <c r="J233" s="2">
        <v>46013</v>
      </c>
      <c r="K233" s="2">
        <v>46019</v>
      </c>
      <c r="L233" s="1">
        <v>6</v>
      </c>
      <c r="M233" s="1" t="s">
        <v>48</v>
      </c>
      <c r="N233" s="1" t="s">
        <v>57</v>
      </c>
      <c r="O233" s="4">
        <v>33474.97</v>
      </c>
      <c r="P233" s="1">
        <v>3</v>
      </c>
      <c r="Q233" s="10" t="s">
        <v>72</v>
      </c>
      <c r="R233" s="14" t="str" cm="1">
        <f t="array" ref="R233">_xlfn.IFS(C233&lt;18,"Under 18",C233&lt;36,"18-35",C233&lt;51,"36-50",C233&lt;66,"51-65",C233&gt;=66,"66+")</f>
        <v>18-35</v>
      </c>
      <c r="S233" s="18">
        <v>45992</v>
      </c>
    </row>
    <row r="234" spans="1:19">
      <c r="A234" s="21" t="s">
        <v>635</v>
      </c>
      <c r="B234" s="1" t="s">
        <v>636</v>
      </c>
      <c r="C234" s="1">
        <v>55</v>
      </c>
      <c r="D234" s="1" t="s">
        <v>43</v>
      </c>
      <c r="E234" s="1" t="s">
        <v>66</v>
      </c>
      <c r="F234" s="1" t="s">
        <v>120</v>
      </c>
      <c r="G234" s="1" t="s">
        <v>68</v>
      </c>
      <c r="H234" s="1" t="s">
        <v>99</v>
      </c>
      <c r="I234" s="1" t="s">
        <v>24</v>
      </c>
      <c r="J234" s="2">
        <v>45861</v>
      </c>
      <c r="K234" s="2">
        <v>45862</v>
      </c>
      <c r="L234" s="1">
        <v>1</v>
      </c>
      <c r="M234" s="1" t="s">
        <v>48</v>
      </c>
      <c r="N234" s="1" t="s">
        <v>39</v>
      </c>
      <c r="O234" s="4">
        <v>36131.08</v>
      </c>
      <c r="P234" s="1">
        <v>5</v>
      </c>
      <c r="Q234" s="10" t="s">
        <v>40</v>
      </c>
      <c r="R234" s="14" t="str" cm="1">
        <f t="array" ref="R234">_xlfn.IFS(C234&lt;18,"Under 18",C234&lt;36,"18-35",C234&lt;51,"36-50",C234&lt;66,"51-65",C234&gt;=66,"66+")</f>
        <v>51-65</v>
      </c>
      <c r="S234" s="18">
        <v>45839</v>
      </c>
    </row>
    <row r="235" spans="1:19">
      <c r="A235" s="21" t="s">
        <v>639</v>
      </c>
      <c r="B235" s="1" t="s">
        <v>553</v>
      </c>
      <c r="C235" s="1">
        <v>63</v>
      </c>
      <c r="D235" s="1" t="s">
        <v>27</v>
      </c>
      <c r="E235" s="1" t="s">
        <v>51</v>
      </c>
      <c r="F235" s="1" t="s">
        <v>67</v>
      </c>
      <c r="G235" s="1" t="s">
        <v>132</v>
      </c>
      <c r="H235" s="1" t="s">
        <v>35</v>
      </c>
      <c r="I235" s="1" t="s">
        <v>62</v>
      </c>
      <c r="J235" s="2">
        <v>45855</v>
      </c>
      <c r="K235" s="2">
        <v>45856</v>
      </c>
      <c r="L235" s="1">
        <v>1</v>
      </c>
      <c r="M235" s="1" t="s">
        <v>48</v>
      </c>
      <c r="N235" s="1" t="s">
        <v>82</v>
      </c>
      <c r="O235" s="4">
        <v>50004.26</v>
      </c>
      <c r="P235" s="1">
        <v>5</v>
      </c>
      <c r="Q235" s="10" t="s">
        <v>29</v>
      </c>
      <c r="R235" s="14" t="str" cm="1">
        <f t="array" ref="R235">_xlfn.IFS(C235&lt;18,"Under 18",C235&lt;36,"18-35",C235&lt;51,"36-50",C235&lt;66,"51-65",C235&gt;=66,"66+")</f>
        <v>51-65</v>
      </c>
      <c r="S235" s="18">
        <v>45839</v>
      </c>
    </row>
    <row r="236" spans="1:19">
      <c r="A236" s="21" t="s">
        <v>642</v>
      </c>
      <c r="B236" s="1" t="s">
        <v>18</v>
      </c>
      <c r="C236" s="1">
        <v>28</v>
      </c>
      <c r="D236" s="1" t="s">
        <v>27</v>
      </c>
      <c r="E236" s="1" t="s">
        <v>247</v>
      </c>
      <c r="F236" s="1" t="s">
        <v>33</v>
      </c>
      <c r="G236" s="1" t="s">
        <v>104</v>
      </c>
      <c r="H236" s="1" t="s">
        <v>23</v>
      </c>
      <c r="I236" s="1" t="s">
        <v>36</v>
      </c>
      <c r="J236" s="2">
        <v>45424</v>
      </c>
      <c r="K236" s="2">
        <v>45516</v>
      </c>
      <c r="L236" s="1">
        <v>3</v>
      </c>
      <c r="M236" s="1" t="s">
        <v>27</v>
      </c>
      <c r="N236" s="1" t="s">
        <v>90</v>
      </c>
      <c r="O236" s="4">
        <v>72129.25</v>
      </c>
      <c r="P236" s="1">
        <v>5</v>
      </c>
      <c r="Q236" s="10" t="s">
        <v>29</v>
      </c>
      <c r="R236" s="14" t="str" cm="1">
        <f t="array" ref="R236">_xlfn.IFS(C236&lt;18,"Under 18",C236&lt;36,"18-35",C236&lt;51,"36-50",C236&lt;66,"51-65",C236&gt;=66,"66+")</f>
        <v>18-35</v>
      </c>
      <c r="S236" s="18">
        <v>45413</v>
      </c>
    </row>
    <row r="237" spans="1:19">
      <c r="A237" s="21" t="s">
        <v>643</v>
      </c>
      <c r="B237" s="1" t="s">
        <v>644</v>
      </c>
      <c r="C237" s="1">
        <v>6</v>
      </c>
      <c r="D237" s="1" t="s">
        <v>27</v>
      </c>
      <c r="E237" s="1" t="s">
        <v>51</v>
      </c>
      <c r="F237" s="1" t="s">
        <v>67</v>
      </c>
      <c r="G237" s="1" t="s">
        <v>36</v>
      </c>
      <c r="H237" s="1" t="s">
        <v>105</v>
      </c>
      <c r="I237" s="1" t="s">
        <v>62</v>
      </c>
      <c r="J237" s="2">
        <v>45620</v>
      </c>
      <c r="K237" s="2">
        <v>45577</v>
      </c>
      <c r="L237" s="1">
        <v>16</v>
      </c>
      <c r="M237" s="1" t="s">
        <v>97</v>
      </c>
      <c r="N237" s="1" t="s">
        <v>28</v>
      </c>
      <c r="O237" s="4">
        <v>64296.65</v>
      </c>
      <c r="P237" s="1">
        <v>3</v>
      </c>
      <c r="Q237" s="10" t="s">
        <v>40</v>
      </c>
      <c r="R237" s="14" t="str" cm="1">
        <f t="array" ref="R237">_xlfn.IFS(C237&lt;18,"Under 18",C237&lt;36,"18-35",C237&lt;51,"36-50",C237&lt;66,"51-65",C237&gt;=66,"66+")</f>
        <v>Under 18</v>
      </c>
      <c r="S237" s="18">
        <v>45597</v>
      </c>
    </row>
    <row r="238" spans="1:19">
      <c r="A238" s="21" t="s">
        <v>645</v>
      </c>
      <c r="B238" s="1" t="s">
        <v>136</v>
      </c>
      <c r="C238" s="1">
        <v>84</v>
      </c>
      <c r="D238" s="1" t="s">
        <v>19</v>
      </c>
      <c r="E238" s="1" t="s">
        <v>20</v>
      </c>
      <c r="F238" s="1" t="s">
        <v>67</v>
      </c>
      <c r="G238" s="1" t="s">
        <v>34</v>
      </c>
      <c r="H238" s="1" t="s">
        <v>45</v>
      </c>
      <c r="I238" s="1" t="s">
        <v>24</v>
      </c>
      <c r="J238" s="2">
        <v>45620</v>
      </c>
      <c r="K238" s="2">
        <v>45621</v>
      </c>
      <c r="L238" s="1">
        <v>1</v>
      </c>
      <c r="M238" s="1" t="s">
        <v>97</v>
      </c>
      <c r="N238" s="1" t="s">
        <v>63</v>
      </c>
      <c r="O238" s="4">
        <v>48380.95</v>
      </c>
      <c r="P238" s="1">
        <v>3</v>
      </c>
      <c r="Q238" s="10" t="s">
        <v>72</v>
      </c>
      <c r="R238" s="14" t="str" cm="1">
        <f t="array" ref="R238">_xlfn.IFS(C238&lt;18,"Under 18",C238&lt;36,"18-35",C238&lt;51,"36-50",C238&lt;66,"51-65",C238&gt;=66,"66+")</f>
        <v>66+</v>
      </c>
      <c r="S238" s="18">
        <v>45597</v>
      </c>
    </row>
    <row r="239" spans="1:19">
      <c r="A239" s="21" t="s">
        <v>646</v>
      </c>
      <c r="B239" s="1" t="s">
        <v>114</v>
      </c>
      <c r="C239" s="1">
        <v>88</v>
      </c>
      <c r="D239" s="1" t="s">
        <v>19</v>
      </c>
      <c r="E239" s="1" t="s">
        <v>137</v>
      </c>
      <c r="F239" s="1" t="s">
        <v>33</v>
      </c>
      <c r="G239" s="1" t="s">
        <v>68</v>
      </c>
      <c r="H239" s="1" t="s">
        <v>23</v>
      </c>
      <c r="I239" s="1" t="s">
        <v>24</v>
      </c>
      <c r="J239" s="2">
        <v>45316</v>
      </c>
      <c r="K239" s="2">
        <v>45317</v>
      </c>
      <c r="L239" s="1">
        <v>1</v>
      </c>
      <c r="M239" s="1" t="s">
        <v>97</v>
      </c>
      <c r="N239" s="1" t="s">
        <v>57</v>
      </c>
      <c r="O239" s="4">
        <v>17142.27</v>
      </c>
      <c r="P239" s="1">
        <v>5</v>
      </c>
      <c r="Q239" s="10" t="s">
        <v>40</v>
      </c>
      <c r="R239" s="14" t="str" cm="1">
        <f t="array" ref="R239">_xlfn.IFS(C239&lt;18,"Under 18",C239&lt;36,"18-35",C239&lt;51,"36-50",C239&lt;66,"51-65",C239&gt;=66,"66+")</f>
        <v>66+</v>
      </c>
      <c r="S239" s="18">
        <v>45292</v>
      </c>
    </row>
    <row r="240" spans="1:19">
      <c r="A240" s="21" t="s">
        <v>648</v>
      </c>
      <c r="B240" s="1" t="s">
        <v>285</v>
      </c>
      <c r="C240" s="1">
        <v>3</v>
      </c>
      <c r="D240" s="1" t="s">
        <v>43</v>
      </c>
      <c r="E240" s="1" t="s">
        <v>117</v>
      </c>
      <c r="F240" s="1" t="s">
        <v>52</v>
      </c>
      <c r="G240" s="1" t="s">
        <v>22</v>
      </c>
      <c r="H240" s="1" t="s">
        <v>69</v>
      </c>
      <c r="I240" s="1" t="s">
        <v>62</v>
      </c>
      <c r="J240" s="2">
        <v>45981</v>
      </c>
      <c r="K240" s="2">
        <v>45985</v>
      </c>
      <c r="L240" s="1">
        <v>4</v>
      </c>
      <c r="M240" s="1" t="s">
        <v>27</v>
      </c>
      <c r="N240" s="1" t="s">
        <v>28</v>
      </c>
      <c r="O240" s="4">
        <v>15322.73</v>
      </c>
      <c r="P240" s="1">
        <v>5</v>
      </c>
      <c r="Q240" s="10" t="s">
        <v>40</v>
      </c>
      <c r="R240" s="14" t="str" cm="1">
        <f t="array" ref="R240">_xlfn.IFS(C240&lt;18,"Under 18",C240&lt;36,"18-35",C240&lt;51,"36-50",C240&lt;66,"51-65",C240&gt;=66,"66+")</f>
        <v>Under 18</v>
      </c>
      <c r="S240" s="18">
        <v>45962</v>
      </c>
    </row>
    <row r="241" spans="1:19">
      <c r="A241" s="21" t="s">
        <v>650</v>
      </c>
      <c r="B241" s="1" t="s">
        <v>565</v>
      </c>
      <c r="C241" s="1">
        <v>57</v>
      </c>
      <c r="D241" s="1" t="s">
        <v>43</v>
      </c>
      <c r="E241" s="1" t="s">
        <v>66</v>
      </c>
      <c r="F241" s="1" t="s">
        <v>120</v>
      </c>
      <c r="G241" s="1" t="s">
        <v>132</v>
      </c>
      <c r="H241" s="1" t="s">
        <v>35</v>
      </c>
      <c r="I241" s="1" t="s">
        <v>24</v>
      </c>
      <c r="J241" s="2">
        <v>45871</v>
      </c>
      <c r="K241" s="2">
        <v>45902</v>
      </c>
      <c r="L241" s="1">
        <v>1</v>
      </c>
      <c r="M241" s="1" t="s">
        <v>38</v>
      </c>
      <c r="N241" s="1" t="s">
        <v>28</v>
      </c>
      <c r="O241" s="4">
        <v>66513.039999999994</v>
      </c>
      <c r="P241" s="1">
        <v>5</v>
      </c>
      <c r="Q241" s="10" t="s">
        <v>29</v>
      </c>
      <c r="R241" s="14" t="str" cm="1">
        <f t="array" ref="R241">_xlfn.IFS(C241&lt;18,"Under 18",C241&lt;36,"18-35",C241&lt;51,"36-50",C241&lt;66,"51-65",C241&gt;=66,"66+")</f>
        <v>51-65</v>
      </c>
      <c r="S241" s="18">
        <v>45870</v>
      </c>
    </row>
    <row r="242" spans="1:19">
      <c r="A242" s="21" t="s">
        <v>651</v>
      </c>
      <c r="B242" s="1" t="s">
        <v>65</v>
      </c>
      <c r="C242" s="1">
        <v>16</v>
      </c>
      <c r="D242" s="1" t="s">
        <v>19</v>
      </c>
      <c r="E242" s="1" t="s">
        <v>137</v>
      </c>
      <c r="F242" s="1" t="s">
        <v>52</v>
      </c>
      <c r="G242" s="1" t="s">
        <v>22</v>
      </c>
      <c r="H242" s="1" t="s">
        <v>105</v>
      </c>
      <c r="I242" s="1" t="s">
        <v>24</v>
      </c>
      <c r="J242" s="2">
        <v>45444</v>
      </c>
      <c r="K242" s="2">
        <v>45597</v>
      </c>
      <c r="L242" s="1">
        <v>5</v>
      </c>
      <c r="M242" s="1" t="s">
        <v>56</v>
      </c>
      <c r="N242" s="1" t="s">
        <v>85</v>
      </c>
      <c r="O242" s="4">
        <v>27333.86</v>
      </c>
      <c r="P242" s="1">
        <v>5</v>
      </c>
      <c r="Q242" s="10" t="s">
        <v>29</v>
      </c>
      <c r="R242" s="14" t="str" cm="1">
        <f t="array" ref="R242">_xlfn.IFS(C242&lt;18,"Under 18",C242&lt;36,"18-35",C242&lt;51,"36-50",C242&lt;66,"51-65",C242&gt;=66,"66+")</f>
        <v>Under 18</v>
      </c>
      <c r="S242" s="18">
        <v>45444</v>
      </c>
    </row>
    <row r="243" spans="1:19">
      <c r="A243" s="21" t="s">
        <v>652</v>
      </c>
      <c r="B243" s="1" t="s">
        <v>515</v>
      </c>
      <c r="C243" s="1">
        <v>29</v>
      </c>
      <c r="D243" s="1" t="s">
        <v>27</v>
      </c>
      <c r="E243" s="1" t="s">
        <v>32</v>
      </c>
      <c r="F243" s="1" t="s">
        <v>21</v>
      </c>
      <c r="G243" s="1" t="s">
        <v>34</v>
      </c>
      <c r="H243" s="1" t="s">
        <v>23</v>
      </c>
      <c r="I243" s="1" t="s">
        <v>24</v>
      </c>
      <c r="J243" s="2">
        <v>45550</v>
      </c>
      <c r="K243" s="2">
        <v>45551</v>
      </c>
      <c r="L243" s="1">
        <v>1</v>
      </c>
      <c r="M243" s="1" t="s">
        <v>27</v>
      </c>
      <c r="N243" s="1" t="s">
        <v>57</v>
      </c>
      <c r="O243" s="4">
        <v>77400.86</v>
      </c>
      <c r="P243" s="1">
        <v>3</v>
      </c>
      <c r="Q243" s="10" t="s">
        <v>40</v>
      </c>
      <c r="R243" s="14" t="str" cm="1">
        <f t="array" ref="R243">_xlfn.IFS(C243&lt;18,"Under 18",C243&lt;36,"18-35",C243&lt;51,"36-50",C243&lt;66,"51-65",C243&gt;=66,"66+")</f>
        <v>18-35</v>
      </c>
      <c r="S243" s="18">
        <v>45536</v>
      </c>
    </row>
    <row r="244" spans="1:19">
      <c r="A244" s="21" t="s">
        <v>654</v>
      </c>
      <c r="B244" s="1" t="s">
        <v>437</v>
      </c>
      <c r="C244" s="1">
        <v>46</v>
      </c>
      <c r="D244" s="1" t="s">
        <v>19</v>
      </c>
      <c r="E244" s="1" t="s">
        <v>44</v>
      </c>
      <c r="F244" s="1" t="s">
        <v>21</v>
      </c>
      <c r="G244" s="1" t="s">
        <v>22</v>
      </c>
      <c r="H244" s="1" t="s">
        <v>61</v>
      </c>
      <c r="I244" s="1" t="s">
        <v>24</v>
      </c>
      <c r="J244" s="2">
        <v>45979</v>
      </c>
      <c r="K244" s="2">
        <v>45981</v>
      </c>
      <c r="L244" s="1">
        <v>2</v>
      </c>
      <c r="M244" s="1" t="s">
        <v>27</v>
      </c>
      <c r="N244" s="1" t="s">
        <v>82</v>
      </c>
      <c r="O244" s="4">
        <v>35198.370000000003</v>
      </c>
      <c r="P244" s="1">
        <v>4</v>
      </c>
      <c r="Q244" s="10" t="s">
        <v>40</v>
      </c>
      <c r="R244" s="14" t="str" cm="1">
        <f t="array" ref="R244">_xlfn.IFS(C244&lt;18,"Under 18",C244&lt;36,"18-35",C244&lt;51,"36-50",C244&lt;66,"51-65",C244&gt;=66,"66+")</f>
        <v>36-50</v>
      </c>
      <c r="S244" s="18">
        <v>45962</v>
      </c>
    </row>
    <row r="245" spans="1:19">
      <c r="A245" s="21" t="s">
        <v>655</v>
      </c>
      <c r="B245" s="1" t="s">
        <v>656</v>
      </c>
      <c r="C245" s="1">
        <v>55</v>
      </c>
      <c r="D245" s="1" t="s">
        <v>19</v>
      </c>
      <c r="E245" s="1" t="s">
        <v>159</v>
      </c>
      <c r="F245" s="1" t="s">
        <v>33</v>
      </c>
      <c r="G245" s="1" t="s">
        <v>36</v>
      </c>
      <c r="H245" s="1" t="s">
        <v>105</v>
      </c>
      <c r="I245" s="1" t="s">
        <v>62</v>
      </c>
      <c r="J245" s="2">
        <v>45413</v>
      </c>
      <c r="K245" s="2">
        <v>45474</v>
      </c>
      <c r="L245" s="1">
        <v>2</v>
      </c>
      <c r="M245" s="1" t="s">
        <v>38</v>
      </c>
      <c r="N245" s="1" t="s">
        <v>57</v>
      </c>
      <c r="O245" s="4">
        <v>73328.03</v>
      </c>
      <c r="P245" s="1">
        <v>3</v>
      </c>
      <c r="Q245" s="10" t="s">
        <v>72</v>
      </c>
      <c r="R245" s="14" t="str" cm="1">
        <f t="array" ref="R245">_xlfn.IFS(C245&lt;18,"Under 18",C245&lt;36,"18-35",C245&lt;51,"36-50",C245&lt;66,"51-65",C245&gt;=66,"66+")</f>
        <v>51-65</v>
      </c>
      <c r="S245" s="18">
        <v>45413</v>
      </c>
    </row>
    <row r="246" spans="1:19">
      <c r="A246" s="21" t="s">
        <v>657</v>
      </c>
      <c r="B246" s="1" t="s">
        <v>409</v>
      </c>
      <c r="C246" s="1">
        <v>23</v>
      </c>
      <c r="D246" s="1" t="s">
        <v>27</v>
      </c>
      <c r="E246" s="1" t="s">
        <v>51</v>
      </c>
      <c r="F246" s="1" t="s">
        <v>52</v>
      </c>
      <c r="G246" s="1" t="s">
        <v>110</v>
      </c>
      <c r="H246" s="1" t="s">
        <v>23</v>
      </c>
      <c r="I246" s="1" t="s">
        <v>36</v>
      </c>
      <c r="J246" s="2">
        <v>45913</v>
      </c>
      <c r="K246" s="2">
        <v>45923</v>
      </c>
      <c r="L246" s="1">
        <v>10</v>
      </c>
      <c r="M246" s="1" t="s">
        <v>27</v>
      </c>
      <c r="N246" s="1" t="s">
        <v>90</v>
      </c>
      <c r="O246" s="4">
        <v>61245.67</v>
      </c>
      <c r="P246" s="1">
        <v>4</v>
      </c>
      <c r="Q246" s="10" t="s">
        <v>58</v>
      </c>
      <c r="R246" s="14" t="str" cm="1">
        <f t="array" ref="R246">_xlfn.IFS(C246&lt;18,"Under 18",C246&lt;36,"18-35",C246&lt;51,"36-50",C246&lt;66,"51-65",C246&gt;=66,"66+")</f>
        <v>18-35</v>
      </c>
      <c r="S246" s="18">
        <v>45901</v>
      </c>
    </row>
    <row r="247" spans="1:19">
      <c r="A247" s="21" t="s">
        <v>658</v>
      </c>
      <c r="B247" s="1" t="s">
        <v>659</v>
      </c>
      <c r="C247" s="1">
        <v>76</v>
      </c>
      <c r="D247" s="1" t="s">
        <v>19</v>
      </c>
      <c r="E247" s="1" t="s">
        <v>66</v>
      </c>
      <c r="F247" s="1" t="s">
        <v>33</v>
      </c>
      <c r="G247" s="1" t="s">
        <v>104</v>
      </c>
      <c r="H247" s="1" t="s">
        <v>35</v>
      </c>
      <c r="I247" s="1" t="s">
        <v>24</v>
      </c>
      <c r="J247" s="2">
        <v>45475</v>
      </c>
      <c r="K247" s="2">
        <v>45537</v>
      </c>
      <c r="L247" s="1">
        <v>2</v>
      </c>
      <c r="M247" s="1" t="s">
        <v>27</v>
      </c>
      <c r="N247" s="1" t="s">
        <v>28</v>
      </c>
      <c r="O247" s="4">
        <v>38704.76</v>
      </c>
      <c r="P247" s="1">
        <v>3</v>
      </c>
      <c r="Q247" s="10" t="s">
        <v>58</v>
      </c>
      <c r="R247" s="14" t="str" cm="1">
        <f t="array" ref="R247">_xlfn.IFS(C247&lt;18,"Under 18",C247&lt;36,"18-35",C247&lt;51,"36-50",C247&lt;66,"51-65",C247&gt;=66,"66+")</f>
        <v>66+</v>
      </c>
      <c r="S247" s="18">
        <v>45474</v>
      </c>
    </row>
    <row r="248" spans="1:19">
      <c r="A248" s="21" t="s">
        <v>660</v>
      </c>
      <c r="B248" s="1" t="s">
        <v>453</v>
      </c>
      <c r="C248" s="1">
        <v>47</v>
      </c>
      <c r="D248" s="1" t="s">
        <v>27</v>
      </c>
      <c r="E248" s="1" t="s">
        <v>159</v>
      </c>
      <c r="F248" s="1" t="s">
        <v>120</v>
      </c>
      <c r="G248" s="1" t="s">
        <v>110</v>
      </c>
      <c r="H248" s="1" t="s">
        <v>23</v>
      </c>
      <c r="I248" s="1" t="s">
        <v>36</v>
      </c>
      <c r="J248" s="2">
        <v>45597</v>
      </c>
      <c r="K248" s="2">
        <v>45304</v>
      </c>
      <c r="L248" s="1">
        <v>2</v>
      </c>
      <c r="M248" s="1" t="s">
        <v>56</v>
      </c>
      <c r="N248" s="1" t="s">
        <v>39</v>
      </c>
      <c r="O248" s="4">
        <v>29884.48</v>
      </c>
      <c r="P248" s="1">
        <v>4</v>
      </c>
      <c r="Q248" s="10" t="s">
        <v>58</v>
      </c>
      <c r="R248" s="14" t="str" cm="1">
        <f t="array" ref="R248">_xlfn.IFS(C248&lt;18,"Under 18",C248&lt;36,"18-35",C248&lt;51,"36-50",C248&lt;66,"51-65",C248&gt;=66,"66+")</f>
        <v>36-50</v>
      </c>
      <c r="S248" s="18">
        <v>45597</v>
      </c>
    </row>
    <row r="249" spans="1:19">
      <c r="A249" s="21" t="s">
        <v>662</v>
      </c>
      <c r="B249" s="1" t="s">
        <v>31</v>
      </c>
      <c r="C249" s="1">
        <v>30</v>
      </c>
      <c r="D249" s="1" t="s">
        <v>19</v>
      </c>
      <c r="E249" s="1" t="s">
        <v>51</v>
      </c>
      <c r="F249" s="1" t="s">
        <v>52</v>
      </c>
      <c r="G249" s="1" t="s">
        <v>53</v>
      </c>
      <c r="H249" s="1" t="s">
        <v>76</v>
      </c>
      <c r="I249" s="1" t="s">
        <v>62</v>
      </c>
      <c r="J249" s="2">
        <v>45562</v>
      </c>
      <c r="K249" s="2">
        <v>45564</v>
      </c>
      <c r="L249" s="1">
        <v>2</v>
      </c>
      <c r="M249" s="1" t="s">
        <v>38</v>
      </c>
      <c r="N249" s="1" t="s">
        <v>90</v>
      </c>
      <c r="O249" s="4">
        <v>74482.820000000007</v>
      </c>
      <c r="P249" s="1">
        <v>2</v>
      </c>
      <c r="Q249" s="10" t="s">
        <v>29</v>
      </c>
      <c r="R249" s="14" t="str" cm="1">
        <f t="array" ref="R249">_xlfn.IFS(C249&lt;18,"Under 18",C249&lt;36,"18-35",C249&lt;51,"36-50",C249&lt;66,"51-65",C249&gt;=66,"66+")</f>
        <v>18-35</v>
      </c>
      <c r="S249" s="18">
        <v>45536</v>
      </c>
    </row>
    <row r="250" spans="1:19">
      <c r="A250" s="21" t="s">
        <v>664</v>
      </c>
      <c r="B250" s="1" t="s">
        <v>183</v>
      </c>
      <c r="C250" s="1">
        <v>49</v>
      </c>
      <c r="D250" s="1" t="s">
        <v>27</v>
      </c>
      <c r="E250" s="1" t="s">
        <v>247</v>
      </c>
      <c r="F250" s="1" t="s">
        <v>120</v>
      </c>
      <c r="G250" s="1" t="s">
        <v>22</v>
      </c>
      <c r="H250" s="1" t="s">
        <v>23</v>
      </c>
      <c r="I250" s="1" t="s">
        <v>62</v>
      </c>
      <c r="J250" s="2">
        <v>45679</v>
      </c>
      <c r="K250" s="2">
        <v>45684</v>
      </c>
      <c r="L250" s="1">
        <v>5</v>
      </c>
      <c r="M250" s="1" t="s">
        <v>97</v>
      </c>
      <c r="N250" s="1" t="s">
        <v>90</v>
      </c>
      <c r="O250" s="4">
        <v>30365.81</v>
      </c>
      <c r="P250" s="1">
        <v>5</v>
      </c>
      <c r="Q250" s="10" t="s">
        <v>72</v>
      </c>
      <c r="R250" s="14" t="str" cm="1">
        <f t="array" ref="R250">_xlfn.IFS(C250&lt;18,"Under 18",C250&lt;36,"18-35",C250&lt;51,"36-50",C250&lt;66,"51-65",C250&gt;=66,"66+")</f>
        <v>36-50</v>
      </c>
      <c r="S250" s="18">
        <v>45658</v>
      </c>
    </row>
    <row r="251" spans="1:19">
      <c r="A251" s="21" t="s">
        <v>666</v>
      </c>
      <c r="B251" s="1" t="s">
        <v>109</v>
      </c>
      <c r="C251" s="1">
        <v>65</v>
      </c>
      <c r="D251" s="1" t="s">
        <v>19</v>
      </c>
      <c r="E251" s="1" t="s">
        <v>20</v>
      </c>
      <c r="F251" s="1" t="s">
        <v>33</v>
      </c>
      <c r="G251" s="1" t="s">
        <v>68</v>
      </c>
      <c r="H251" s="1" t="s">
        <v>61</v>
      </c>
      <c r="I251" s="1" t="s">
        <v>62</v>
      </c>
      <c r="J251" s="2">
        <v>45742</v>
      </c>
      <c r="K251" s="2">
        <v>45744</v>
      </c>
      <c r="L251" s="1">
        <v>2</v>
      </c>
      <c r="M251" s="1" t="s">
        <v>48</v>
      </c>
      <c r="N251" s="1" t="s">
        <v>57</v>
      </c>
      <c r="O251" s="4">
        <v>22967.55</v>
      </c>
      <c r="P251" s="1">
        <v>3</v>
      </c>
      <c r="Q251" s="10" t="s">
        <v>58</v>
      </c>
      <c r="R251" s="14" t="str" cm="1">
        <f t="array" ref="R251">_xlfn.IFS(C251&lt;18,"Under 18",C251&lt;36,"18-35",C251&lt;51,"36-50",C251&lt;66,"51-65",C251&gt;=66,"66+")</f>
        <v>51-65</v>
      </c>
      <c r="S251" s="18">
        <v>45717</v>
      </c>
    </row>
    <row r="252" spans="1:19">
      <c r="A252" s="21" t="s">
        <v>668</v>
      </c>
      <c r="B252" s="1" t="s">
        <v>636</v>
      </c>
      <c r="C252" s="1">
        <v>62</v>
      </c>
      <c r="D252" s="1" t="s">
        <v>19</v>
      </c>
      <c r="E252" s="1" t="s">
        <v>44</v>
      </c>
      <c r="F252" s="1" t="s">
        <v>21</v>
      </c>
      <c r="G252" s="1" t="s">
        <v>132</v>
      </c>
      <c r="H252" s="1" t="s">
        <v>99</v>
      </c>
      <c r="I252" s="1" t="s">
        <v>36</v>
      </c>
      <c r="J252" s="2">
        <v>45896</v>
      </c>
      <c r="K252" s="2">
        <v>45697</v>
      </c>
      <c r="L252" s="1">
        <v>6</v>
      </c>
      <c r="M252" s="1" t="s">
        <v>56</v>
      </c>
      <c r="N252" s="1" t="s">
        <v>82</v>
      </c>
      <c r="O252" s="4">
        <v>21335.61</v>
      </c>
      <c r="P252" s="1">
        <v>4</v>
      </c>
      <c r="Q252" s="10" t="s">
        <v>29</v>
      </c>
      <c r="R252" s="14" t="str" cm="1">
        <f t="array" ref="R252">_xlfn.IFS(C252&lt;18,"Under 18",C252&lt;36,"18-35",C252&lt;51,"36-50",C252&lt;66,"51-65",C252&gt;=66,"66+")</f>
        <v>51-65</v>
      </c>
      <c r="S252" s="18">
        <v>45870</v>
      </c>
    </row>
    <row r="253" spans="1:19">
      <c r="A253" s="21" t="s">
        <v>669</v>
      </c>
      <c r="B253" s="1" t="s">
        <v>670</v>
      </c>
      <c r="C253" s="1">
        <v>67</v>
      </c>
      <c r="D253" s="1" t="s">
        <v>43</v>
      </c>
      <c r="E253" s="1" t="s">
        <v>66</v>
      </c>
      <c r="F253" s="1" t="s">
        <v>21</v>
      </c>
      <c r="G253" s="1" t="s">
        <v>68</v>
      </c>
      <c r="H253" s="1" t="s">
        <v>45</v>
      </c>
      <c r="I253" s="1" t="s">
        <v>62</v>
      </c>
      <c r="J253" s="2">
        <v>45786</v>
      </c>
      <c r="K253" s="2">
        <v>45939</v>
      </c>
      <c r="L253" s="1">
        <v>5</v>
      </c>
      <c r="M253" s="1" t="s">
        <v>27</v>
      </c>
      <c r="N253" s="1" t="s">
        <v>85</v>
      </c>
      <c r="O253" s="4">
        <v>27811.32</v>
      </c>
      <c r="P253" s="1">
        <v>4</v>
      </c>
      <c r="Q253" s="10" t="s">
        <v>29</v>
      </c>
      <c r="R253" s="14" t="str" cm="1">
        <f t="array" ref="R253">_xlfn.IFS(C253&lt;18,"Under 18",C253&lt;36,"18-35",C253&lt;51,"36-50",C253&lt;66,"51-65",C253&gt;=66,"66+")</f>
        <v>66+</v>
      </c>
      <c r="S253" s="18">
        <v>45778</v>
      </c>
    </row>
    <row r="254" spans="1:19">
      <c r="A254" s="21" t="s">
        <v>671</v>
      </c>
      <c r="B254" s="1" t="s">
        <v>381</v>
      </c>
      <c r="C254" s="1">
        <v>80</v>
      </c>
      <c r="D254" s="1" t="s">
        <v>27</v>
      </c>
      <c r="E254" s="1" t="s">
        <v>32</v>
      </c>
      <c r="F254" s="1" t="s">
        <v>75</v>
      </c>
      <c r="G254" s="1" t="s">
        <v>104</v>
      </c>
      <c r="H254" s="1" t="s">
        <v>69</v>
      </c>
      <c r="I254" s="1" t="s">
        <v>36</v>
      </c>
      <c r="J254" s="2">
        <v>45844</v>
      </c>
      <c r="K254" s="2">
        <v>45875</v>
      </c>
      <c r="L254" s="1">
        <v>1</v>
      </c>
      <c r="M254" s="1" t="s">
        <v>27</v>
      </c>
      <c r="N254" s="1" t="s">
        <v>39</v>
      </c>
      <c r="O254" s="4">
        <v>55113.51</v>
      </c>
      <c r="P254" s="1">
        <v>3</v>
      </c>
      <c r="Q254" s="10" t="s">
        <v>58</v>
      </c>
      <c r="R254" s="14" t="str" cm="1">
        <f t="array" ref="R254">_xlfn.IFS(C254&lt;18,"Under 18",C254&lt;36,"18-35",C254&lt;51,"36-50",C254&lt;66,"51-65",C254&gt;=66,"66+")</f>
        <v>66+</v>
      </c>
      <c r="S254" s="18">
        <v>45839</v>
      </c>
    </row>
    <row r="255" spans="1:19">
      <c r="A255" s="21" t="s">
        <v>672</v>
      </c>
      <c r="B255" s="1" t="s">
        <v>636</v>
      </c>
      <c r="C255" s="1">
        <v>20</v>
      </c>
      <c r="D255" s="1" t="s">
        <v>27</v>
      </c>
      <c r="E255" s="1" t="s">
        <v>137</v>
      </c>
      <c r="F255" s="1" t="s">
        <v>67</v>
      </c>
      <c r="G255" s="1" t="s">
        <v>34</v>
      </c>
      <c r="H255" s="1" t="s">
        <v>23</v>
      </c>
      <c r="I255" s="1" t="s">
        <v>62</v>
      </c>
      <c r="J255" s="2">
        <v>45508</v>
      </c>
      <c r="K255" s="2">
        <v>45630</v>
      </c>
      <c r="L255" s="1">
        <v>4</v>
      </c>
      <c r="M255" s="1" t="s">
        <v>38</v>
      </c>
      <c r="N255" s="1" t="s">
        <v>39</v>
      </c>
      <c r="O255" s="4">
        <v>63646.93</v>
      </c>
      <c r="P255" s="1">
        <v>4</v>
      </c>
      <c r="Q255" s="10" t="s">
        <v>72</v>
      </c>
      <c r="R255" s="14" t="str" cm="1">
        <f t="array" ref="R255">_xlfn.IFS(C255&lt;18,"Under 18",C255&lt;36,"18-35",C255&lt;51,"36-50",C255&lt;66,"51-65",C255&gt;=66,"66+")</f>
        <v>18-35</v>
      </c>
      <c r="S255" s="18">
        <v>45505</v>
      </c>
    </row>
    <row r="256" spans="1:19">
      <c r="A256" s="21" t="s">
        <v>673</v>
      </c>
      <c r="B256" s="1" t="s">
        <v>674</v>
      </c>
      <c r="C256" s="1">
        <v>90</v>
      </c>
      <c r="D256" s="1" t="s">
        <v>27</v>
      </c>
      <c r="E256" s="1" t="s">
        <v>117</v>
      </c>
      <c r="F256" s="1" t="s">
        <v>67</v>
      </c>
      <c r="G256" s="1" t="s">
        <v>22</v>
      </c>
      <c r="H256" s="1" t="s">
        <v>76</v>
      </c>
      <c r="I256" s="1" t="s">
        <v>24</v>
      </c>
      <c r="J256" s="2">
        <v>45731</v>
      </c>
      <c r="K256" s="2">
        <v>45739</v>
      </c>
      <c r="L256" s="1">
        <v>8</v>
      </c>
      <c r="M256" s="1" t="s">
        <v>97</v>
      </c>
      <c r="N256" s="1" t="s">
        <v>82</v>
      </c>
      <c r="O256" s="4">
        <v>27216.83</v>
      </c>
      <c r="P256" s="1">
        <v>4</v>
      </c>
      <c r="Q256" s="10" t="s">
        <v>29</v>
      </c>
      <c r="R256" s="14" t="str" cm="1">
        <f t="array" ref="R256">_xlfn.IFS(C256&lt;18,"Under 18",C256&lt;36,"18-35",C256&lt;51,"36-50",C256&lt;66,"51-65",C256&gt;=66,"66+")</f>
        <v>66+</v>
      </c>
      <c r="S256" s="18">
        <v>45717</v>
      </c>
    </row>
    <row r="257" spans="1:19">
      <c r="A257" s="21" t="s">
        <v>676</v>
      </c>
      <c r="B257" s="1" t="s">
        <v>285</v>
      </c>
      <c r="C257" s="1">
        <v>1</v>
      </c>
      <c r="D257" s="1" t="s">
        <v>27</v>
      </c>
      <c r="E257" s="1" t="s">
        <v>66</v>
      </c>
      <c r="F257" s="1" t="s">
        <v>33</v>
      </c>
      <c r="G257" s="1" t="s">
        <v>36</v>
      </c>
      <c r="H257" s="1" t="s">
        <v>61</v>
      </c>
      <c r="I257" s="1" t="s">
        <v>24</v>
      </c>
      <c r="J257" s="2">
        <v>45505</v>
      </c>
      <c r="K257" s="2">
        <v>45627</v>
      </c>
      <c r="L257" s="1">
        <v>4</v>
      </c>
      <c r="M257" s="1" t="s">
        <v>27</v>
      </c>
      <c r="N257" s="1" t="s">
        <v>82</v>
      </c>
      <c r="O257" s="4">
        <v>62206.97</v>
      </c>
      <c r="P257" s="1">
        <v>3</v>
      </c>
      <c r="Q257" s="10" t="s">
        <v>40</v>
      </c>
      <c r="R257" s="14" t="str" cm="1">
        <f t="array" ref="R257">_xlfn.IFS(C257&lt;18,"Under 18",C257&lt;36,"18-35",C257&lt;51,"36-50",C257&lt;66,"51-65",C257&gt;=66,"66+")</f>
        <v>Under 18</v>
      </c>
      <c r="S257" s="18">
        <v>45505</v>
      </c>
    </row>
    <row r="258" spans="1:19">
      <c r="A258" s="21" t="s">
        <v>677</v>
      </c>
      <c r="B258" s="1" t="s">
        <v>613</v>
      </c>
      <c r="C258" s="1">
        <v>69</v>
      </c>
      <c r="D258" s="1" t="s">
        <v>43</v>
      </c>
      <c r="E258" s="1" t="s">
        <v>247</v>
      </c>
      <c r="F258" s="1" t="s">
        <v>67</v>
      </c>
      <c r="G258" s="1" t="s">
        <v>36</v>
      </c>
      <c r="H258" s="1" t="s">
        <v>61</v>
      </c>
      <c r="I258" s="1" t="s">
        <v>24</v>
      </c>
      <c r="J258" s="2">
        <v>45665</v>
      </c>
      <c r="K258" s="2">
        <v>45816</v>
      </c>
      <c r="L258" s="1">
        <v>5</v>
      </c>
      <c r="M258" s="1" t="s">
        <v>97</v>
      </c>
      <c r="N258" s="1" t="s">
        <v>82</v>
      </c>
      <c r="O258" s="4">
        <v>42165.66</v>
      </c>
      <c r="P258" s="1">
        <v>5</v>
      </c>
      <c r="Q258" s="10" t="s">
        <v>40</v>
      </c>
      <c r="R258" s="14" t="str" cm="1">
        <f t="array" ref="R258">_xlfn.IFS(C258&lt;18,"Under 18",C258&lt;36,"18-35",C258&lt;51,"36-50",C258&lt;66,"51-65",C258&gt;=66,"66+")</f>
        <v>66+</v>
      </c>
      <c r="S258" s="18">
        <v>45658</v>
      </c>
    </row>
    <row r="259" spans="1:19">
      <c r="A259" s="21" t="s">
        <v>678</v>
      </c>
      <c r="B259" s="1" t="s">
        <v>234</v>
      </c>
      <c r="C259" s="1">
        <v>74</v>
      </c>
      <c r="D259" s="1" t="s">
        <v>43</v>
      </c>
      <c r="E259" s="1" t="s">
        <v>20</v>
      </c>
      <c r="F259" s="1" t="s">
        <v>67</v>
      </c>
      <c r="G259" s="1" t="s">
        <v>22</v>
      </c>
      <c r="H259" s="1" t="s">
        <v>61</v>
      </c>
      <c r="I259" s="1" t="s">
        <v>62</v>
      </c>
      <c r="J259" s="2">
        <v>46014</v>
      </c>
      <c r="K259" s="2">
        <v>46021</v>
      </c>
      <c r="L259" s="1">
        <v>7</v>
      </c>
      <c r="M259" s="1" t="s">
        <v>38</v>
      </c>
      <c r="N259" s="1" t="s">
        <v>39</v>
      </c>
      <c r="O259" s="4">
        <v>44601.43</v>
      </c>
      <c r="P259" s="1">
        <v>4</v>
      </c>
      <c r="Q259" s="10" t="s">
        <v>72</v>
      </c>
      <c r="R259" s="14" t="str" cm="1">
        <f t="array" ref="R259">_xlfn.IFS(C259&lt;18,"Under 18",C259&lt;36,"18-35",C259&lt;51,"36-50",C259&lt;66,"51-65",C259&gt;=66,"66+")</f>
        <v>66+</v>
      </c>
      <c r="S259" s="18">
        <v>45992</v>
      </c>
    </row>
    <row r="260" spans="1:19">
      <c r="A260" s="21" t="s">
        <v>681</v>
      </c>
      <c r="B260" s="1" t="s">
        <v>116</v>
      </c>
      <c r="C260" s="1">
        <v>21</v>
      </c>
      <c r="D260" s="1" t="s">
        <v>43</v>
      </c>
      <c r="E260" s="1" t="s">
        <v>32</v>
      </c>
      <c r="F260" s="1" t="s">
        <v>67</v>
      </c>
      <c r="G260" s="1" t="s">
        <v>104</v>
      </c>
      <c r="H260" s="1" t="s">
        <v>69</v>
      </c>
      <c r="I260" s="1" t="s">
        <v>36</v>
      </c>
      <c r="J260" s="2">
        <v>45943</v>
      </c>
      <c r="K260" s="2">
        <v>45952</v>
      </c>
      <c r="L260" s="1">
        <v>9</v>
      </c>
      <c r="M260" s="1" t="s">
        <v>97</v>
      </c>
      <c r="N260" s="1" t="s">
        <v>57</v>
      </c>
      <c r="O260" s="4">
        <v>54728.19</v>
      </c>
      <c r="P260" s="1">
        <v>2</v>
      </c>
      <c r="Q260" s="10" t="s">
        <v>40</v>
      </c>
      <c r="R260" s="14" t="str" cm="1">
        <f t="array" ref="R260">_xlfn.IFS(C260&lt;18,"Under 18",C260&lt;36,"18-35",C260&lt;51,"36-50",C260&lt;66,"51-65",C260&gt;=66,"66+")</f>
        <v>18-35</v>
      </c>
      <c r="S260" s="18">
        <v>45931</v>
      </c>
    </row>
    <row r="261" spans="1:19">
      <c r="A261" s="21" t="s">
        <v>682</v>
      </c>
      <c r="B261" s="1" t="s">
        <v>603</v>
      </c>
      <c r="C261" s="1">
        <v>77</v>
      </c>
      <c r="D261" s="1" t="s">
        <v>19</v>
      </c>
      <c r="E261" s="1" t="s">
        <v>44</v>
      </c>
      <c r="F261" s="1" t="s">
        <v>21</v>
      </c>
      <c r="G261" s="1" t="s">
        <v>68</v>
      </c>
      <c r="H261" s="1" t="s">
        <v>61</v>
      </c>
      <c r="I261" s="1" t="s">
        <v>24</v>
      </c>
      <c r="J261" s="2">
        <v>45471</v>
      </c>
      <c r="K261" s="2">
        <v>45329</v>
      </c>
      <c r="L261" s="1">
        <v>4</v>
      </c>
      <c r="M261" s="1" t="s">
        <v>48</v>
      </c>
      <c r="N261" s="1" t="s">
        <v>82</v>
      </c>
      <c r="O261" s="4">
        <v>14453.48</v>
      </c>
      <c r="P261" s="1">
        <v>4</v>
      </c>
      <c r="Q261" s="10" t="s">
        <v>29</v>
      </c>
      <c r="R261" s="14" t="str" cm="1">
        <f t="array" ref="R261">_xlfn.IFS(C261&lt;18,"Under 18",C261&lt;36,"18-35",C261&lt;51,"36-50",C261&lt;66,"51-65",C261&gt;=66,"66+")</f>
        <v>66+</v>
      </c>
      <c r="S261" s="18">
        <v>45444</v>
      </c>
    </row>
    <row r="262" spans="1:19">
      <c r="A262" s="21" t="s">
        <v>683</v>
      </c>
      <c r="B262" s="1" t="s">
        <v>515</v>
      </c>
      <c r="C262" s="1">
        <v>84</v>
      </c>
      <c r="D262" s="1" t="s">
        <v>19</v>
      </c>
      <c r="E262" s="1" t="s">
        <v>51</v>
      </c>
      <c r="F262" s="1" t="s">
        <v>67</v>
      </c>
      <c r="G262" s="1" t="s">
        <v>132</v>
      </c>
      <c r="H262" s="1" t="s">
        <v>23</v>
      </c>
      <c r="I262" s="1" t="s">
        <v>62</v>
      </c>
      <c r="J262" s="2">
        <v>45571</v>
      </c>
      <c r="K262" s="2">
        <v>45456</v>
      </c>
      <c r="L262" s="1">
        <v>3</v>
      </c>
      <c r="M262" s="1" t="s">
        <v>38</v>
      </c>
      <c r="N262" s="1" t="s">
        <v>39</v>
      </c>
      <c r="O262" s="4">
        <v>13121.76</v>
      </c>
      <c r="P262" s="1">
        <v>5</v>
      </c>
      <c r="Q262" s="10" t="s">
        <v>40</v>
      </c>
      <c r="R262" s="14" t="str" cm="1">
        <f t="array" ref="R262">_xlfn.IFS(C262&lt;18,"Under 18",C262&lt;36,"18-35",C262&lt;51,"36-50",C262&lt;66,"51-65",C262&gt;=66,"66+")</f>
        <v>66+</v>
      </c>
      <c r="S262" s="18">
        <v>45566</v>
      </c>
    </row>
    <row r="263" spans="1:19">
      <c r="A263" s="21" t="s">
        <v>684</v>
      </c>
      <c r="B263" s="1" t="s">
        <v>79</v>
      </c>
      <c r="C263" s="1">
        <v>29</v>
      </c>
      <c r="D263" s="1" t="s">
        <v>27</v>
      </c>
      <c r="E263" s="1" t="s">
        <v>51</v>
      </c>
      <c r="F263" s="1" t="s">
        <v>67</v>
      </c>
      <c r="G263" s="1" t="s">
        <v>22</v>
      </c>
      <c r="H263" s="1" t="s">
        <v>23</v>
      </c>
      <c r="I263" s="1" t="s">
        <v>62</v>
      </c>
      <c r="J263" s="2">
        <v>45491</v>
      </c>
      <c r="K263" s="2">
        <v>45493</v>
      </c>
      <c r="L263" s="1">
        <v>2</v>
      </c>
      <c r="M263" s="1" t="s">
        <v>97</v>
      </c>
      <c r="N263" s="1" t="s">
        <v>57</v>
      </c>
      <c r="O263" s="4">
        <v>17284.18</v>
      </c>
      <c r="P263" s="1">
        <v>3</v>
      </c>
      <c r="Q263" s="10" t="s">
        <v>58</v>
      </c>
      <c r="R263" s="14" t="str" cm="1">
        <f t="array" ref="R263">_xlfn.IFS(C263&lt;18,"Under 18",C263&lt;36,"18-35",C263&lt;51,"36-50",C263&lt;66,"51-65",C263&gt;=66,"66+")</f>
        <v>18-35</v>
      </c>
      <c r="S263" s="18">
        <v>45474</v>
      </c>
    </row>
    <row r="264" spans="1:19">
      <c r="A264" s="21" t="s">
        <v>686</v>
      </c>
      <c r="B264" s="1" t="s">
        <v>391</v>
      </c>
      <c r="C264" s="1">
        <v>32</v>
      </c>
      <c r="D264" s="1" t="s">
        <v>43</v>
      </c>
      <c r="E264" s="1" t="s">
        <v>247</v>
      </c>
      <c r="F264" s="1" t="s">
        <v>33</v>
      </c>
      <c r="G264" s="1" t="s">
        <v>34</v>
      </c>
      <c r="H264" s="1" t="s">
        <v>93</v>
      </c>
      <c r="I264" s="1" t="s">
        <v>62</v>
      </c>
      <c r="J264" s="2">
        <v>45761</v>
      </c>
      <c r="K264" s="2">
        <v>45765</v>
      </c>
      <c r="L264" s="1">
        <v>4</v>
      </c>
      <c r="M264" s="1" t="s">
        <v>27</v>
      </c>
      <c r="N264" s="1" t="s">
        <v>90</v>
      </c>
      <c r="O264" s="4">
        <v>25830.720000000001</v>
      </c>
      <c r="P264" s="1">
        <v>4</v>
      </c>
      <c r="Q264" s="10" t="s">
        <v>72</v>
      </c>
      <c r="R264" s="14" t="str" cm="1">
        <f t="array" ref="R264">_xlfn.IFS(C264&lt;18,"Under 18",C264&lt;36,"18-35",C264&lt;51,"36-50",C264&lt;66,"51-65",C264&gt;=66,"66+")</f>
        <v>18-35</v>
      </c>
      <c r="S264" s="18">
        <v>45748</v>
      </c>
    </row>
    <row r="265" spans="1:19">
      <c r="A265" s="21" t="s">
        <v>687</v>
      </c>
      <c r="B265" s="1" t="s">
        <v>688</v>
      </c>
      <c r="C265" s="1">
        <v>90</v>
      </c>
      <c r="D265" s="1" t="s">
        <v>43</v>
      </c>
      <c r="E265" s="1" t="s">
        <v>66</v>
      </c>
      <c r="F265" s="1" t="s">
        <v>52</v>
      </c>
      <c r="G265" s="1" t="s">
        <v>53</v>
      </c>
      <c r="H265" s="1" t="s">
        <v>45</v>
      </c>
      <c r="I265" s="1" t="s">
        <v>24</v>
      </c>
      <c r="J265" s="2">
        <v>45605</v>
      </c>
      <c r="K265" s="2">
        <v>45635</v>
      </c>
      <c r="L265" s="1">
        <v>1</v>
      </c>
      <c r="M265" s="1" t="s">
        <v>56</v>
      </c>
      <c r="N265" s="1" t="s">
        <v>57</v>
      </c>
      <c r="O265" s="4">
        <v>71409.31</v>
      </c>
      <c r="P265" s="1">
        <v>3</v>
      </c>
      <c r="Q265" s="10" t="s">
        <v>29</v>
      </c>
      <c r="R265" s="14" t="str" cm="1">
        <f t="array" ref="R265">_xlfn.IFS(C265&lt;18,"Under 18",C265&lt;36,"18-35",C265&lt;51,"36-50",C265&lt;66,"51-65",C265&gt;=66,"66+")</f>
        <v>66+</v>
      </c>
      <c r="S265" s="18">
        <v>45597</v>
      </c>
    </row>
    <row r="266" spans="1:19">
      <c r="A266" s="21" t="s">
        <v>689</v>
      </c>
      <c r="B266" s="1" t="s">
        <v>264</v>
      </c>
      <c r="C266" s="1">
        <v>31</v>
      </c>
      <c r="D266" s="1" t="s">
        <v>27</v>
      </c>
      <c r="E266" s="1" t="s">
        <v>159</v>
      </c>
      <c r="F266" s="1" t="s">
        <v>67</v>
      </c>
      <c r="G266" s="1" t="s">
        <v>132</v>
      </c>
      <c r="H266" s="1" t="s">
        <v>69</v>
      </c>
      <c r="I266" s="1" t="s">
        <v>36</v>
      </c>
      <c r="J266" s="2">
        <v>45391</v>
      </c>
      <c r="K266" s="2">
        <v>45452</v>
      </c>
      <c r="L266" s="1">
        <v>2</v>
      </c>
      <c r="M266" s="1" t="s">
        <v>27</v>
      </c>
      <c r="N266" s="1" t="s">
        <v>28</v>
      </c>
      <c r="O266" s="4">
        <v>37990</v>
      </c>
      <c r="P266" s="1">
        <v>5</v>
      </c>
      <c r="Q266" s="10" t="s">
        <v>58</v>
      </c>
      <c r="R266" s="14" t="str" cm="1">
        <f t="array" ref="R266">_xlfn.IFS(C266&lt;18,"Under 18",C266&lt;36,"18-35",C266&lt;51,"36-50",C266&lt;66,"51-65",C266&gt;=66,"66+")</f>
        <v>18-35</v>
      </c>
      <c r="S266" s="18">
        <v>45383</v>
      </c>
    </row>
    <row r="267" spans="1:19">
      <c r="A267" s="21" t="s">
        <v>690</v>
      </c>
      <c r="B267" s="1" t="s">
        <v>74</v>
      </c>
      <c r="C267" s="1">
        <v>48</v>
      </c>
      <c r="D267" s="1" t="s">
        <v>27</v>
      </c>
      <c r="E267" s="1" t="s">
        <v>137</v>
      </c>
      <c r="F267" s="1" t="s">
        <v>21</v>
      </c>
      <c r="G267" s="1" t="s">
        <v>68</v>
      </c>
      <c r="H267" s="1" t="s">
        <v>93</v>
      </c>
      <c r="I267" s="1" t="s">
        <v>24</v>
      </c>
      <c r="J267" s="2">
        <v>45614</v>
      </c>
      <c r="K267" s="2">
        <v>45334</v>
      </c>
      <c r="L267" s="1">
        <v>14</v>
      </c>
      <c r="M267" s="1" t="s">
        <v>56</v>
      </c>
      <c r="N267" s="1" t="s">
        <v>28</v>
      </c>
      <c r="O267" s="4">
        <v>31687.06</v>
      </c>
      <c r="P267" s="1">
        <v>5</v>
      </c>
      <c r="Q267" s="10" t="s">
        <v>58</v>
      </c>
      <c r="R267" s="14" t="str" cm="1">
        <f t="array" ref="R267">_xlfn.IFS(C267&lt;18,"Under 18",C267&lt;36,"18-35",C267&lt;51,"36-50",C267&lt;66,"51-65",C267&gt;=66,"66+")</f>
        <v>36-50</v>
      </c>
      <c r="S267" s="18">
        <v>45597</v>
      </c>
    </row>
    <row r="268" spans="1:19">
      <c r="A268" s="21" t="s">
        <v>691</v>
      </c>
      <c r="B268" s="1" t="s">
        <v>593</v>
      </c>
      <c r="C268" s="1">
        <v>62</v>
      </c>
      <c r="D268" s="1" t="s">
        <v>27</v>
      </c>
      <c r="E268" s="1" t="s">
        <v>20</v>
      </c>
      <c r="F268" s="1" t="s">
        <v>33</v>
      </c>
      <c r="G268" s="1" t="s">
        <v>110</v>
      </c>
      <c r="H268" s="1" t="s">
        <v>93</v>
      </c>
      <c r="I268" s="1" t="s">
        <v>24</v>
      </c>
      <c r="J268" s="2">
        <v>45353</v>
      </c>
      <c r="K268" s="2">
        <v>45445</v>
      </c>
      <c r="L268" s="1">
        <v>3</v>
      </c>
      <c r="M268" s="1" t="s">
        <v>48</v>
      </c>
      <c r="N268" s="1" t="s">
        <v>82</v>
      </c>
      <c r="O268" s="4">
        <v>152280.01999999999</v>
      </c>
      <c r="P268" s="1">
        <v>4</v>
      </c>
      <c r="Q268" s="10" t="s">
        <v>40</v>
      </c>
      <c r="R268" s="14" t="str" cm="1">
        <f t="array" ref="R268">_xlfn.IFS(C268&lt;18,"Under 18",C268&lt;36,"18-35",C268&lt;51,"36-50",C268&lt;66,"51-65",C268&gt;=66,"66+")</f>
        <v>51-65</v>
      </c>
      <c r="S268" s="18">
        <v>45352</v>
      </c>
    </row>
    <row r="269" spans="1:19">
      <c r="A269" s="21" t="s">
        <v>692</v>
      </c>
      <c r="B269" s="1" t="s">
        <v>693</v>
      </c>
      <c r="C269" s="1">
        <v>79</v>
      </c>
      <c r="D269" s="1" t="s">
        <v>43</v>
      </c>
      <c r="E269" s="1" t="s">
        <v>137</v>
      </c>
      <c r="F269" s="1" t="s">
        <v>120</v>
      </c>
      <c r="G269" s="1" t="s">
        <v>53</v>
      </c>
      <c r="H269" s="1" t="s">
        <v>88</v>
      </c>
      <c r="I269" s="1" t="s">
        <v>62</v>
      </c>
      <c r="J269" s="2">
        <v>45572</v>
      </c>
      <c r="K269" s="2">
        <v>45633</v>
      </c>
      <c r="L269" s="1">
        <v>2</v>
      </c>
      <c r="M269" s="1" t="s">
        <v>56</v>
      </c>
      <c r="N269" s="1" t="s">
        <v>90</v>
      </c>
      <c r="O269" s="4">
        <v>40211.980000000003</v>
      </c>
      <c r="P269" s="1">
        <v>4</v>
      </c>
      <c r="Q269" s="10" t="s">
        <v>29</v>
      </c>
      <c r="R269" s="14" t="str" cm="1">
        <f t="array" ref="R269">_xlfn.IFS(C269&lt;18,"Under 18",C269&lt;36,"18-35",C269&lt;51,"36-50",C269&lt;66,"51-65",C269&gt;=66,"66+")</f>
        <v>66+</v>
      </c>
      <c r="S269" s="18">
        <v>45566</v>
      </c>
    </row>
    <row r="270" spans="1:19">
      <c r="A270" s="21" t="s">
        <v>694</v>
      </c>
      <c r="B270" s="1" t="s">
        <v>169</v>
      </c>
      <c r="C270" s="1">
        <v>74</v>
      </c>
      <c r="D270" s="1" t="s">
        <v>27</v>
      </c>
      <c r="E270" s="1" t="s">
        <v>202</v>
      </c>
      <c r="F270" s="1" t="s">
        <v>21</v>
      </c>
      <c r="G270" s="1" t="s">
        <v>36</v>
      </c>
      <c r="H270" s="1" t="s">
        <v>76</v>
      </c>
      <c r="I270" s="1" t="s">
        <v>62</v>
      </c>
      <c r="J270" s="2">
        <v>45526</v>
      </c>
      <c r="K270" s="2">
        <v>45533</v>
      </c>
      <c r="L270" s="1">
        <v>7</v>
      </c>
      <c r="M270" s="1" t="s">
        <v>97</v>
      </c>
      <c r="N270" s="1" t="s">
        <v>85</v>
      </c>
      <c r="O270" s="4">
        <v>26312.61</v>
      </c>
      <c r="P270" s="1">
        <v>5</v>
      </c>
      <c r="Q270" s="10" t="s">
        <v>40</v>
      </c>
      <c r="R270" s="14" t="str" cm="1">
        <f t="array" ref="R270">_xlfn.IFS(C270&lt;18,"Under 18",C270&lt;36,"18-35",C270&lt;51,"36-50",C270&lt;66,"51-65",C270&gt;=66,"66+")</f>
        <v>66+</v>
      </c>
      <c r="S270" s="18">
        <v>45505</v>
      </c>
    </row>
    <row r="271" spans="1:19">
      <c r="A271" s="21" t="s">
        <v>695</v>
      </c>
      <c r="B271" s="1" t="s">
        <v>236</v>
      </c>
      <c r="C271" s="1">
        <v>63</v>
      </c>
      <c r="D271" s="1" t="s">
        <v>43</v>
      </c>
      <c r="E271" s="1" t="s">
        <v>117</v>
      </c>
      <c r="F271" s="1" t="s">
        <v>120</v>
      </c>
      <c r="G271" s="1" t="s">
        <v>132</v>
      </c>
      <c r="H271" s="1" t="s">
        <v>105</v>
      </c>
      <c r="I271" s="1" t="s">
        <v>62</v>
      </c>
      <c r="J271" s="2">
        <v>45548</v>
      </c>
      <c r="K271" s="2">
        <v>45549</v>
      </c>
      <c r="L271" s="1">
        <v>1</v>
      </c>
      <c r="M271" s="1" t="s">
        <v>27</v>
      </c>
      <c r="N271" s="1" t="s">
        <v>90</v>
      </c>
      <c r="O271" s="4">
        <v>46787.38</v>
      </c>
      <c r="P271" s="1">
        <v>4</v>
      </c>
      <c r="Q271" s="10" t="s">
        <v>40</v>
      </c>
      <c r="R271" s="14" t="str" cm="1">
        <f t="array" ref="R271">_xlfn.IFS(C271&lt;18,"Under 18",C271&lt;36,"18-35",C271&lt;51,"36-50",C271&lt;66,"51-65",C271&gt;=66,"66+")</f>
        <v>51-65</v>
      </c>
      <c r="S271" s="18">
        <v>45536</v>
      </c>
    </row>
    <row r="272" spans="1:19">
      <c r="A272" s="21" t="s">
        <v>698</v>
      </c>
      <c r="B272" s="1" t="s">
        <v>699</v>
      </c>
      <c r="C272" s="1">
        <v>45</v>
      </c>
      <c r="D272" s="1" t="s">
        <v>19</v>
      </c>
      <c r="E272" s="1" t="s">
        <v>247</v>
      </c>
      <c r="F272" s="1" t="s">
        <v>120</v>
      </c>
      <c r="G272" s="1" t="s">
        <v>132</v>
      </c>
      <c r="H272" s="1" t="s">
        <v>69</v>
      </c>
      <c r="I272" s="1" t="s">
        <v>24</v>
      </c>
      <c r="J272" s="2">
        <v>45713</v>
      </c>
      <c r="K272" s="2">
        <v>45716</v>
      </c>
      <c r="L272" s="1">
        <v>3</v>
      </c>
      <c r="M272" s="1" t="s">
        <v>27</v>
      </c>
      <c r="N272" s="1" t="s">
        <v>57</v>
      </c>
      <c r="O272" s="4">
        <v>54040.3</v>
      </c>
      <c r="P272" s="1">
        <v>4</v>
      </c>
      <c r="Q272" s="10" t="s">
        <v>58</v>
      </c>
      <c r="R272" s="14" t="str" cm="1">
        <f t="array" ref="R272">_xlfn.IFS(C272&lt;18,"Under 18",C272&lt;36,"18-35",C272&lt;51,"36-50",C272&lt;66,"51-65",C272&gt;=66,"66+")</f>
        <v>36-50</v>
      </c>
      <c r="S272" s="18">
        <v>45689</v>
      </c>
    </row>
    <row r="273" spans="1:19">
      <c r="A273" s="21" t="s">
        <v>701</v>
      </c>
      <c r="B273" s="1" t="s">
        <v>291</v>
      </c>
      <c r="C273" s="1">
        <v>11</v>
      </c>
      <c r="D273" s="1" t="s">
        <v>43</v>
      </c>
      <c r="E273" s="1" t="s">
        <v>66</v>
      </c>
      <c r="F273" s="1" t="s">
        <v>120</v>
      </c>
      <c r="G273" s="1" t="s">
        <v>110</v>
      </c>
      <c r="H273" s="1" t="s">
        <v>88</v>
      </c>
      <c r="I273" s="1" t="s">
        <v>36</v>
      </c>
      <c r="J273" s="2">
        <v>45920</v>
      </c>
      <c r="K273" s="2">
        <v>45924</v>
      </c>
      <c r="L273" s="1">
        <v>4</v>
      </c>
      <c r="M273" s="1" t="s">
        <v>38</v>
      </c>
      <c r="N273" s="1" t="s">
        <v>82</v>
      </c>
      <c r="O273" s="4">
        <v>74933.23</v>
      </c>
      <c r="P273" s="1">
        <v>4</v>
      </c>
      <c r="Q273" s="10" t="s">
        <v>40</v>
      </c>
      <c r="R273" s="14" t="str" cm="1">
        <f t="array" ref="R273">_xlfn.IFS(C273&lt;18,"Under 18",C273&lt;36,"18-35",C273&lt;51,"36-50",C273&lt;66,"51-65",C273&gt;=66,"66+")</f>
        <v>Under 18</v>
      </c>
      <c r="S273" s="18">
        <v>45901</v>
      </c>
    </row>
    <row r="274" spans="1:19">
      <c r="A274" s="21" t="s">
        <v>702</v>
      </c>
      <c r="B274" s="1" t="s">
        <v>190</v>
      </c>
      <c r="C274" s="1">
        <v>35</v>
      </c>
      <c r="D274" s="1" t="s">
        <v>27</v>
      </c>
      <c r="E274" s="1" t="s">
        <v>20</v>
      </c>
      <c r="F274" s="1" t="s">
        <v>52</v>
      </c>
      <c r="G274" s="1" t="s">
        <v>53</v>
      </c>
      <c r="H274" s="1" t="s">
        <v>69</v>
      </c>
      <c r="I274" s="1" t="s">
        <v>62</v>
      </c>
      <c r="J274" s="2">
        <v>45952</v>
      </c>
      <c r="K274" s="2">
        <v>45954</v>
      </c>
      <c r="L274" s="1">
        <v>2</v>
      </c>
      <c r="M274" s="1" t="s">
        <v>48</v>
      </c>
      <c r="N274" s="1" t="s">
        <v>85</v>
      </c>
      <c r="O274" s="4">
        <v>80308.429999999993</v>
      </c>
      <c r="P274" s="1">
        <v>3</v>
      </c>
      <c r="Q274" s="10" t="s">
        <v>29</v>
      </c>
      <c r="R274" s="14" t="str" cm="1">
        <f t="array" ref="R274">_xlfn.IFS(C274&lt;18,"Under 18",C274&lt;36,"18-35",C274&lt;51,"36-50",C274&lt;66,"51-65",C274&gt;=66,"66+")</f>
        <v>18-35</v>
      </c>
      <c r="S274" s="18">
        <v>45931</v>
      </c>
    </row>
    <row r="275" spans="1:19">
      <c r="A275" s="21" t="s">
        <v>703</v>
      </c>
      <c r="B275" s="1" t="s">
        <v>208</v>
      </c>
      <c r="C275" s="1">
        <v>51</v>
      </c>
      <c r="D275" s="1" t="s">
        <v>19</v>
      </c>
      <c r="E275" s="1" t="s">
        <v>20</v>
      </c>
      <c r="F275" s="1" t="s">
        <v>21</v>
      </c>
      <c r="G275" s="1" t="s">
        <v>22</v>
      </c>
      <c r="H275" s="1" t="s">
        <v>45</v>
      </c>
      <c r="I275" s="1" t="s">
        <v>24</v>
      </c>
      <c r="J275" s="2">
        <v>45477</v>
      </c>
      <c r="K275" s="2">
        <v>45508</v>
      </c>
      <c r="L275" s="1">
        <v>1</v>
      </c>
      <c r="M275" s="1" t="s">
        <v>38</v>
      </c>
      <c r="N275" s="1" t="s">
        <v>57</v>
      </c>
      <c r="O275" s="4">
        <v>31159.02</v>
      </c>
      <c r="P275" s="1">
        <v>3</v>
      </c>
      <c r="Q275" s="10" t="s">
        <v>29</v>
      </c>
      <c r="R275" s="14" t="str" cm="1">
        <f t="array" ref="R275">_xlfn.IFS(C275&lt;18,"Under 18",C275&lt;36,"18-35",C275&lt;51,"36-50",C275&lt;66,"51-65",C275&gt;=66,"66+")</f>
        <v>51-65</v>
      </c>
      <c r="S275" s="18">
        <v>45474</v>
      </c>
    </row>
    <row r="276" spans="1:19">
      <c r="A276" s="21" t="s">
        <v>704</v>
      </c>
      <c r="B276" s="1" t="s">
        <v>103</v>
      </c>
      <c r="C276" s="1">
        <v>17</v>
      </c>
      <c r="D276" s="1" t="s">
        <v>27</v>
      </c>
      <c r="E276" s="1" t="s">
        <v>66</v>
      </c>
      <c r="F276" s="1" t="s">
        <v>52</v>
      </c>
      <c r="G276" s="1" t="s">
        <v>53</v>
      </c>
      <c r="H276" s="1" t="s">
        <v>93</v>
      </c>
      <c r="I276" s="1" t="s">
        <v>24</v>
      </c>
      <c r="J276" s="2">
        <v>45466</v>
      </c>
      <c r="K276" s="2">
        <v>45467</v>
      </c>
      <c r="L276" s="1">
        <v>1</v>
      </c>
      <c r="M276" s="1" t="s">
        <v>56</v>
      </c>
      <c r="N276" s="1" t="s">
        <v>90</v>
      </c>
      <c r="O276" s="4">
        <v>91463.73</v>
      </c>
      <c r="P276" s="1">
        <v>5</v>
      </c>
      <c r="Q276" s="10" t="s">
        <v>58</v>
      </c>
      <c r="R276" s="14" t="str" cm="1">
        <f t="array" ref="R276">_xlfn.IFS(C276&lt;18,"Under 18",C276&lt;36,"18-35",C276&lt;51,"36-50",C276&lt;66,"51-65",C276&gt;=66,"66+")</f>
        <v>Under 18</v>
      </c>
      <c r="S276" s="18">
        <v>45444</v>
      </c>
    </row>
    <row r="277" spans="1:19">
      <c r="A277" s="21" t="s">
        <v>707</v>
      </c>
      <c r="B277" s="1" t="s">
        <v>405</v>
      </c>
      <c r="C277" s="1">
        <v>81</v>
      </c>
      <c r="D277" s="1" t="s">
        <v>27</v>
      </c>
      <c r="E277" s="1" t="s">
        <v>117</v>
      </c>
      <c r="F277" s="1" t="s">
        <v>120</v>
      </c>
      <c r="G277" s="1" t="s">
        <v>68</v>
      </c>
      <c r="H277" s="1" t="s">
        <v>88</v>
      </c>
      <c r="I277" s="1" t="s">
        <v>62</v>
      </c>
      <c r="J277" s="2">
        <v>45943</v>
      </c>
      <c r="K277" s="2">
        <v>45946</v>
      </c>
      <c r="L277" s="1">
        <v>3</v>
      </c>
      <c r="M277" s="1" t="s">
        <v>38</v>
      </c>
      <c r="N277" s="1" t="s">
        <v>85</v>
      </c>
      <c r="O277" s="4">
        <v>47160.57</v>
      </c>
      <c r="P277" s="1">
        <v>3</v>
      </c>
      <c r="Q277" s="10" t="s">
        <v>40</v>
      </c>
      <c r="R277" s="14" t="str" cm="1">
        <f t="array" ref="R277">_xlfn.IFS(C277&lt;18,"Under 18",C277&lt;36,"18-35",C277&lt;51,"36-50",C277&lt;66,"51-65",C277&gt;=66,"66+")</f>
        <v>66+</v>
      </c>
      <c r="S277" s="18">
        <v>45931</v>
      </c>
    </row>
    <row r="278" spans="1:19">
      <c r="A278" s="21" t="s">
        <v>708</v>
      </c>
      <c r="B278" s="1" t="s">
        <v>709</v>
      </c>
      <c r="C278" s="1">
        <v>2</v>
      </c>
      <c r="D278" s="1" t="s">
        <v>19</v>
      </c>
      <c r="E278" s="1" t="s">
        <v>44</v>
      </c>
      <c r="F278" s="1" t="s">
        <v>21</v>
      </c>
      <c r="G278" s="1" t="s">
        <v>34</v>
      </c>
      <c r="H278" s="1" t="s">
        <v>93</v>
      </c>
      <c r="I278" s="1" t="s">
        <v>36</v>
      </c>
      <c r="J278" s="2">
        <v>45827</v>
      </c>
      <c r="K278" s="2">
        <v>45830</v>
      </c>
      <c r="L278" s="1">
        <v>3</v>
      </c>
      <c r="M278" s="1" t="s">
        <v>27</v>
      </c>
      <c r="N278" s="1" t="s">
        <v>82</v>
      </c>
      <c r="O278" s="4">
        <v>132186.57999999999</v>
      </c>
      <c r="P278" s="1">
        <v>1</v>
      </c>
      <c r="Q278" s="10" t="s">
        <v>29</v>
      </c>
      <c r="R278" s="14" t="str" cm="1">
        <f t="array" ref="R278">_xlfn.IFS(C278&lt;18,"Under 18",C278&lt;36,"18-35",C278&lt;51,"36-50",C278&lt;66,"51-65",C278&gt;=66,"66+")</f>
        <v>Under 18</v>
      </c>
      <c r="S278" s="18">
        <v>45809</v>
      </c>
    </row>
    <row r="279" spans="1:19">
      <c r="A279" s="21" t="s">
        <v>711</v>
      </c>
      <c r="B279" s="1" t="s">
        <v>712</v>
      </c>
      <c r="C279" s="1">
        <v>53</v>
      </c>
      <c r="D279" s="1" t="s">
        <v>27</v>
      </c>
      <c r="E279" s="1" t="s">
        <v>117</v>
      </c>
      <c r="F279" s="1" t="s">
        <v>52</v>
      </c>
      <c r="G279" s="1" t="s">
        <v>36</v>
      </c>
      <c r="H279" s="1" t="s">
        <v>76</v>
      </c>
      <c r="I279" s="1" t="s">
        <v>24</v>
      </c>
      <c r="J279" s="2">
        <v>45739</v>
      </c>
      <c r="K279" s="2">
        <v>45741</v>
      </c>
      <c r="L279" s="1">
        <v>2</v>
      </c>
      <c r="M279" s="1" t="s">
        <v>27</v>
      </c>
      <c r="N279" s="1" t="s">
        <v>39</v>
      </c>
      <c r="O279" s="4">
        <v>28103.25</v>
      </c>
      <c r="P279" s="1">
        <v>2</v>
      </c>
      <c r="Q279" s="10" t="s">
        <v>40</v>
      </c>
      <c r="R279" s="14" t="str" cm="1">
        <f t="array" ref="R279">_xlfn.IFS(C279&lt;18,"Under 18",C279&lt;36,"18-35",C279&lt;51,"36-50",C279&lt;66,"51-65",C279&gt;=66,"66+")</f>
        <v>51-65</v>
      </c>
      <c r="S279" s="18">
        <v>45717</v>
      </c>
    </row>
    <row r="280" spans="1:19">
      <c r="A280" s="21" t="s">
        <v>713</v>
      </c>
      <c r="B280" s="1" t="s">
        <v>315</v>
      </c>
      <c r="C280" s="1">
        <v>53</v>
      </c>
      <c r="D280" s="1" t="s">
        <v>19</v>
      </c>
      <c r="E280" s="1" t="s">
        <v>247</v>
      </c>
      <c r="F280" s="1" t="s">
        <v>75</v>
      </c>
      <c r="G280" s="1" t="s">
        <v>104</v>
      </c>
      <c r="H280" s="1" t="s">
        <v>69</v>
      </c>
      <c r="I280" s="1" t="s">
        <v>36</v>
      </c>
      <c r="J280" s="2">
        <v>45599</v>
      </c>
      <c r="K280" s="2">
        <v>45629</v>
      </c>
      <c r="L280" s="1">
        <v>1</v>
      </c>
      <c r="M280" s="1" t="s">
        <v>48</v>
      </c>
      <c r="N280" s="1" t="s">
        <v>90</v>
      </c>
      <c r="O280" s="4">
        <v>45052.01</v>
      </c>
      <c r="P280" s="1">
        <v>5</v>
      </c>
      <c r="Q280" s="10" t="s">
        <v>72</v>
      </c>
      <c r="R280" s="14" t="str" cm="1">
        <f t="array" ref="R280">_xlfn.IFS(C280&lt;18,"Under 18",C280&lt;36,"18-35",C280&lt;51,"36-50",C280&lt;66,"51-65",C280&gt;=66,"66+")</f>
        <v>51-65</v>
      </c>
      <c r="S280" s="18">
        <v>45597</v>
      </c>
    </row>
    <row r="281" spans="1:19">
      <c r="A281" s="21" t="s">
        <v>714</v>
      </c>
      <c r="B281" s="1" t="s">
        <v>709</v>
      </c>
      <c r="C281" s="1">
        <v>24</v>
      </c>
      <c r="D281" s="1" t="s">
        <v>19</v>
      </c>
      <c r="E281" s="1" t="s">
        <v>159</v>
      </c>
      <c r="F281" s="1" t="s">
        <v>120</v>
      </c>
      <c r="G281" s="1" t="s">
        <v>34</v>
      </c>
      <c r="H281" s="1" t="s">
        <v>61</v>
      </c>
      <c r="I281" s="1" t="s">
        <v>62</v>
      </c>
      <c r="J281" s="2">
        <v>45580</v>
      </c>
      <c r="K281" s="2">
        <v>45581</v>
      </c>
      <c r="L281" s="1">
        <v>1</v>
      </c>
      <c r="M281" s="1" t="s">
        <v>48</v>
      </c>
      <c r="N281" s="1" t="s">
        <v>82</v>
      </c>
      <c r="O281" s="4">
        <v>22547.54</v>
      </c>
      <c r="P281" s="1">
        <v>3</v>
      </c>
      <c r="Q281" s="10" t="s">
        <v>72</v>
      </c>
      <c r="R281" s="14" t="str" cm="1">
        <f t="array" ref="R281">_xlfn.IFS(C281&lt;18,"Under 18",C281&lt;36,"18-35",C281&lt;51,"36-50",C281&lt;66,"51-65",C281&gt;=66,"66+")</f>
        <v>18-35</v>
      </c>
      <c r="S281" s="18">
        <v>45566</v>
      </c>
    </row>
    <row r="282" spans="1:19">
      <c r="A282" s="21" t="s">
        <v>715</v>
      </c>
      <c r="B282" s="1" t="s">
        <v>87</v>
      </c>
      <c r="C282" s="1">
        <v>19</v>
      </c>
      <c r="D282" s="1" t="s">
        <v>19</v>
      </c>
      <c r="E282" s="1" t="s">
        <v>137</v>
      </c>
      <c r="F282" s="1" t="s">
        <v>33</v>
      </c>
      <c r="G282" s="1" t="s">
        <v>132</v>
      </c>
      <c r="H282" s="1" t="s">
        <v>105</v>
      </c>
      <c r="I282" s="1" t="s">
        <v>36</v>
      </c>
      <c r="J282" s="2">
        <v>45564</v>
      </c>
      <c r="K282" s="2">
        <v>45565</v>
      </c>
      <c r="L282" s="1">
        <v>1</v>
      </c>
      <c r="M282" s="1" t="s">
        <v>48</v>
      </c>
      <c r="N282" s="1" t="s">
        <v>85</v>
      </c>
      <c r="O282" s="4">
        <v>71659.3</v>
      </c>
      <c r="P282" s="1">
        <v>5</v>
      </c>
      <c r="Q282" s="10" t="s">
        <v>58</v>
      </c>
      <c r="R282" s="14" t="str" cm="1">
        <f t="array" ref="R282">_xlfn.IFS(C282&lt;18,"Under 18",C282&lt;36,"18-35",C282&lt;51,"36-50",C282&lt;66,"51-65",C282&gt;=66,"66+")</f>
        <v>18-35</v>
      </c>
      <c r="S282" s="18">
        <v>45536</v>
      </c>
    </row>
    <row r="283" spans="1:19">
      <c r="A283" s="21" t="s">
        <v>717</v>
      </c>
      <c r="B283" s="1" t="s">
        <v>154</v>
      </c>
      <c r="C283" s="1">
        <v>13</v>
      </c>
      <c r="D283" s="1" t="s">
        <v>27</v>
      </c>
      <c r="E283" s="1" t="s">
        <v>117</v>
      </c>
      <c r="F283" s="1" t="s">
        <v>33</v>
      </c>
      <c r="G283" s="1" t="s">
        <v>68</v>
      </c>
      <c r="H283" s="1" t="s">
        <v>88</v>
      </c>
      <c r="I283" s="1" t="s">
        <v>24</v>
      </c>
      <c r="J283" s="2">
        <v>46002</v>
      </c>
      <c r="K283" s="2">
        <v>45977</v>
      </c>
      <c r="L283" s="1">
        <v>4</v>
      </c>
      <c r="M283" s="1" t="s">
        <v>38</v>
      </c>
      <c r="N283" s="1" t="s">
        <v>85</v>
      </c>
      <c r="O283" s="4">
        <v>23578.63</v>
      </c>
      <c r="P283" s="1">
        <v>5</v>
      </c>
      <c r="Q283" s="10" t="s">
        <v>40</v>
      </c>
      <c r="R283" s="14" t="str" cm="1">
        <f t="array" ref="R283">_xlfn.IFS(C283&lt;18,"Under 18",C283&lt;36,"18-35",C283&lt;51,"36-50",C283&lt;66,"51-65",C283&gt;=66,"66+")</f>
        <v>Under 18</v>
      </c>
      <c r="S283" s="18">
        <v>45992</v>
      </c>
    </row>
    <row r="284" spans="1:19">
      <c r="A284" s="21" t="s">
        <v>719</v>
      </c>
      <c r="B284" s="1" t="s">
        <v>574</v>
      </c>
      <c r="C284" s="1">
        <v>7</v>
      </c>
      <c r="D284" s="1" t="s">
        <v>27</v>
      </c>
      <c r="E284" s="1" t="s">
        <v>202</v>
      </c>
      <c r="F284" s="1" t="s">
        <v>67</v>
      </c>
      <c r="G284" s="1" t="s">
        <v>34</v>
      </c>
      <c r="H284" s="1" t="s">
        <v>35</v>
      </c>
      <c r="I284" s="1" t="s">
        <v>24</v>
      </c>
      <c r="J284" s="2">
        <v>45604</v>
      </c>
      <c r="K284" s="2">
        <v>45517</v>
      </c>
      <c r="L284" s="1">
        <v>2</v>
      </c>
      <c r="M284" s="1" t="s">
        <v>97</v>
      </c>
      <c r="N284" s="1" t="s">
        <v>63</v>
      </c>
      <c r="O284" s="4">
        <v>120819.5</v>
      </c>
      <c r="P284" s="1">
        <v>4</v>
      </c>
      <c r="Q284" s="10" t="s">
        <v>29</v>
      </c>
      <c r="R284" s="14" t="str" cm="1">
        <f t="array" ref="R284">_xlfn.IFS(C284&lt;18,"Under 18",C284&lt;36,"18-35",C284&lt;51,"36-50",C284&lt;66,"51-65",C284&gt;=66,"66+")</f>
        <v>Under 18</v>
      </c>
      <c r="S284" s="18">
        <v>45597</v>
      </c>
    </row>
    <row r="285" spans="1:19">
      <c r="A285" s="21" t="s">
        <v>721</v>
      </c>
      <c r="B285" s="1" t="s">
        <v>354</v>
      </c>
      <c r="C285" s="1">
        <v>48</v>
      </c>
      <c r="D285" s="1" t="s">
        <v>19</v>
      </c>
      <c r="E285" s="1" t="s">
        <v>159</v>
      </c>
      <c r="F285" s="1" t="s">
        <v>21</v>
      </c>
      <c r="G285" s="1" t="s">
        <v>53</v>
      </c>
      <c r="H285" s="1" t="s">
        <v>99</v>
      </c>
      <c r="I285" s="1" t="s">
        <v>62</v>
      </c>
      <c r="J285" s="2">
        <v>45605</v>
      </c>
      <c r="K285" s="2">
        <v>45550</v>
      </c>
      <c r="L285" s="1">
        <v>4</v>
      </c>
      <c r="M285" s="1" t="s">
        <v>27</v>
      </c>
      <c r="N285" s="1" t="s">
        <v>39</v>
      </c>
      <c r="O285" s="4">
        <v>29129.1</v>
      </c>
      <c r="P285" s="1">
        <v>5</v>
      </c>
      <c r="Q285" s="10" t="s">
        <v>40</v>
      </c>
      <c r="R285" s="14" t="str" cm="1">
        <f t="array" ref="R285">_xlfn.IFS(C285&lt;18,"Under 18",C285&lt;36,"18-35",C285&lt;51,"36-50",C285&lt;66,"51-65",C285&gt;=66,"66+")</f>
        <v>36-50</v>
      </c>
      <c r="S285" s="18">
        <v>45597</v>
      </c>
    </row>
    <row r="286" spans="1:19">
      <c r="A286" s="21" t="s">
        <v>722</v>
      </c>
      <c r="B286" s="1" t="s">
        <v>299</v>
      </c>
      <c r="C286" s="1">
        <v>57</v>
      </c>
      <c r="D286" s="1" t="s">
        <v>27</v>
      </c>
      <c r="E286" s="1" t="s">
        <v>20</v>
      </c>
      <c r="F286" s="1" t="s">
        <v>67</v>
      </c>
      <c r="G286" s="1" t="s">
        <v>110</v>
      </c>
      <c r="H286" s="1" t="s">
        <v>105</v>
      </c>
      <c r="I286" s="1" t="s">
        <v>36</v>
      </c>
      <c r="J286" s="2">
        <v>45489</v>
      </c>
      <c r="K286" s="2">
        <v>45495</v>
      </c>
      <c r="L286" s="1">
        <v>6</v>
      </c>
      <c r="M286" s="1" t="s">
        <v>27</v>
      </c>
      <c r="N286" s="1" t="s">
        <v>82</v>
      </c>
      <c r="O286" s="4">
        <v>127017.43</v>
      </c>
      <c r="P286" s="1">
        <v>4</v>
      </c>
      <c r="Q286" s="10" t="s">
        <v>40</v>
      </c>
      <c r="R286" s="14" t="str" cm="1">
        <f t="array" ref="R286">_xlfn.IFS(C286&lt;18,"Under 18",C286&lt;36,"18-35",C286&lt;51,"36-50",C286&lt;66,"51-65",C286&gt;=66,"66+")</f>
        <v>51-65</v>
      </c>
      <c r="S286" s="18">
        <v>45474</v>
      </c>
    </row>
    <row r="287" spans="1:19">
      <c r="A287" s="21" t="s">
        <v>723</v>
      </c>
      <c r="B287" s="1" t="s">
        <v>502</v>
      </c>
      <c r="C287" s="1">
        <v>60</v>
      </c>
      <c r="D287" s="1" t="s">
        <v>43</v>
      </c>
      <c r="E287" s="1" t="s">
        <v>51</v>
      </c>
      <c r="F287" s="1" t="s">
        <v>33</v>
      </c>
      <c r="G287" s="1" t="s">
        <v>104</v>
      </c>
      <c r="H287" s="1" t="s">
        <v>105</v>
      </c>
      <c r="I287" s="1" t="s">
        <v>24</v>
      </c>
      <c r="J287" s="2">
        <v>45786</v>
      </c>
      <c r="K287" s="2">
        <v>45817</v>
      </c>
      <c r="L287" s="1">
        <v>1</v>
      </c>
      <c r="M287" s="1" t="s">
        <v>56</v>
      </c>
      <c r="N287" s="1" t="s">
        <v>28</v>
      </c>
      <c r="O287" s="4">
        <v>71817.55</v>
      </c>
      <c r="P287" s="1">
        <v>4</v>
      </c>
      <c r="Q287" s="10" t="s">
        <v>40</v>
      </c>
      <c r="R287" s="14" t="str" cm="1">
        <f t="array" ref="R287">_xlfn.IFS(C287&lt;18,"Under 18",C287&lt;36,"18-35",C287&lt;51,"36-50",C287&lt;66,"51-65",C287&gt;=66,"66+")</f>
        <v>51-65</v>
      </c>
      <c r="S287" s="18">
        <v>45778</v>
      </c>
    </row>
    <row r="288" spans="1:19">
      <c r="A288" s="21" t="s">
        <v>724</v>
      </c>
      <c r="B288" s="1" t="s">
        <v>84</v>
      </c>
      <c r="C288" s="1">
        <v>80</v>
      </c>
      <c r="D288" s="1" t="s">
        <v>19</v>
      </c>
      <c r="E288" s="1" t="s">
        <v>44</v>
      </c>
      <c r="F288" s="1" t="s">
        <v>120</v>
      </c>
      <c r="G288" s="1" t="s">
        <v>36</v>
      </c>
      <c r="H288" s="1" t="s">
        <v>61</v>
      </c>
      <c r="I288" s="1" t="s">
        <v>62</v>
      </c>
      <c r="J288" s="2">
        <v>45620</v>
      </c>
      <c r="K288" s="2">
        <v>45621</v>
      </c>
      <c r="L288" s="1">
        <v>1</v>
      </c>
      <c r="M288" s="1" t="s">
        <v>97</v>
      </c>
      <c r="N288" s="1" t="s">
        <v>63</v>
      </c>
      <c r="O288" s="4">
        <v>50257.09</v>
      </c>
      <c r="P288" s="1">
        <v>4</v>
      </c>
      <c r="Q288" s="10" t="s">
        <v>40</v>
      </c>
      <c r="R288" s="14" t="str" cm="1">
        <f t="array" ref="R288">_xlfn.IFS(C288&lt;18,"Under 18",C288&lt;36,"18-35",C288&lt;51,"36-50",C288&lt;66,"51-65",C288&gt;=66,"66+")</f>
        <v>66+</v>
      </c>
      <c r="S288" s="18">
        <v>45597</v>
      </c>
    </row>
    <row r="289" spans="1:19">
      <c r="A289" s="21" t="s">
        <v>725</v>
      </c>
      <c r="B289" s="1" t="s">
        <v>726</v>
      </c>
      <c r="C289" s="1">
        <v>15</v>
      </c>
      <c r="D289" s="1" t="s">
        <v>19</v>
      </c>
      <c r="E289" s="1" t="s">
        <v>44</v>
      </c>
      <c r="F289" s="1" t="s">
        <v>52</v>
      </c>
      <c r="G289" s="1" t="s">
        <v>110</v>
      </c>
      <c r="H289" s="1" t="s">
        <v>35</v>
      </c>
      <c r="I289" s="1" t="s">
        <v>62</v>
      </c>
      <c r="J289" s="2">
        <v>45827</v>
      </c>
      <c r="K289" s="2">
        <v>45828</v>
      </c>
      <c r="L289" s="1">
        <v>1</v>
      </c>
      <c r="M289" s="1" t="s">
        <v>97</v>
      </c>
      <c r="N289" s="1" t="s">
        <v>90</v>
      </c>
      <c r="O289" s="4">
        <v>104697.43</v>
      </c>
      <c r="P289" s="1">
        <v>4</v>
      </c>
      <c r="Q289" s="10" t="s">
        <v>40</v>
      </c>
      <c r="R289" s="14" t="str" cm="1">
        <f t="array" ref="R289">_xlfn.IFS(C289&lt;18,"Under 18",C289&lt;36,"18-35",C289&lt;51,"36-50",C289&lt;66,"51-65",C289&gt;=66,"66+")</f>
        <v>Under 18</v>
      </c>
      <c r="S289" s="18">
        <v>45809</v>
      </c>
    </row>
    <row r="290" spans="1:19">
      <c r="A290" s="21" t="s">
        <v>727</v>
      </c>
      <c r="B290" s="1" t="s">
        <v>242</v>
      </c>
      <c r="C290" s="1">
        <v>7</v>
      </c>
      <c r="D290" s="1" t="s">
        <v>43</v>
      </c>
      <c r="E290" s="1" t="s">
        <v>51</v>
      </c>
      <c r="F290" s="1" t="s">
        <v>75</v>
      </c>
      <c r="G290" s="1" t="s">
        <v>53</v>
      </c>
      <c r="H290" s="1" t="s">
        <v>23</v>
      </c>
      <c r="I290" s="1" t="s">
        <v>24</v>
      </c>
      <c r="J290" s="2">
        <v>45518</v>
      </c>
      <c r="K290" s="2">
        <v>45522</v>
      </c>
      <c r="L290" s="1">
        <v>4</v>
      </c>
      <c r="M290" s="1" t="s">
        <v>48</v>
      </c>
      <c r="N290" s="1" t="s">
        <v>39</v>
      </c>
      <c r="O290" s="4">
        <v>132639.66</v>
      </c>
      <c r="P290" s="1">
        <v>5</v>
      </c>
      <c r="Q290" s="10" t="s">
        <v>40</v>
      </c>
      <c r="R290" s="14" t="str" cm="1">
        <f t="array" ref="R290">_xlfn.IFS(C290&lt;18,"Under 18",C290&lt;36,"18-35",C290&lt;51,"36-50",C290&lt;66,"51-65",C290&gt;=66,"66+")</f>
        <v>Under 18</v>
      </c>
      <c r="S290" s="18">
        <v>45505</v>
      </c>
    </row>
    <row r="291" spans="1:19">
      <c r="A291" s="21" t="s">
        <v>729</v>
      </c>
      <c r="B291" s="1" t="s">
        <v>453</v>
      </c>
      <c r="C291" s="1">
        <v>10</v>
      </c>
      <c r="D291" s="1" t="s">
        <v>19</v>
      </c>
      <c r="E291" s="1" t="s">
        <v>51</v>
      </c>
      <c r="F291" s="1" t="s">
        <v>52</v>
      </c>
      <c r="G291" s="1" t="s">
        <v>36</v>
      </c>
      <c r="H291" s="1" t="s">
        <v>61</v>
      </c>
      <c r="I291" s="1" t="s">
        <v>24</v>
      </c>
      <c r="J291" s="2">
        <v>45823</v>
      </c>
      <c r="K291" s="2">
        <v>45824</v>
      </c>
      <c r="L291" s="1">
        <v>1</v>
      </c>
      <c r="M291" s="1" t="s">
        <v>97</v>
      </c>
      <c r="N291" s="1" t="s">
        <v>63</v>
      </c>
      <c r="O291" s="4">
        <v>26097.72</v>
      </c>
      <c r="P291" s="1">
        <v>4</v>
      </c>
      <c r="Q291" s="10" t="s">
        <v>72</v>
      </c>
      <c r="R291" s="14" t="str" cm="1">
        <f t="array" ref="R291">_xlfn.IFS(C291&lt;18,"Under 18",C291&lt;36,"18-35",C291&lt;51,"36-50",C291&lt;66,"51-65",C291&gt;=66,"66+")</f>
        <v>Under 18</v>
      </c>
      <c r="S291" s="18">
        <v>45809</v>
      </c>
    </row>
    <row r="292" spans="1:19">
      <c r="A292" s="21" t="s">
        <v>731</v>
      </c>
      <c r="B292" s="1" t="s">
        <v>644</v>
      </c>
      <c r="C292" s="1">
        <v>82</v>
      </c>
      <c r="D292" s="1" t="s">
        <v>27</v>
      </c>
      <c r="E292" s="1" t="s">
        <v>66</v>
      </c>
      <c r="F292" s="1" t="s">
        <v>67</v>
      </c>
      <c r="G292" s="1" t="s">
        <v>22</v>
      </c>
      <c r="H292" s="1" t="s">
        <v>35</v>
      </c>
      <c r="I292" s="1" t="s">
        <v>24</v>
      </c>
      <c r="J292" s="2">
        <v>45658</v>
      </c>
      <c r="K292" s="2">
        <v>45778</v>
      </c>
      <c r="L292" s="1">
        <v>4</v>
      </c>
      <c r="M292" s="1" t="s">
        <v>97</v>
      </c>
      <c r="N292" s="1" t="s">
        <v>82</v>
      </c>
      <c r="O292" s="4">
        <v>69849.7</v>
      </c>
      <c r="P292" s="1">
        <v>4</v>
      </c>
      <c r="Q292" s="10" t="s">
        <v>40</v>
      </c>
      <c r="R292" s="14" t="str" cm="1">
        <f t="array" ref="R292">_xlfn.IFS(C292&lt;18,"Under 18",C292&lt;36,"18-35",C292&lt;51,"36-50",C292&lt;66,"51-65",C292&gt;=66,"66+")</f>
        <v>66+</v>
      </c>
      <c r="S292" s="18">
        <v>45658</v>
      </c>
    </row>
    <row r="293" spans="1:19">
      <c r="A293" s="21" t="s">
        <v>732</v>
      </c>
      <c r="B293" s="1" t="s">
        <v>565</v>
      </c>
      <c r="C293" s="1">
        <v>71</v>
      </c>
      <c r="D293" s="1" t="s">
        <v>43</v>
      </c>
      <c r="E293" s="1" t="s">
        <v>247</v>
      </c>
      <c r="F293" s="1" t="s">
        <v>33</v>
      </c>
      <c r="G293" s="1" t="s">
        <v>53</v>
      </c>
      <c r="H293" s="1" t="s">
        <v>69</v>
      </c>
      <c r="I293" s="1" t="s">
        <v>62</v>
      </c>
      <c r="J293" s="2">
        <v>45672</v>
      </c>
      <c r="K293" s="2">
        <v>45680</v>
      </c>
      <c r="L293" s="1">
        <v>8</v>
      </c>
      <c r="M293" s="1" t="s">
        <v>97</v>
      </c>
      <c r="N293" s="1" t="s">
        <v>28</v>
      </c>
      <c r="O293" s="4">
        <v>62511.74</v>
      </c>
      <c r="P293" s="1">
        <v>4</v>
      </c>
      <c r="Q293" s="10" t="s">
        <v>72</v>
      </c>
      <c r="R293" s="14" t="str" cm="1">
        <f t="array" ref="R293">_xlfn.IFS(C293&lt;18,"Under 18",C293&lt;36,"18-35",C293&lt;51,"36-50",C293&lt;66,"51-65",C293&gt;=66,"66+")</f>
        <v>66+</v>
      </c>
      <c r="S293" s="18">
        <v>45658</v>
      </c>
    </row>
    <row r="294" spans="1:19">
      <c r="A294" s="21" t="s">
        <v>734</v>
      </c>
      <c r="B294" s="1" t="s">
        <v>735</v>
      </c>
      <c r="C294" s="1">
        <v>37</v>
      </c>
      <c r="D294" s="1" t="s">
        <v>27</v>
      </c>
      <c r="E294" s="1" t="s">
        <v>32</v>
      </c>
      <c r="F294" s="1" t="s">
        <v>75</v>
      </c>
      <c r="G294" s="1" t="s">
        <v>34</v>
      </c>
      <c r="H294" s="1" t="s">
        <v>105</v>
      </c>
      <c r="I294" s="1" t="s">
        <v>62</v>
      </c>
      <c r="J294" s="2">
        <v>45308</v>
      </c>
      <c r="K294" s="2">
        <v>45309</v>
      </c>
      <c r="L294" s="1">
        <v>1</v>
      </c>
      <c r="M294" s="1" t="s">
        <v>38</v>
      </c>
      <c r="N294" s="1" t="s">
        <v>85</v>
      </c>
      <c r="O294" s="4">
        <v>116846.64</v>
      </c>
      <c r="P294" s="1">
        <v>3</v>
      </c>
      <c r="Q294" s="10" t="s">
        <v>29</v>
      </c>
      <c r="R294" s="14" t="str" cm="1">
        <f t="array" ref="R294">_xlfn.IFS(C294&lt;18,"Under 18",C294&lt;36,"18-35",C294&lt;51,"36-50",C294&lt;66,"51-65",C294&gt;=66,"66+")</f>
        <v>36-50</v>
      </c>
      <c r="S294" s="18">
        <v>45292</v>
      </c>
    </row>
    <row r="295" spans="1:19">
      <c r="A295" s="21" t="s">
        <v>737</v>
      </c>
      <c r="B295" s="1" t="s">
        <v>557</v>
      </c>
      <c r="C295" s="1">
        <v>34</v>
      </c>
      <c r="D295" s="1" t="s">
        <v>43</v>
      </c>
      <c r="E295" s="1" t="s">
        <v>159</v>
      </c>
      <c r="F295" s="1" t="s">
        <v>21</v>
      </c>
      <c r="G295" s="1" t="s">
        <v>22</v>
      </c>
      <c r="H295" s="1" t="s">
        <v>69</v>
      </c>
      <c r="I295" s="1" t="s">
        <v>62</v>
      </c>
      <c r="J295" s="2">
        <v>45888</v>
      </c>
      <c r="K295" s="2">
        <v>45890</v>
      </c>
      <c r="L295" s="1">
        <v>2</v>
      </c>
      <c r="M295" s="1" t="s">
        <v>27</v>
      </c>
      <c r="N295" s="1" t="s">
        <v>39</v>
      </c>
      <c r="O295" s="4">
        <v>41185.269999999997</v>
      </c>
      <c r="P295" s="1">
        <v>5</v>
      </c>
      <c r="Q295" s="10" t="s">
        <v>72</v>
      </c>
      <c r="R295" s="14" t="str" cm="1">
        <f t="array" ref="R295">_xlfn.IFS(C295&lt;18,"Under 18",C295&lt;36,"18-35",C295&lt;51,"36-50",C295&lt;66,"51-65",C295&gt;=66,"66+")</f>
        <v>18-35</v>
      </c>
      <c r="S295" s="18">
        <v>45870</v>
      </c>
    </row>
    <row r="296" spans="1:19">
      <c r="A296" s="21" t="s">
        <v>739</v>
      </c>
      <c r="B296" s="1" t="s">
        <v>494</v>
      </c>
      <c r="C296" s="1">
        <v>77</v>
      </c>
      <c r="D296" s="1" t="s">
        <v>27</v>
      </c>
      <c r="E296" s="1" t="s">
        <v>32</v>
      </c>
      <c r="F296" s="1" t="s">
        <v>21</v>
      </c>
      <c r="G296" s="1" t="s">
        <v>22</v>
      </c>
      <c r="H296" s="1" t="s">
        <v>99</v>
      </c>
      <c r="I296" s="1" t="s">
        <v>24</v>
      </c>
      <c r="J296" s="2">
        <v>45362</v>
      </c>
      <c r="K296" s="2">
        <v>45576</v>
      </c>
      <c r="L296" s="1">
        <v>7</v>
      </c>
      <c r="M296" s="1" t="s">
        <v>27</v>
      </c>
      <c r="N296" s="1" t="s">
        <v>28</v>
      </c>
      <c r="O296" s="4">
        <v>79296.62</v>
      </c>
      <c r="P296" s="1">
        <v>4</v>
      </c>
      <c r="Q296" s="10" t="s">
        <v>58</v>
      </c>
      <c r="R296" s="14" t="str" cm="1">
        <f t="array" ref="R296">_xlfn.IFS(C296&lt;18,"Under 18",C296&lt;36,"18-35",C296&lt;51,"36-50",C296&lt;66,"51-65",C296&gt;=66,"66+")</f>
        <v>66+</v>
      </c>
      <c r="S296" s="18">
        <v>45352</v>
      </c>
    </row>
    <row r="297" spans="1:19">
      <c r="A297" s="21" t="s">
        <v>740</v>
      </c>
      <c r="B297" s="1" t="s">
        <v>538</v>
      </c>
      <c r="C297" s="1">
        <v>7</v>
      </c>
      <c r="D297" s="1" t="s">
        <v>43</v>
      </c>
      <c r="E297" s="1" t="s">
        <v>44</v>
      </c>
      <c r="F297" s="1" t="s">
        <v>67</v>
      </c>
      <c r="G297" s="1" t="s">
        <v>53</v>
      </c>
      <c r="H297" s="1" t="s">
        <v>23</v>
      </c>
      <c r="I297" s="1" t="s">
        <v>24</v>
      </c>
      <c r="J297" s="2">
        <v>45828</v>
      </c>
      <c r="K297" s="2">
        <v>45830</v>
      </c>
      <c r="L297" s="1">
        <v>2</v>
      </c>
      <c r="M297" s="1" t="s">
        <v>48</v>
      </c>
      <c r="N297" s="1" t="s">
        <v>85</v>
      </c>
      <c r="O297" s="4">
        <v>84202.16</v>
      </c>
      <c r="P297" s="1">
        <v>4</v>
      </c>
      <c r="Q297" s="10" t="s">
        <v>58</v>
      </c>
      <c r="R297" s="14" t="str" cm="1">
        <f t="array" ref="R297">_xlfn.IFS(C297&lt;18,"Under 18",C297&lt;36,"18-35",C297&lt;51,"36-50",C297&lt;66,"51-65",C297&gt;=66,"66+")</f>
        <v>Under 18</v>
      </c>
      <c r="S297" s="18">
        <v>45809</v>
      </c>
    </row>
    <row r="298" spans="1:19">
      <c r="A298" s="21" t="s">
        <v>741</v>
      </c>
      <c r="B298" s="1" t="s">
        <v>261</v>
      </c>
      <c r="C298" s="1">
        <v>38</v>
      </c>
      <c r="D298" s="1" t="s">
        <v>43</v>
      </c>
      <c r="E298" s="1" t="s">
        <v>159</v>
      </c>
      <c r="F298" s="1" t="s">
        <v>67</v>
      </c>
      <c r="G298" s="1" t="s">
        <v>34</v>
      </c>
      <c r="H298" s="1" t="s">
        <v>23</v>
      </c>
      <c r="I298" s="1" t="s">
        <v>36</v>
      </c>
      <c r="J298" s="2">
        <v>45443</v>
      </c>
      <c r="K298" s="2">
        <v>45357</v>
      </c>
      <c r="L298" s="1">
        <v>3</v>
      </c>
      <c r="M298" s="1" t="s">
        <v>97</v>
      </c>
      <c r="N298" s="1" t="s">
        <v>57</v>
      </c>
      <c r="O298" s="4">
        <v>52519.37</v>
      </c>
      <c r="P298" s="1">
        <v>4</v>
      </c>
      <c r="Q298" s="10" t="s">
        <v>29</v>
      </c>
      <c r="R298" s="14" t="str" cm="1">
        <f t="array" ref="R298">_xlfn.IFS(C298&lt;18,"Under 18",C298&lt;36,"18-35",C298&lt;51,"36-50",C298&lt;66,"51-65",C298&gt;=66,"66+")</f>
        <v>36-50</v>
      </c>
      <c r="S298" s="18">
        <v>45413</v>
      </c>
    </row>
    <row r="299" spans="1:19">
      <c r="A299" s="21" t="s">
        <v>742</v>
      </c>
      <c r="B299" s="1" t="s">
        <v>375</v>
      </c>
      <c r="C299" s="1">
        <v>72</v>
      </c>
      <c r="D299" s="1" t="s">
        <v>27</v>
      </c>
      <c r="E299" s="1" t="s">
        <v>137</v>
      </c>
      <c r="F299" s="1" t="s">
        <v>120</v>
      </c>
      <c r="G299" s="1" t="s">
        <v>36</v>
      </c>
      <c r="H299" s="1" t="s">
        <v>88</v>
      </c>
      <c r="I299" s="1" t="s">
        <v>62</v>
      </c>
      <c r="J299" s="2">
        <v>45828</v>
      </c>
      <c r="K299" s="2">
        <v>45830</v>
      </c>
      <c r="L299" s="1">
        <v>2</v>
      </c>
      <c r="M299" s="1" t="s">
        <v>56</v>
      </c>
      <c r="N299" s="1" t="s">
        <v>82</v>
      </c>
      <c r="O299" s="4">
        <v>61985.87</v>
      </c>
      <c r="P299" s="1">
        <v>4</v>
      </c>
      <c r="Q299" s="10" t="s">
        <v>40</v>
      </c>
      <c r="R299" s="14" t="str" cm="1">
        <f t="array" ref="R299">_xlfn.IFS(C299&lt;18,"Under 18",C299&lt;36,"18-35",C299&lt;51,"36-50",C299&lt;66,"51-65",C299&gt;=66,"66+")</f>
        <v>66+</v>
      </c>
      <c r="S299" s="18">
        <v>45809</v>
      </c>
    </row>
    <row r="300" spans="1:19">
      <c r="A300" s="21" t="s">
        <v>743</v>
      </c>
      <c r="B300" s="1" t="s">
        <v>391</v>
      </c>
      <c r="C300" s="1">
        <v>77</v>
      </c>
      <c r="D300" s="1" t="s">
        <v>27</v>
      </c>
      <c r="E300" s="1" t="s">
        <v>247</v>
      </c>
      <c r="F300" s="1" t="s">
        <v>21</v>
      </c>
      <c r="G300" s="1" t="s">
        <v>104</v>
      </c>
      <c r="H300" s="1" t="s">
        <v>69</v>
      </c>
      <c r="I300" s="1" t="s">
        <v>24</v>
      </c>
      <c r="J300" s="2">
        <v>45316</v>
      </c>
      <c r="K300" s="2">
        <v>45317</v>
      </c>
      <c r="L300" s="1">
        <v>1</v>
      </c>
      <c r="M300" s="1" t="s">
        <v>48</v>
      </c>
      <c r="N300" s="1" t="s">
        <v>28</v>
      </c>
      <c r="O300" s="4">
        <v>22644.75</v>
      </c>
      <c r="P300" s="1">
        <v>2</v>
      </c>
      <c r="Q300" s="10" t="s">
        <v>72</v>
      </c>
      <c r="R300" s="14" t="str" cm="1">
        <f t="array" ref="R300">_xlfn.IFS(C300&lt;18,"Under 18",C300&lt;36,"18-35",C300&lt;51,"36-50",C300&lt;66,"51-65",C300&gt;=66,"66+")</f>
        <v>66+</v>
      </c>
      <c r="S300" s="18">
        <v>45292</v>
      </c>
    </row>
    <row r="301" spans="1:19">
      <c r="A301" s="21" t="s">
        <v>744</v>
      </c>
      <c r="B301" s="1" t="s">
        <v>745</v>
      </c>
      <c r="C301" s="1">
        <v>32</v>
      </c>
      <c r="D301" s="1" t="s">
        <v>27</v>
      </c>
      <c r="E301" s="1" t="s">
        <v>20</v>
      </c>
      <c r="F301" s="1" t="s">
        <v>67</v>
      </c>
      <c r="G301" s="1" t="s">
        <v>22</v>
      </c>
      <c r="H301" s="1" t="s">
        <v>105</v>
      </c>
      <c r="I301" s="1" t="s">
        <v>24</v>
      </c>
      <c r="J301" s="2">
        <v>45443</v>
      </c>
      <c r="K301" s="2">
        <v>45297</v>
      </c>
      <c r="L301" s="1">
        <v>1</v>
      </c>
      <c r="M301" s="1" t="s">
        <v>38</v>
      </c>
      <c r="N301" s="1" t="s">
        <v>90</v>
      </c>
      <c r="O301" s="4">
        <v>44854.49</v>
      </c>
      <c r="P301" s="1">
        <v>1</v>
      </c>
      <c r="Q301" s="10" t="s">
        <v>58</v>
      </c>
      <c r="R301" s="14" t="str" cm="1">
        <f t="array" ref="R301">_xlfn.IFS(C301&lt;18,"Under 18",C301&lt;36,"18-35",C301&lt;51,"36-50",C301&lt;66,"51-65",C301&gt;=66,"66+")</f>
        <v>18-35</v>
      </c>
      <c r="S301" s="18">
        <v>45413</v>
      </c>
    </row>
    <row r="302" spans="1:19">
      <c r="A302" s="21" t="s">
        <v>746</v>
      </c>
      <c r="B302" s="1" t="s">
        <v>437</v>
      </c>
      <c r="C302" s="1">
        <v>80</v>
      </c>
      <c r="D302" s="1" t="s">
        <v>27</v>
      </c>
      <c r="E302" s="1" t="s">
        <v>202</v>
      </c>
      <c r="F302" s="1" t="s">
        <v>33</v>
      </c>
      <c r="G302" s="1" t="s">
        <v>34</v>
      </c>
      <c r="H302" s="1" t="s">
        <v>105</v>
      </c>
      <c r="I302" s="1" t="s">
        <v>24</v>
      </c>
      <c r="J302" s="2">
        <v>45436</v>
      </c>
      <c r="K302" s="2">
        <v>45441</v>
      </c>
      <c r="L302" s="1">
        <v>5</v>
      </c>
      <c r="M302" s="1" t="s">
        <v>48</v>
      </c>
      <c r="N302" s="1" t="s">
        <v>28</v>
      </c>
      <c r="O302" s="4">
        <v>35565.46</v>
      </c>
      <c r="P302" s="1">
        <v>5</v>
      </c>
      <c r="Q302" s="10" t="s">
        <v>58</v>
      </c>
      <c r="R302" s="14" t="str" cm="1">
        <f t="array" ref="R302">_xlfn.IFS(C302&lt;18,"Under 18",C302&lt;36,"18-35",C302&lt;51,"36-50",C302&lt;66,"51-65",C302&gt;=66,"66+")</f>
        <v>66+</v>
      </c>
      <c r="S302" s="18">
        <v>45413</v>
      </c>
    </row>
    <row r="303" spans="1:19">
      <c r="A303" s="21" t="s">
        <v>748</v>
      </c>
      <c r="B303" s="1" t="s">
        <v>749</v>
      </c>
      <c r="C303" s="1">
        <v>85</v>
      </c>
      <c r="D303" s="1" t="s">
        <v>43</v>
      </c>
      <c r="E303" s="1" t="s">
        <v>159</v>
      </c>
      <c r="F303" s="1" t="s">
        <v>67</v>
      </c>
      <c r="G303" s="1" t="s">
        <v>68</v>
      </c>
      <c r="H303" s="1" t="s">
        <v>76</v>
      </c>
      <c r="I303" s="1" t="s">
        <v>24</v>
      </c>
      <c r="J303" s="2">
        <v>45911</v>
      </c>
      <c r="K303" s="2">
        <v>46002</v>
      </c>
      <c r="L303" s="1">
        <v>3</v>
      </c>
      <c r="M303" s="1" t="s">
        <v>48</v>
      </c>
      <c r="N303" s="1" t="s">
        <v>85</v>
      </c>
      <c r="O303" s="4">
        <v>28875.31</v>
      </c>
      <c r="P303" s="1">
        <v>4</v>
      </c>
      <c r="Q303" s="10" t="s">
        <v>29</v>
      </c>
      <c r="R303" s="14" t="str" cm="1">
        <f t="array" ref="R303">_xlfn.IFS(C303&lt;18,"Under 18",C303&lt;36,"18-35",C303&lt;51,"36-50",C303&lt;66,"51-65",C303&gt;=66,"66+")</f>
        <v>66+</v>
      </c>
      <c r="S303" s="18">
        <v>45901</v>
      </c>
    </row>
    <row r="304" spans="1:19">
      <c r="A304" s="21" t="s">
        <v>750</v>
      </c>
      <c r="B304" s="1" t="s">
        <v>510</v>
      </c>
      <c r="C304" s="1">
        <v>65</v>
      </c>
      <c r="D304" s="1" t="s">
        <v>43</v>
      </c>
      <c r="E304" s="1" t="s">
        <v>247</v>
      </c>
      <c r="F304" s="1" t="s">
        <v>120</v>
      </c>
      <c r="G304" s="1" t="s">
        <v>68</v>
      </c>
      <c r="H304" s="1" t="s">
        <v>88</v>
      </c>
      <c r="I304" s="1" t="s">
        <v>24</v>
      </c>
      <c r="J304" s="2">
        <v>45866</v>
      </c>
      <c r="K304" s="2">
        <v>45867</v>
      </c>
      <c r="L304" s="1">
        <v>1</v>
      </c>
      <c r="M304" s="1" t="s">
        <v>38</v>
      </c>
      <c r="N304" s="1" t="s">
        <v>85</v>
      </c>
      <c r="O304" s="4">
        <v>47765.1</v>
      </c>
      <c r="P304" s="1">
        <v>5</v>
      </c>
      <c r="Q304" s="10" t="s">
        <v>40</v>
      </c>
      <c r="R304" s="14" t="str" cm="1">
        <f t="array" ref="R304">_xlfn.IFS(C304&lt;18,"Under 18",C304&lt;36,"18-35",C304&lt;51,"36-50",C304&lt;66,"51-65",C304&gt;=66,"66+")</f>
        <v>51-65</v>
      </c>
      <c r="S304" s="18">
        <v>45839</v>
      </c>
    </row>
    <row r="305" spans="1:19">
      <c r="A305" s="21" t="s">
        <v>752</v>
      </c>
      <c r="B305" s="1" t="s">
        <v>381</v>
      </c>
      <c r="C305" s="1">
        <v>8</v>
      </c>
      <c r="D305" s="1" t="s">
        <v>27</v>
      </c>
      <c r="E305" s="1" t="s">
        <v>32</v>
      </c>
      <c r="F305" s="1" t="s">
        <v>52</v>
      </c>
      <c r="G305" s="1" t="s">
        <v>34</v>
      </c>
      <c r="H305" s="1" t="s">
        <v>23</v>
      </c>
      <c r="I305" s="1" t="s">
        <v>62</v>
      </c>
      <c r="J305" s="2">
        <v>45555</v>
      </c>
      <c r="K305" s="2">
        <v>45361</v>
      </c>
      <c r="L305" s="1">
        <v>13</v>
      </c>
      <c r="M305" s="1" t="s">
        <v>27</v>
      </c>
      <c r="N305" s="1" t="s">
        <v>63</v>
      </c>
      <c r="O305" s="4">
        <v>142556.93</v>
      </c>
      <c r="P305" s="1">
        <v>4</v>
      </c>
      <c r="Q305" s="10" t="s">
        <v>29</v>
      </c>
      <c r="R305" s="14" t="str" cm="1">
        <f t="array" ref="R305">_xlfn.IFS(C305&lt;18,"Under 18",C305&lt;36,"18-35",C305&lt;51,"36-50",C305&lt;66,"51-65",C305&gt;=66,"66+")</f>
        <v>Under 18</v>
      </c>
      <c r="S305" s="18">
        <v>45536</v>
      </c>
    </row>
    <row r="306" spans="1:19">
      <c r="A306" s="21" t="s">
        <v>754</v>
      </c>
      <c r="B306" s="1" t="s">
        <v>423</v>
      </c>
      <c r="C306" s="1">
        <v>54</v>
      </c>
      <c r="D306" s="1" t="s">
        <v>19</v>
      </c>
      <c r="E306" s="1" t="s">
        <v>66</v>
      </c>
      <c r="F306" s="1" t="s">
        <v>120</v>
      </c>
      <c r="G306" s="1" t="s">
        <v>53</v>
      </c>
      <c r="H306" s="1" t="s">
        <v>93</v>
      </c>
      <c r="I306" s="1" t="s">
        <v>24</v>
      </c>
      <c r="J306" s="2">
        <v>45908</v>
      </c>
      <c r="K306" s="2">
        <v>45999</v>
      </c>
      <c r="L306" s="1">
        <v>3</v>
      </c>
      <c r="M306" s="1" t="s">
        <v>27</v>
      </c>
      <c r="N306" s="1" t="s">
        <v>85</v>
      </c>
      <c r="O306" s="4">
        <v>71498.33</v>
      </c>
      <c r="P306" s="1">
        <v>3</v>
      </c>
      <c r="Q306" s="10" t="s">
        <v>58</v>
      </c>
      <c r="R306" s="14" t="str" cm="1">
        <f t="array" ref="R306">_xlfn.IFS(C306&lt;18,"Under 18",C306&lt;36,"18-35",C306&lt;51,"36-50",C306&lt;66,"51-65",C306&gt;=66,"66+")</f>
        <v>51-65</v>
      </c>
      <c r="S306" s="18">
        <v>45901</v>
      </c>
    </row>
    <row r="307" spans="1:19">
      <c r="A307" s="21" t="s">
        <v>755</v>
      </c>
      <c r="B307" s="1" t="s">
        <v>510</v>
      </c>
      <c r="C307" s="1">
        <v>19</v>
      </c>
      <c r="D307" s="1" t="s">
        <v>27</v>
      </c>
      <c r="E307" s="1" t="s">
        <v>137</v>
      </c>
      <c r="F307" s="1" t="s">
        <v>33</v>
      </c>
      <c r="G307" s="1" t="s">
        <v>22</v>
      </c>
      <c r="H307" s="1" t="s">
        <v>35</v>
      </c>
      <c r="I307" s="1" t="s">
        <v>62</v>
      </c>
      <c r="J307" s="2">
        <v>45665</v>
      </c>
      <c r="K307" s="2">
        <v>45724</v>
      </c>
      <c r="L307" s="1">
        <v>2</v>
      </c>
      <c r="M307" s="1" t="s">
        <v>97</v>
      </c>
      <c r="N307" s="1" t="s">
        <v>63</v>
      </c>
      <c r="O307" s="4">
        <v>35184.620000000003</v>
      </c>
      <c r="P307" s="1">
        <v>5</v>
      </c>
      <c r="Q307" s="10" t="s">
        <v>40</v>
      </c>
      <c r="R307" s="14" t="str" cm="1">
        <f t="array" ref="R307">_xlfn.IFS(C307&lt;18,"Under 18",C307&lt;36,"18-35",C307&lt;51,"36-50",C307&lt;66,"51-65",C307&gt;=66,"66+")</f>
        <v>18-35</v>
      </c>
      <c r="S307" s="18">
        <v>45658</v>
      </c>
    </row>
    <row r="308" spans="1:19">
      <c r="A308" s="21" t="s">
        <v>756</v>
      </c>
      <c r="B308" s="1" t="s">
        <v>391</v>
      </c>
      <c r="C308" s="1">
        <v>20</v>
      </c>
      <c r="D308" s="1" t="s">
        <v>19</v>
      </c>
      <c r="E308" s="1" t="s">
        <v>202</v>
      </c>
      <c r="F308" s="1" t="s">
        <v>120</v>
      </c>
      <c r="G308" s="1" t="s">
        <v>68</v>
      </c>
      <c r="H308" s="1" t="s">
        <v>69</v>
      </c>
      <c r="I308" s="1" t="s">
        <v>36</v>
      </c>
      <c r="J308" s="2">
        <v>45401</v>
      </c>
      <c r="K308" s="2">
        <v>45402</v>
      </c>
      <c r="L308" s="1">
        <v>1</v>
      </c>
      <c r="M308" s="1" t="s">
        <v>97</v>
      </c>
      <c r="N308" s="1" t="s">
        <v>85</v>
      </c>
      <c r="O308" s="4">
        <v>53394.15</v>
      </c>
      <c r="P308" s="1">
        <v>3</v>
      </c>
      <c r="Q308" s="10" t="s">
        <v>58</v>
      </c>
      <c r="R308" s="14" t="str" cm="1">
        <f t="array" ref="R308">_xlfn.IFS(C308&lt;18,"Under 18",C308&lt;36,"18-35",C308&lt;51,"36-50",C308&lt;66,"51-65",C308&gt;=66,"66+")</f>
        <v>18-35</v>
      </c>
      <c r="S308" s="18">
        <v>45383</v>
      </c>
    </row>
    <row r="309" spans="1:19">
      <c r="A309" s="21" t="s">
        <v>757</v>
      </c>
      <c r="B309" s="1" t="s">
        <v>324</v>
      </c>
      <c r="C309" s="1">
        <v>84</v>
      </c>
      <c r="D309" s="1" t="s">
        <v>43</v>
      </c>
      <c r="E309" s="1" t="s">
        <v>137</v>
      </c>
      <c r="F309" s="1" t="s">
        <v>21</v>
      </c>
      <c r="G309" s="1" t="s">
        <v>132</v>
      </c>
      <c r="H309" s="1" t="s">
        <v>61</v>
      </c>
      <c r="I309" s="1" t="s">
        <v>24</v>
      </c>
      <c r="J309" s="2">
        <v>45480</v>
      </c>
      <c r="K309" s="2">
        <v>45603</v>
      </c>
      <c r="L309" s="1">
        <v>4</v>
      </c>
      <c r="M309" s="1" t="s">
        <v>56</v>
      </c>
      <c r="N309" s="1" t="s">
        <v>39</v>
      </c>
      <c r="O309" s="4">
        <v>14352.76</v>
      </c>
      <c r="P309" s="1">
        <v>5</v>
      </c>
      <c r="Q309" s="10" t="s">
        <v>29</v>
      </c>
      <c r="R309" s="14" t="str" cm="1">
        <f t="array" ref="R309">_xlfn.IFS(C309&lt;18,"Under 18",C309&lt;36,"18-35",C309&lt;51,"36-50",C309&lt;66,"51-65",C309&gt;=66,"66+")</f>
        <v>66+</v>
      </c>
      <c r="S309" s="18">
        <v>45474</v>
      </c>
    </row>
    <row r="310" spans="1:19">
      <c r="A310" s="21" t="s">
        <v>758</v>
      </c>
      <c r="B310" s="1" t="s">
        <v>229</v>
      </c>
      <c r="C310" s="1">
        <v>9</v>
      </c>
      <c r="D310" s="1" t="s">
        <v>19</v>
      </c>
      <c r="E310" s="1" t="s">
        <v>247</v>
      </c>
      <c r="F310" s="1" t="s">
        <v>33</v>
      </c>
      <c r="G310" s="1" t="s">
        <v>104</v>
      </c>
      <c r="H310" s="1" t="s">
        <v>61</v>
      </c>
      <c r="I310" s="1" t="s">
        <v>24</v>
      </c>
      <c r="J310" s="2">
        <v>45741</v>
      </c>
      <c r="K310" s="2">
        <v>45745</v>
      </c>
      <c r="L310" s="1">
        <v>4</v>
      </c>
      <c r="M310" s="1" t="s">
        <v>27</v>
      </c>
      <c r="N310" s="1" t="s">
        <v>90</v>
      </c>
      <c r="O310" s="4">
        <v>43211.56</v>
      </c>
      <c r="P310" s="1">
        <v>5</v>
      </c>
      <c r="Q310" s="10" t="s">
        <v>72</v>
      </c>
      <c r="R310" s="14" t="str" cm="1">
        <f t="array" ref="R310">_xlfn.IFS(C310&lt;18,"Under 18",C310&lt;36,"18-35",C310&lt;51,"36-50",C310&lt;66,"51-65",C310&gt;=66,"66+")</f>
        <v>Under 18</v>
      </c>
      <c r="S310" s="18">
        <v>45717</v>
      </c>
    </row>
    <row r="311" spans="1:19">
      <c r="A311" s="21" t="s">
        <v>760</v>
      </c>
      <c r="B311" s="1" t="s">
        <v>688</v>
      </c>
      <c r="C311" s="1">
        <v>67</v>
      </c>
      <c r="D311" s="1" t="s">
        <v>19</v>
      </c>
      <c r="E311" s="1" t="s">
        <v>159</v>
      </c>
      <c r="F311" s="1" t="s">
        <v>33</v>
      </c>
      <c r="G311" s="1" t="s">
        <v>36</v>
      </c>
      <c r="H311" s="1" t="s">
        <v>23</v>
      </c>
      <c r="I311" s="1" t="s">
        <v>62</v>
      </c>
      <c r="J311" s="2">
        <v>45842</v>
      </c>
      <c r="K311" s="2">
        <v>45934</v>
      </c>
      <c r="L311" s="1">
        <v>3</v>
      </c>
      <c r="M311" s="1" t="s">
        <v>38</v>
      </c>
      <c r="N311" s="1" t="s">
        <v>57</v>
      </c>
      <c r="O311" s="4">
        <v>67856.67</v>
      </c>
      <c r="P311" s="1">
        <v>5</v>
      </c>
      <c r="Q311" s="10" t="s">
        <v>29</v>
      </c>
      <c r="R311" s="14" t="str" cm="1">
        <f t="array" ref="R311">_xlfn.IFS(C311&lt;18,"Under 18",C311&lt;36,"18-35",C311&lt;51,"36-50",C311&lt;66,"51-65",C311&gt;=66,"66+")</f>
        <v>66+</v>
      </c>
      <c r="S311" s="18">
        <v>45839</v>
      </c>
    </row>
    <row r="312" spans="1:19">
      <c r="A312" s="21" t="s">
        <v>761</v>
      </c>
      <c r="B312" s="1" t="s">
        <v>762</v>
      </c>
      <c r="C312" s="1">
        <v>55</v>
      </c>
      <c r="D312" s="1" t="s">
        <v>43</v>
      </c>
      <c r="E312" s="1" t="s">
        <v>137</v>
      </c>
      <c r="F312" s="1" t="s">
        <v>33</v>
      </c>
      <c r="G312" s="1" t="s">
        <v>104</v>
      </c>
      <c r="H312" s="1" t="s">
        <v>93</v>
      </c>
      <c r="I312" s="1" t="s">
        <v>62</v>
      </c>
      <c r="J312" s="2">
        <v>45919</v>
      </c>
      <c r="K312" s="2">
        <v>45925</v>
      </c>
      <c r="L312" s="1">
        <v>6</v>
      </c>
      <c r="M312" s="1" t="s">
        <v>97</v>
      </c>
      <c r="N312" s="1" t="s">
        <v>28</v>
      </c>
      <c r="O312" s="4">
        <v>18602.18</v>
      </c>
      <c r="P312" s="1">
        <v>4</v>
      </c>
      <c r="Q312" s="10" t="s">
        <v>29</v>
      </c>
      <c r="R312" s="14" t="str" cm="1">
        <f t="array" ref="R312">_xlfn.IFS(C312&lt;18,"Under 18",C312&lt;36,"18-35",C312&lt;51,"36-50",C312&lt;66,"51-65",C312&gt;=66,"66+")</f>
        <v>51-65</v>
      </c>
      <c r="S312" s="18">
        <v>45901</v>
      </c>
    </row>
    <row r="313" spans="1:19">
      <c r="A313" s="21" t="s">
        <v>765</v>
      </c>
      <c r="B313" s="1" t="s">
        <v>766</v>
      </c>
      <c r="C313" s="1">
        <v>59</v>
      </c>
      <c r="D313" s="1" t="s">
        <v>27</v>
      </c>
      <c r="E313" s="1" t="s">
        <v>51</v>
      </c>
      <c r="F313" s="1" t="s">
        <v>67</v>
      </c>
      <c r="G313" s="1" t="s">
        <v>110</v>
      </c>
      <c r="H313" s="1" t="s">
        <v>45</v>
      </c>
      <c r="I313" s="1" t="s">
        <v>36</v>
      </c>
      <c r="J313" s="2">
        <v>46021</v>
      </c>
      <c r="K313" s="2">
        <v>46023</v>
      </c>
      <c r="L313" s="1">
        <v>2</v>
      </c>
      <c r="M313" s="1" t="s">
        <v>97</v>
      </c>
      <c r="N313" s="1" t="s">
        <v>90</v>
      </c>
      <c r="O313" s="4">
        <v>34246.79</v>
      </c>
      <c r="P313" s="1">
        <v>4</v>
      </c>
      <c r="Q313" s="10" t="s">
        <v>58</v>
      </c>
      <c r="R313" s="14" t="str" cm="1">
        <f t="array" ref="R313">_xlfn.IFS(C313&lt;18,"Under 18",C313&lt;36,"18-35",C313&lt;51,"36-50",C313&lt;66,"51-65",C313&gt;=66,"66+")</f>
        <v>51-65</v>
      </c>
      <c r="S313" s="18">
        <v>45992</v>
      </c>
    </row>
    <row r="314" spans="1:19">
      <c r="A314" s="21" t="s">
        <v>767</v>
      </c>
      <c r="B314" s="1" t="s">
        <v>299</v>
      </c>
      <c r="C314" s="1">
        <v>6</v>
      </c>
      <c r="D314" s="1" t="s">
        <v>19</v>
      </c>
      <c r="E314" s="1" t="s">
        <v>117</v>
      </c>
      <c r="F314" s="1" t="s">
        <v>52</v>
      </c>
      <c r="G314" s="1" t="s">
        <v>110</v>
      </c>
      <c r="H314" s="1" t="s">
        <v>35</v>
      </c>
      <c r="I314" s="1" t="s">
        <v>36</v>
      </c>
      <c r="J314" s="2">
        <v>45547</v>
      </c>
      <c r="K314" s="2">
        <v>45647</v>
      </c>
      <c r="L314" s="1">
        <v>12</v>
      </c>
      <c r="M314" s="1" t="s">
        <v>48</v>
      </c>
      <c r="N314" s="1" t="s">
        <v>85</v>
      </c>
      <c r="O314" s="4">
        <v>57658.13</v>
      </c>
      <c r="P314" s="1">
        <v>4</v>
      </c>
      <c r="Q314" s="10" t="s">
        <v>29</v>
      </c>
      <c r="R314" s="14" t="str" cm="1">
        <f t="array" ref="R314">_xlfn.IFS(C314&lt;18,"Under 18",C314&lt;36,"18-35",C314&lt;51,"36-50",C314&lt;66,"51-65",C314&gt;=66,"66+")</f>
        <v>Under 18</v>
      </c>
      <c r="S314" s="18">
        <v>45536</v>
      </c>
    </row>
    <row r="315" spans="1:19">
      <c r="A315" s="21" t="s">
        <v>768</v>
      </c>
      <c r="B315" s="1" t="s">
        <v>670</v>
      </c>
      <c r="C315" s="1">
        <v>1</v>
      </c>
      <c r="D315" s="1" t="s">
        <v>27</v>
      </c>
      <c r="E315" s="1" t="s">
        <v>137</v>
      </c>
      <c r="F315" s="1" t="s">
        <v>33</v>
      </c>
      <c r="G315" s="1" t="s">
        <v>34</v>
      </c>
      <c r="H315" s="1" t="s">
        <v>69</v>
      </c>
      <c r="I315" s="1" t="s">
        <v>36</v>
      </c>
      <c r="J315" s="2">
        <v>45551</v>
      </c>
      <c r="K315" s="2">
        <v>45555</v>
      </c>
      <c r="L315" s="1">
        <v>4</v>
      </c>
      <c r="M315" s="1" t="s">
        <v>27</v>
      </c>
      <c r="N315" s="1" t="s">
        <v>90</v>
      </c>
      <c r="O315" s="4">
        <v>108089.28</v>
      </c>
      <c r="P315" s="1">
        <v>4</v>
      </c>
      <c r="Q315" s="10" t="s">
        <v>72</v>
      </c>
      <c r="R315" s="14" t="str" cm="1">
        <f t="array" ref="R315">_xlfn.IFS(C315&lt;18,"Under 18",C315&lt;36,"18-35",C315&lt;51,"36-50",C315&lt;66,"51-65",C315&gt;=66,"66+")</f>
        <v>Under 18</v>
      </c>
      <c r="S315" s="18">
        <v>45536</v>
      </c>
    </row>
    <row r="316" spans="1:19">
      <c r="A316" s="21" t="s">
        <v>769</v>
      </c>
      <c r="B316" s="1" t="s">
        <v>770</v>
      </c>
      <c r="C316" s="1">
        <v>32</v>
      </c>
      <c r="D316" s="1" t="s">
        <v>27</v>
      </c>
      <c r="E316" s="1" t="s">
        <v>66</v>
      </c>
      <c r="F316" s="1" t="s">
        <v>75</v>
      </c>
      <c r="G316" s="1" t="s">
        <v>132</v>
      </c>
      <c r="H316" s="1" t="s">
        <v>99</v>
      </c>
      <c r="I316" s="1" t="s">
        <v>24</v>
      </c>
      <c r="J316" s="2">
        <v>45606</v>
      </c>
      <c r="K316" s="2">
        <v>45581</v>
      </c>
      <c r="L316" s="1">
        <v>5</v>
      </c>
      <c r="M316" s="1" t="s">
        <v>27</v>
      </c>
      <c r="N316" s="1" t="s">
        <v>39</v>
      </c>
      <c r="O316" s="4">
        <v>25493.32</v>
      </c>
      <c r="P316" s="1">
        <v>2</v>
      </c>
      <c r="Q316" s="10" t="s">
        <v>40</v>
      </c>
      <c r="R316" s="14" t="str" cm="1">
        <f t="array" ref="R316">_xlfn.IFS(C316&lt;18,"Under 18",C316&lt;36,"18-35",C316&lt;51,"36-50",C316&lt;66,"51-65",C316&gt;=66,"66+")</f>
        <v>18-35</v>
      </c>
      <c r="S316" s="18">
        <v>45597</v>
      </c>
    </row>
    <row r="317" spans="1:19">
      <c r="A317" s="21" t="s">
        <v>771</v>
      </c>
      <c r="B317" s="1" t="s">
        <v>453</v>
      </c>
      <c r="C317" s="1">
        <v>43</v>
      </c>
      <c r="D317" s="1" t="s">
        <v>19</v>
      </c>
      <c r="E317" s="1" t="s">
        <v>159</v>
      </c>
      <c r="F317" s="1" t="s">
        <v>52</v>
      </c>
      <c r="G317" s="1" t="s">
        <v>68</v>
      </c>
      <c r="H317" s="1" t="s">
        <v>69</v>
      </c>
      <c r="I317" s="1" t="s">
        <v>24</v>
      </c>
      <c r="J317" s="2">
        <v>45342</v>
      </c>
      <c r="K317" s="2">
        <v>45345</v>
      </c>
      <c r="L317" s="1">
        <v>3</v>
      </c>
      <c r="M317" s="1" t="s">
        <v>38</v>
      </c>
      <c r="N317" s="1" t="s">
        <v>28</v>
      </c>
      <c r="O317" s="4">
        <v>60247.5</v>
      </c>
      <c r="P317" s="1">
        <v>4</v>
      </c>
      <c r="Q317" s="10" t="s">
        <v>72</v>
      </c>
      <c r="R317" s="14" t="str" cm="1">
        <f t="array" ref="R317">_xlfn.IFS(C317&lt;18,"Under 18",C317&lt;36,"18-35",C317&lt;51,"36-50",C317&lt;66,"51-65",C317&gt;=66,"66+")</f>
        <v>36-50</v>
      </c>
      <c r="S317" s="18">
        <v>45323</v>
      </c>
    </row>
    <row r="318" spans="1:19">
      <c r="A318" s="21" t="s">
        <v>774</v>
      </c>
      <c r="B318" s="1" t="s">
        <v>176</v>
      </c>
      <c r="C318" s="1">
        <v>39</v>
      </c>
      <c r="D318" s="1" t="s">
        <v>43</v>
      </c>
      <c r="E318" s="1" t="s">
        <v>51</v>
      </c>
      <c r="F318" s="1" t="s">
        <v>33</v>
      </c>
      <c r="G318" s="1" t="s">
        <v>22</v>
      </c>
      <c r="H318" s="1" t="s">
        <v>105</v>
      </c>
      <c r="I318" s="1" t="s">
        <v>24</v>
      </c>
      <c r="J318" s="2">
        <v>45992</v>
      </c>
      <c r="K318" s="2">
        <v>45679</v>
      </c>
      <c r="L318" s="1">
        <v>10</v>
      </c>
      <c r="M318" s="1" t="s">
        <v>56</v>
      </c>
      <c r="N318" s="1" t="s">
        <v>63</v>
      </c>
      <c r="O318" s="4">
        <v>57962.04</v>
      </c>
      <c r="P318" s="1">
        <v>3</v>
      </c>
      <c r="Q318" s="10" t="s">
        <v>29</v>
      </c>
      <c r="R318" s="14" t="str" cm="1">
        <f t="array" ref="R318">_xlfn.IFS(C318&lt;18,"Under 18",C318&lt;36,"18-35",C318&lt;51,"36-50",C318&lt;66,"51-65",C318&gt;=66,"66+")</f>
        <v>36-50</v>
      </c>
      <c r="S318" s="18">
        <v>45992</v>
      </c>
    </row>
    <row r="319" spans="1:19">
      <c r="A319" s="21" t="s">
        <v>775</v>
      </c>
      <c r="B319" s="1" t="s">
        <v>308</v>
      </c>
      <c r="C319" s="1">
        <v>79</v>
      </c>
      <c r="D319" s="1" t="s">
        <v>19</v>
      </c>
      <c r="E319" s="1" t="s">
        <v>44</v>
      </c>
      <c r="F319" s="1" t="s">
        <v>120</v>
      </c>
      <c r="G319" s="1" t="s">
        <v>22</v>
      </c>
      <c r="H319" s="1" t="s">
        <v>93</v>
      </c>
      <c r="I319" s="1" t="s">
        <v>62</v>
      </c>
      <c r="J319" s="2">
        <v>45403</v>
      </c>
      <c r="K319" s="2">
        <v>45410</v>
      </c>
      <c r="L319" s="1">
        <v>7</v>
      </c>
      <c r="M319" s="1" t="s">
        <v>27</v>
      </c>
      <c r="N319" s="1" t="s">
        <v>90</v>
      </c>
      <c r="O319" s="4">
        <v>64857.41</v>
      </c>
      <c r="P319" s="1">
        <v>4</v>
      </c>
      <c r="Q319" s="10" t="s">
        <v>40</v>
      </c>
      <c r="R319" s="14" t="str" cm="1">
        <f t="array" ref="R319">_xlfn.IFS(C319&lt;18,"Under 18",C319&lt;36,"18-35",C319&lt;51,"36-50",C319&lt;66,"51-65",C319&gt;=66,"66+")</f>
        <v>66+</v>
      </c>
      <c r="S319" s="18">
        <v>45383</v>
      </c>
    </row>
    <row r="320" spans="1:19">
      <c r="A320" s="21" t="s">
        <v>778</v>
      </c>
      <c r="B320" s="1" t="s">
        <v>507</v>
      </c>
      <c r="C320" s="1">
        <v>17</v>
      </c>
      <c r="D320" s="1" t="s">
        <v>27</v>
      </c>
      <c r="E320" s="1" t="s">
        <v>202</v>
      </c>
      <c r="F320" s="1" t="s">
        <v>75</v>
      </c>
      <c r="G320" s="1" t="s">
        <v>104</v>
      </c>
      <c r="H320" s="1" t="s">
        <v>35</v>
      </c>
      <c r="I320" s="1" t="s">
        <v>36</v>
      </c>
      <c r="J320" s="2">
        <v>45868</v>
      </c>
      <c r="K320" s="2">
        <v>45724</v>
      </c>
      <c r="L320" s="1">
        <v>4</v>
      </c>
      <c r="M320" s="1" t="s">
        <v>97</v>
      </c>
      <c r="N320" s="1" t="s">
        <v>63</v>
      </c>
      <c r="O320" s="4">
        <v>76507.45</v>
      </c>
      <c r="P320" s="1">
        <v>3</v>
      </c>
      <c r="Q320" s="10" t="s">
        <v>72</v>
      </c>
      <c r="R320" s="14" t="str" cm="1">
        <f t="array" ref="R320">_xlfn.IFS(C320&lt;18,"Under 18",C320&lt;36,"18-35",C320&lt;51,"36-50",C320&lt;66,"51-65",C320&gt;=66,"66+")</f>
        <v>Under 18</v>
      </c>
      <c r="S320" s="18">
        <v>45839</v>
      </c>
    </row>
    <row r="321" spans="1:19">
      <c r="A321" s="21" t="s">
        <v>779</v>
      </c>
      <c r="B321" s="1" t="s">
        <v>780</v>
      </c>
      <c r="C321" s="1">
        <v>27</v>
      </c>
      <c r="D321" s="1" t="s">
        <v>27</v>
      </c>
      <c r="E321" s="1" t="s">
        <v>117</v>
      </c>
      <c r="F321" s="1" t="s">
        <v>120</v>
      </c>
      <c r="G321" s="1" t="s">
        <v>132</v>
      </c>
      <c r="H321" s="1" t="s">
        <v>99</v>
      </c>
      <c r="I321" s="1" t="s">
        <v>24</v>
      </c>
      <c r="J321" s="2">
        <v>45716</v>
      </c>
      <c r="K321" s="2">
        <v>45660</v>
      </c>
      <c r="L321" s="1">
        <v>1</v>
      </c>
      <c r="M321" s="1" t="s">
        <v>27</v>
      </c>
      <c r="N321" s="1" t="s">
        <v>82</v>
      </c>
      <c r="O321" s="4">
        <v>58765.14</v>
      </c>
      <c r="P321" s="1">
        <v>4</v>
      </c>
      <c r="Q321" s="10" t="s">
        <v>72</v>
      </c>
      <c r="R321" s="14" t="str" cm="1">
        <f t="array" ref="R321">_xlfn.IFS(C321&lt;18,"Under 18",C321&lt;36,"18-35",C321&lt;51,"36-50",C321&lt;66,"51-65",C321&gt;=66,"66+")</f>
        <v>18-35</v>
      </c>
      <c r="S321" s="18">
        <v>45689</v>
      </c>
    </row>
    <row r="322" spans="1:19">
      <c r="A322" s="21" t="s">
        <v>781</v>
      </c>
      <c r="B322" s="1" t="s">
        <v>670</v>
      </c>
      <c r="C322" s="1">
        <v>15</v>
      </c>
      <c r="D322" s="1" t="s">
        <v>27</v>
      </c>
      <c r="E322" s="1" t="s">
        <v>202</v>
      </c>
      <c r="F322" s="1" t="s">
        <v>52</v>
      </c>
      <c r="G322" s="1" t="s">
        <v>34</v>
      </c>
      <c r="H322" s="1" t="s">
        <v>35</v>
      </c>
      <c r="I322" s="1" t="s">
        <v>36</v>
      </c>
      <c r="J322" s="2">
        <v>45485</v>
      </c>
      <c r="K322" s="2">
        <v>45577</v>
      </c>
      <c r="L322" s="1">
        <v>3</v>
      </c>
      <c r="M322" s="1" t="s">
        <v>97</v>
      </c>
      <c r="N322" s="1" t="s">
        <v>85</v>
      </c>
      <c r="O322" s="4">
        <v>51029.7</v>
      </c>
      <c r="P322" s="1">
        <v>5</v>
      </c>
      <c r="Q322" s="10" t="s">
        <v>58</v>
      </c>
      <c r="R322" s="14" t="str" cm="1">
        <f t="array" ref="R322">_xlfn.IFS(C322&lt;18,"Under 18",C322&lt;36,"18-35",C322&lt;51,"36-50",C322&lt;66,"51-65",C322&gt;=66,"66+")</f>
        <v>Under 18</v>
      </c>
      <c r="S322" s="18">
        <v>45474</v>
      </c>
    </row>
    <row r="323" spans="1:19">
      <c r="A323" s="21" t="s">
        <v>782</v>
      </c>
      <c r="B323" s="1" t="s">
        <v>285</v>
      </c>
      <c r="C323" s="1">
        <v>69</v>
      </c>
      <c r="D323" s="1" t="s">
        <v>43</v>
      </c>
      <c r="E323" s="1" t="s">
        <v>66</v>
      </c>
      <c r="F323" s="1" t="s">
        <v>120</v>
      </c>
      <c r="G323" s="1" t="s">
        <v>53</v>
      </c>
      <c r="H323" s="1" t="s">
        <v>23</v>
      </c>
      <c r="I323" s="1" t="s">
        <v>36</v>
      </c>
      <c r="J323" s="2">
        <v>45765</v>
      </c>
      <c r="K323" s="2">
        <v>45769</v>
      </c>
      <c r="L323" s="1">
        <v>4</v>
      </c>
      <c r="M323" s="1" t="s">
        <v>38</v>
      </c>
      <c r="N323" s="1" t="s">
        <v>57</v>
      </c>
      <c r="O323" s="4">
        <v>70925.240000000005</v>
      </c>
      <c r="P323" s="1">
        <v>4</v>
      </c>
      <c r="Q323" s="10" t="s">
        <v>29</v>
      </c>
      <c r="R323" s="14" t="str" cm="1">
        <f t="array" ref="R323">_xlfn.IFS(C323&lt;18,"Under 18",C323&lt;36,"18-35",C323&lt;51,"36-50",C323&lt;66,"51-65",C323&gt;=66,"66+")</f>
        <v>66+</v>
      </c>
      <c r="S323" s="18">
        <v>45748</v>
      </c>
    </row>
    <row r="324" spans="1:19">
      <c r="A324" s="21" t="s">
        <v>783</v>
      </c>
      <c r="B324" s="1" t="s">
        <v>405</v>
      </c>
      <c r="C324" s="1">
        <v>74</v>
      </c>
      <c r="D324" s="1" t="s">
        <v>27</v>
      </c>
      <c r="E324" s="1" t="s">
        <v>20</v>
      </c>
      <c r="F324" s="1" t="s">
        <v>120</v>
      </c>
      <c r="G324" s="1" t="s">
        <v>68</v>
      </c>
      <c r="H324" s="1" t="s">
        <v>88</v>
      </c>
      <c r="I324" s="1" t="s">
        <v>62</v>
      </c>
      <c r="J324" s="2">
        <v>45690</v>
      </c>
      <c r="K324" s="2">
        <v>45840</v>
      </c>
      <c r="L324" s="1">
        <v>5</v>
      </c>
      <c r="M324" s="1" t="s">
        <v>38</v>
      </c>
      <c r="N324" s="1" t="s">
        <v>85</v>
      </c>
      <c r="O324" s="4">
        <v>63818.32</v>
      </c>
      <c r="P324" s="1">
        <v>3</v>
      </c>
      <c r="Q324" s="10" t="s">
        <v>40</v>
      </c>
      <c r="R324" s="14" t="str" cm="1">
        <f t="array" ref="R324">_xlfn.IFS(C324&lt;18,"Under 18",C324&lt;36,"18-35",C324&lt;51,"36-50",C324&lt;66,"51-65",C324&gt;=66,"66+")</f>
        <v>66+</v>
      </c>
      <c r="S324" s="18">
        <v>45689</v>
      </c>
    </row>
    <row r="325" spans="1:19">
      <c r="A325" s="21" t="s">
        <v>784</v>
      </c>
      <c r="B325" s="1" t="s">
        <v>378</v>
      </c>
      <c r="C325" s="1">
        <v>23</v>
      </c>
      <c r="D325" s="1" t="s">
        <v>19</v>
      </c>
      <c r="E325" s="1" t="s">
        <v>20</v>
      </c>
      <c r="F325" s="1" t="s">
        <v>120</v>
      </c>
      <c r="G325" s="1" t="s">
        <v>104</v>
      </c>
      <c r="H325" s="1" t="s">
        <v>23</v>
      </c>
      <c r="I325" s="1" t="s">
        <v>62</v>
      </c>
      <c r="J325" s="2">
        <v>45675</v>
      </c>
      <c r="K325" s="2">
        <v>45683</v>
      </c>
      <c r="L325" s="1">
        <v>8</v>
      </c>
      <c r="M325" s="1" t="s">
        <v>27</v>
      </c>
      <c r="N325" s="1" t="s">
        <v>82</v>
      </c>
      <c r="O325" s="4">
        <v>17275.3</v>
      </c>
      <c r="P325" s="1">
        <v>4</v>
      </c>
      <c r="Q325" s="10" t="s">
        <v>40</v>
      </c>
      <c r="R325" s="14" t="str" cm="1">
        <f t="array" ref="R325">_xlfn.IFS(C325&lt;18,"Under 18",C325&lt;36,"18-35",C325&lt;51,"36-50",C325&lt;66,"51-65",C325&gt;=66,"66+")</f>
        <v>18-35</v>
      </c>
      <c r="S325" s="18">
        <v>45658</v>
      </c>
    </row>
    <row r="326" spans="1:19">
      <c r="A326" s="21" t="s">
        <v>786</v>
      </c>
      <c r="B326" s="1" t="s">
        <v>109</v>
      </c>
      <c r="C326" s="1">
        <v>19</v>
      </c>
      <c r="D326" s="1" t="s">
        <v>19</v>
      </c>
      <c r="E326" s="1" t="s">
        <v>247</v>
      </c>
      <c r="F326" s="1" t="s">
        <v>33</v>
      </c>
      <c r="G326" s="1" t="s">
        <v>22</v>
      </c>
      <c r="H326" s="1" t="s">
        <v>99</v>
      </c>
      <c r="I326" s="1" t="s">
        <v>36</v>
      </c>
      <c r="J326" s="2">
        <v>45997</v>
      </c>
      <c r="K326" s="2">
        <v>45821</v>
      </c>
      <c r="L326" s="1">
        <v>1</v>
      </c>
      <c r="M326" s="1" t="s">
        <v>48</v>
      </c>
      <c r="N326" s="1" t="s">
        <v>90</v>
      </c>
      <c r="O326" s="4">
        <v>34701.64</v>
      </c>
      <c r="P326" s="1">
        <v>2</v>
      </c>
      <c r="Q326" s="10" t="s">
        <v>40</v>
      </c>
      <c r="R326" s="14" t="str" cm="1">
        <f t="array" ref="R326">_xlfn.IFS(C326&lt;18,"Under 18",C326&lt;36,"18-35",C326&lt;51,"36-50",C326&lt;66,"51-65",C326&gt;=66,"66+")</f>
        <v>18-35</v>
      </c>
      <c r="S326" s="18">
        <v>45992</v>
      </c>
    </row>
    <row r="327" spans="1:19">
      <c r="A327" s="21" t="s">
        <v>788</v>
      </c>
      <c r="B327" s="1" t="s">
        <v>726</v>
      </c>
      <c r="C327" s="1">
        <v>3</v>
      </c>
      <c r="D327" s="1" t="s">
        <v>27</v>
      </c>
      <c r="E327" s="1" t="s">
        <v>44</v>
      </c>
      <c r="F327" s="1" t="s">
        <v>67</v>
      </c>
      <c r="G327" s="1" t="s">
        <v>53</v>
      </c>
      <c r="H327" s="1" t="s">
        <v>93</v>
      </c>
      <c r="I327" s="1" t="s">
        <v>24</v>
      </c>
      <c r="J327" s="2">
        <v>45611</v>
      </c>
      <c r="K327" s="2">
        <v>45613</v>
      </c>
      <c r="L327" s="1">
        <v>2</v>
      </c>
      <c r="M327" s="1" t="s">
        <v>48</v>
      </c>
      <c r="N327" s="1" t="s">
        <v>85</v>
      </c>
      <c r="O327" s="4">
        <v>88157.23</v>
      </c>
      <c r="P327" s="1">
        <v>3</v>
      </c>
      <c r="Q327" s="10" t="s">
        <v>40</v>
      </c>
      <c r="R327" s="14" t="str" cm="1">
        <f t="array" ref="R327">_xlfn.IFS(C327&lt;18,"Under 18",C327&lt;36,"18-35",C327&lt;51,"36-50",C327&lt;66,"51-65",C327&gt;=66,"66+")</f>
        <v>Under 18</v>
      </c>
      <c r="S327" s="18">
        <v>45597</v>
      </c>
    </row>
    <row r="328" spans="1:19">
      <c r="A328" s="21" t="s">
        <v>790</v>
      </c>
      <c r="B328" s="1" t="s">
        <v>527</v>
      </c>
      <c r="C328" s="1">
        <v>71</v>
      </c>
      <c r="D328" s="1" t="s">
        <v>43</v>
      </c>
      <c r="E328" s="1" t="s">
        <v>202</v>
      </c>
      <c r="F328" s="1" t="s">
        <v>33</v>
      </c>
      <c r="G328" s="1" t="s">
        <v>68</v>
      </c>
      <c r="H328" s="1" t="s">
        <v>69</v>
      </c>
      <c r="I328" s="1" t="s">
        <v>24</v>
      </c>
      <c r="J328" s="2">
        <v>45392</v>
      </c>
      <c r="K328" s="2">
        <v>45545</v>
      </c>
      <c r="L328" s="1">
        <v>5</v>
      </c>
      <c r="M328" s="1" t="s">
        <v>48</v>
      </c>
      <c r="N328" s="1" t="s">
        <v>28</v>
      </c>
      <c r="O328" s="4">
        <v>77133.75</v>
      </c>
      <c r="P328" s="1">
        <v>4</v>
      </c>
      <c r="Q328" s="10" t="s">
        <v>58</v>
      </c>
      <c r="R328" s="14" t="str" cm="1">
        <f t="array" ref="R328">_xlfn.IFS(C328&lt;18,"Under 18",C328&lt;36,"18-35",C328&lt;51,"36-50",C328&lt;66,"51-65",C328&gt;=66,"66+")</f>
        <v>66+</v>
      </c>
      <c r="S328" s="18">
        <v>45383</v>
      </c>
    </row>
    <row r="329" spans="1:19">
      <c r="A329" s="21" t="s">
        <v>791</v>
      </c>
      <c r="B329" s="1" t="s">
        <v>792</v>
      </c>
      <c r="C329" s="1">
        <v>7</v>
      </c>
      <c r="D329" s="1" t="s">
        <v>19</v>
      </c>
      <c r="E329" s="1" t="s">
        <v>159</v>
      </c>
      <c r="F329" s="1" t="s">
        <v>67</v>
      </c>
      <c r="G329" s="1" t="s">
        <v>104</v>
      </c>
      <c r="H329" s="1" t="s">
        <v>69</v>
      </c>
      <c r="I329" s="1" t="s">
        <v>36</v>
      </c>
      <c r="J329" s="2">
        <v>45994</v>
      </c>
      <c r="K329" s="2">
        <v>45729</v>
      </c>
      <c r="L329" s="1">
        <v>1</v>
      </c>
      <c r="M329" s="1" t="s">
        <v>48</v>
      </c>
      <c r="N329" s="1" t="s">
        <v>39</v>
      </c>
      <c r="O329" s="4">
        <v>37960.57</v>
      </c>
      <c r="P329" s="1">
        <v>4</v>
      </c>
      <c r="Q329" s="10" t="s">
        <v>58</v>
      </c>
      <c r="R329" s="14" t="str" cm="1">
        <f t="array" ref="R329">_xlfn.IFS(C329&lt;18,"Under 18",C329&lt;36,"18-35",C329&lt;51,"36-50",C329&lt;66,"51-65",C329&gt;=66,"66+")</f>
        <v>Under 18</v>
      </c>
      <c r="S329" s="18">
        <v>45992</v>
      </c>
    </row>
    <row r="330" spans="1:19">
      <c r="A330" s="21" t="s">
        <v>793</v>
      </c>
      <c r="B330" s="1" t="s">
        <v>437</v>
      </c>
      <c r="C330" s="1">
        <v>13</v>
      </c>
      <c r="D330" s="1" t="s">
        <v>43</v>
      </c>
      <c r="E330" s="1" t="s">
        <v>247</v>
      </c>
      <c r="F330" s="1" t="s">
        <v>33</v>
      </c>
      <c r="G330" s="1" t="s">
        <v>104</v>
      </c>
      <c r="H330" s="1" t="s">
        <v>61</v>
      </c>
      <c r="I330" s="1" t="s">
        <v>36</v>
      </c>
      <c r="J330" s="2">
        <v>45609</v>
      </c>
      <c r="K330" s="2">
        <v>45615</v>
      </c>
      <c r="L330" s="1">
        <v>6</v>
      </c>
      <c r="M330" s="1" t="s">
        <v>38</v>
      </c>
      <c r="N330" s="1" t="s">
        <v>39</v>
      </c>
      <c r="O330" s="4">
        <v>81163.72</v>
      </c>
      <c r="P330" s="1">
        <v>3</v>
      </c>
      <c r="Q330" s="10" t="s">
        <v>40</v>
      </c>
      <c r="R330" s="14" t="str" cm="1">
        <f t="array" ref="R330">_xlfn.IFS(C330&lt;18,"Under 18",C330&lt;36,"18-35",C330&lt;51,"36-50",C330&lt;66,"51-65",C330&gt;=66,"66+")</f>
        <v>Under 18</v>
      </c>
      <c r="S330" s="18">
        <v>45597</v>
      </c>
    </row>
    <row r="331" spans="1:19">
      <c r="A331" s="21" t="s">
        <v>795</v>
      </c>
      <c r="B331" s="1" t="s">
        <v>453</v>
      </c>
      <c r="C331" s="1">
        <v>59</v>
      </c>
      <c r="D331" s="1" t="s">
        <v>43</v>
      </c>
      <c r="E331" s="1" t="s">
        <v>51</v>
      </c>
      <c r="F331" s="1" t="s">
        <v>75</v>
      </c>
      <c r="G331" s="1" t="s">
        <v>104</v>
      </c>
      <c r="H331" s="1" t="s">
        <v>35</v>
      </c>
      <c r="I331" s="1" t="s">
        <v>62</v>
      </c>
      <c r="J331" s="2">
        <v>45322</v>
      </c>
      <c r="K331" s="2">
        <v>45384</v>
      </c>
      <c r="L331" s="1">
        <v>4</v>
      </c>
      <c r="M331" s="1" t="s">
        <v>48</v>
      </c>
      <c r="N331" s="1" t="s">
        <v>82</v>
      </c>
      <c r="O331" s="4">
        <v>32604.79</v>
      </c>
      <c r="P331" s="1">
        <v>4</v>
      </c>
      <c r="Q331" s="10" t="s">
        <v>72</v>
      </c>
      <c r="R331" s="14" t="str" cm="1">
        <f t="array" ref="R331">_xlfn.IFS(C331&lt;18,"Under 18",C331&lt;36,"18-35",C331&lt;51,"36-50",C331&lt;66,"51-65",C331&gt;=66,"66+")</f>
        <v>51-65</v>
      </c>
      <c r="S331" s="18">
        <v>45292</v>
      </c>
    </row>
    <row r="332" spans="1:19">
      <c r="A332" s="21" t="s">
        <v>796</v>
      </c>
      <c r="B332" s="1" t="s">
        <v>557</v>
      </c>
      <c r="C332" s="1">
        <v>39</v>
      </c>
      <c r="D332" s="1" t="s">
        <v>27</v>
      </c>
      <c r="E332" s="1" t="s">
        <v>20</v>
      </c>
      <c r="F332" s="1" t="s">
        <v>52</v>
      </c>
      <c r="G332" s="1" t="s">
        <v>132</v>
      </c>
      <c r="H332" s="1" t="s">
        <v>23</v>
      </c>
      <c r="I332" s="1" t="s">
        <v>24</v>
      </c>
      <c r="J332" s="2">
        <v>45764</v>
      </c>
      <c r="K332" s="2">
        <v>45769</v>
      </c>
      <c r="L332" s="1">
        <v>5</v>
      </c>
      <c r="M332" s="1" t="s">
        <v>97</v>
      </c>
      <c r="N332" s="1" t="s">
        <v>39</v>
      </c>
      <c r="O332" s="4">
        <v>23608.48</v>
      </c>
      <c r="P332" s="1">
        <v>4</v>
      </c>
      <c r="Q332" s="10" t="s">
        <v>58</v>
      </c>
      <c r="R332" s="14" t="str" cm="1">
        <f t="array" ref="R332">_xlfn.IFS(C332&lt;18,"Under 18",C332&lt;36,"18-35",C332&lt;51,"36-50",C332&lt;66,"51-65",C332&gt;=66,"66+")</f>
        <v>36-50</v>
      </c>
      <c r="S332" s="18">
        <v>45748</v>
      </c>
    </row>
    <row r="333" spans="1:19">
      <c r="A333" s="21" t="s">
        <v>797</v>
      </c>
      <c r="B333" s="1" t="s">
        <v>302</v>
      </c>
      <c r="C333" s="1">
        <v>73</v>
      </c>
      <c r="D333" s="1" t="s">
        <v>43</v>
      </c>
      <c r="E333" s="1" t="s">
        <v>247</v>
      </c>
      <c r="F333" s="1" t="s">
        <v>67</v>
      </c>
      <c r="G333" s="1" t="s">
        <v>22</v>
      </c>
      <c r="H333" s="1" t="s">
        <v>69</v>
      </c>
      <c r="I333" s="1" t="s">
        <v>36</v>
      </c>
      <c r="J333" s="2">
        <v>45968</v>
      </c>
      <c r="K333" s="2">
        <v>45851</v>
      </c>
      <c r="L333" s="1">
        <v>2</v>
      </c>
      <c r="M333" s="1" t="s">
        <v>97</v>
      </c>
      <c r="N333" s="1" t="s">
        <v>85</v>
      </c>
      <c r="O333" s="4">
        <v>73082.62</v>
      </c>
      <c r="P333" s="1">
        <v>2</v>
      </c>
      <c r="Q333" s="10" t="s">
        <v>40</v>
      </c>
      <c r="R333" s="14" t="str" cm="1">
        <f t="array" ref="R333">_xlfn.IFS(C333&lt;18,"Under 18",C333&lt;36,"18-35",C333&lt;51,"36-50",C333&lt;66,"51-65",C333&gt;=66,"66+")</f>
        <v>66+</v>
      </c>
      <c r="S333" s="18">
        <v>45962</v>
      </c>
    </row>
    <row r="334" spans="1:19">
      <c r="A334" s="21" t="s">
        <v>798</v>
      </c>
      <c r="B334" s="1" t="s">
        <v>60</v>
      </c>
      <c r="C334" s="1">
        <v>52</v>
      </c>
      <c r="D334" s="1" t="s">
        <v>19</v>
      </c>
      <c r="E334" s="1" t="s">
        <v>66</v>
      </c>
      <c r="F334" s="1" t="s">
        <v>67</v>
      </c>
      <c r="G334" s="1" t="s">
        <v>36</v>
      </c>
      <c r="H334" s="1" t="s">
        <v>88</v>
      </c>
      <c r="I334" s="1" t="s">
        <v>24</v>
      </c>
      <c r="J334" s="2">
        <v>45756</v>
      </c>
      <c r="K334" s="2">
        <v>45939</v>
      </c>
      <c r="L334" s="1">
        <v>6</v>
      </c>
      <c r="M334" s="1" t="s">
        <v>48</v>
      </c>
      <c r="N334" s="1" t="s">
        <v>39</v>
      </c>
      <c r="O334" s="4">
        <v>48083.55</v>
      </c>
      <c r="P334" s="1">
        <v>4</v>
      </c>
      <c r="Q334" s="10" t="s">
        <v>29</v>
      </c>
      <c r="R334" s="14" t="str" cm="1">
        <f t="array" ref="R334">_xlfn.IFS(C334&lt;18,"Under 18",C334&lt;36,"18-35",C334&lt;51,"36-50",C334&lt;66,"51-65",C334&gt;=66,"66+")</f>
        <v>51-65</v>
      </c>
      <c r="S334" s="18">
        <v>45748</v>
      </c>
    </row>
    <row r="335" spans="1:19">
      <c r="A335" s="21" t="s">
        <v>799</v>
      </c>
      <c r="B335" s="1" t="s">
        <v>339</v>
      </c>
      <c r="C335" s="1">
        <v>85</v>
      </c>
      <c r="D335" s="1" t="s">
        <v>19</v>
      </c>
      <c r="E335" s="1" t="s">
        <v>137</v>
      </c>
      <c r="F335" s="1" t="s">
        <v>52</v>
      </c>
      <c r="G335" s="1" t="s">
        <v>104</v>
      </c>
      <c r="H335" s="1" t="s">
        <v>61</v>
      </c>
      <c r="I335" s="1" t="s">
        <v>62</v>
      </c>
      <c r="J335" s="2">
        <v>45873</v>
      </c>
      <c r="K335" s="2">
        <v>45934</v>
      </c>
      <c r="L335" s="1">
        <v>2</v>
      </c>
      <c r="M335" s="1" t="s">
        <v>48</v>
      </c>
      <c r="N335" s="1" t="s">
        <v>90</v>
      </c>
      <c r="O335" s="4">
        <v>27013.3</v>
      </c>
      <c r="P335" s="1">
        <v>5</v>
      </c>
      <c r="Q335" s="10" t="s">
        <v>72</v>
      </c>
      <c r="R335" s="14" t="str" cm="1">
        <f t="array" ref="R335">_xlfn.IFS(C335&lt;18,"Under 18",C335&lt;36,"18-35",C335&lt;51,"36-50",C335&lt;66,"51-65",C335&gt;=66,"66+")</f>
        <v>66+</v>
      </c>
      <c r="S335" s="18">
        <v>45870</v>
      </c>
    </row>
    <row r="336" spans="1:19">
      <c r="A336" s="21" t="s">
        <v>800</v>
      </c>
      <c r="B336" s="1" t="s">
        <v>524</v>
      </c>
      <c r="C336" s="1">
        <v>79</v>
      </c>
      <c r="D336" s="1" t="s">
        <v>27</v>
      </c>
      <c r="E336" s="1" t="s">
        <v>137</v>
      </c>
      <c r="F336" s="1" t="s">
        <v>52</v>
      </c>
      <c r="G336" s="1" t="s">
        <v>34</v>
      </c>
      <c r="H336" s="1" t="s">
        <v>23</v>
      </c>
      <c r="I336" s="1" t="s">
        <v>24</v>
      </c>
      <c r="J336" s="2">
        <v>45705</v>
      </c>
      <c r="K336" s="2">
        <v>45719</v>
      </c>
      <c r="L336" s="1">
        <v>14</v>
      </c>
      <c r="M336" s="1" t="s">
        <v>97</v>
      </c>
      <c r="N336" s="1" t="s">
        <v>63</v>
      </c>
      <c r="O336" s="4">
        <v>136936.94</v>
      </c>
      <c r="P336" s="1">
        <v>5</v>
      </c>
      <c r="Q336" s="10" t="s">
        <v>40</v>
      </c>
      <c r="R336" s="14" t="str" cm="1">
        <f t="array" ref="R336">_xlfn.IFS(C336&lt;18,"Under 18",C336&lt;36,"18-35",C336&lt;51,"36-50",C336&lt;66,"51-65",C336&gt;=66,"66+")</f>
        <v>66+</v>
      </c>
      <c r="S336" s="18">
        <v>45689</v>
      </c>
    </row>
    <row r="337" spans="1:19">
      <c r="A337" s="21" t="s">
        <v>802</v>
      </c>
      <c r="B337" s="1" t="s">
        <v>344</v>
      </c>
      <c r="C337" s="1">
        <v>49</v>
      </c>
      <c r="D337" s="1" t="s">
        <v>43</v>
      </c>
      <c r="E337" s="1" t="s">
        <v>66</v>
      </c>
      <c r="F337" s="1" t="s">
        <v>120</v>
      </c>
      <c r="G337" s="1" t="s">
        <v>104</v>
      </c>
      <c r="H337" s="1" t="s">
        <v>35</v>
      </c>
      <c r="I337" s="1" t="s">
        <v>24</v>
      </c>
      <c r="J337" s="2">
        <v>45682</v>
      </c>
      <c r="K337" s="2">
        <v>45686</v>
      </c>
      <c r="L337" s="1">
        <v>4</v>
      </c>
      <c r="M337" s="1" t="s">
        <v>56</v>
      </c>
      <c r="N337" s="1" t="s">
        <v>85</v>
      </c>
      <c r="O337" s="4">
        <v>25740.560000000001</v>
      </c>
      <c r="P337" s="1">
        <v>4</v>
      </c>
      <c r="Q337" s="10" t="s">
        <v>72</v>
      </c>
      <c r="R337" s="14" t="str" cm="1">
        <f t="array" ref="R337">_xlfn.IFS(C337&lt;18,"Under 18",C337&lt;36,"18-35",C337&lt;51,"36-50",C337&lt;66,"51-65",C337&gt;=66,"66+")</f>
        <v>36-50</v>
      </c>
      <c r="S337" s="18">
        <v>45658</v>
      </c>
    </row>
    <row r="338" spans="1:19">
      <c r="A338" s="21" t="s">
        <v>805</v>
      </c>
      <c r="B338" s="1" t="s">
        <v>806</v>
      </c>
      <c r="C338" s="1">
        <v>10</v>
      </c>
      <c r="D338" s="1" t="s">
        <v>27</v>
      </c>
      <c r="E338" s="1" t="s">
        <v>44</v>
      </c>
      <c r="F338" s="1" t="s">
        <v>33</v>
      </c>
      <c r="G338" s="1" t="s">
        <v>36</v>
      </c>
      <c r="H338" s="1" t="s">
        <v>35</v>
      </c>
      <c r="I338" s="1" t="s">
        <v>24</v>
      </c>
      <c r="J338" s="2">
        <v>45308</v>
      </c>
      <c r="K338" s="2">
        <v>45315</v>
      </c>
      <c r="L338" s="1">
        <v>7</v>
      </c>
      <c r="M338" s="1" t="s">
        <v>56</v>
      </c>
      <c r="N338" s="1" t="s">
        <v>57</v>
      </c>
      <c r="O338" s="4">
        <v>18180.43</v>
      </c>
      <c r="P338" s="1">
        <v>4</v>
      </c>
      <c r="Q338" s="10" t="s">
        <v>58</v>
      </c>
      <c r="R338" s="14" t="str" cm="1">
        <f t="array" ref="R338">_xlfn.IFS(C338&lt;18,"Under 18",C338&lt;36,"18-35",C338&lt;51,"36-50",C338&lt;66,"51-65",C338&gt;=66,"66+")</f>
        <v>Under 18</v>
      </c>
      <c r="S338" s="18">
        <v>45292</v>
      </c>
    </row>
    <row r="339" spans="1:19">
      <c r="A339" s="21" t="s">
        <v>808</v>
      </c>
      <c r="B339" s="1" t="s">
        <v>114</v>
      </c>
      <c r="C339" s="1">
        <v>71</v>
      </c>
      <c r="D339" s="1" t="s">
        <v>43</v>
      </c>
      <c r="E339" s="1" t="s">
        <v>51</v>
      </c>
      <c r="F339" s="1" t="s">
        <v>67</v>
      </c>
      <c r="G339" s="1" t="s">
        <v>34</v>
      </c>
      <c r="H339" s="1" t="s">
        <v>69</v>
      </c>
      <c r="I339" s="1" t="s">
        <v>62</v>
      </c>
      <c r="J339" s="2">
        <v>45685</v>
      </c>
      <c r="K339" s="2">
        <v>45687</v>
      </c>
      <c r="L339" s="1">
        <v>2</v>
      </c>
      <c r="M339" s="1" t="s">
        <v>48</v>
      </c>
      <c r="N339" s="1" t="s">
        <v>28</v>
      </c>
      <c r="O339" s="4">
        <v>89854.41</v>
      </c>
      <c r="P339" s="1">
        <v>5</v>
      </c>
      <c r="Q339" s="10" t="s">
        <v>58</v>
      </c>
      <c r="R339" s="14" t="str" cm="1">
        <f t="array" ref="R339">_xlfn.IFS(C339&lt;18,"Under 18",C339&lt;36,"18-35",C339&lt;51,"36-50",C339&lt;66,"51-65",C339&gt;=66,"66+")</f>
        <v>66+</v>
      </c>
      <c r="S339" s="18">
        <v>45658</v>
      </c>
    </row>
    <row r="340" spans="1:19">
      <c r="A340" s="21" t="s">
        <v>810</v>
      </c>
      <c r="B340" s="1" t="s">
        <v>109</v>
      </c>
      <c r="C340" s="1">
        <v>48</v>
      </c>
      <c r="D340" s="1" t="s">
        <v>19</v>
      </c>
      <c r="E340" s="1" t="s">
        <v>20</v>
      </c>
      <c r="F340" s="1" t="s">
        <v>33</v>
      </c>
      <c r="G340" s="1" t="s">
        <v>68</v>
      </c>
      <c r="H340" s="1" t="s">
        <v>93</v>
      </c>
      <c r="I340" s="1" t="s">
        <v>24</v>
      </c>
      <c r="J340" s="2">
        <v>45886</v>
      </c>
      <c r="K340" s="2">
        <v>45893</v>
      </c>
      <c r="L340" s="1">
        <v>7</v>
      </c>
      <c r="M340" s="1" t="s">
        <v>48</v>
      </c>
      <c r="N340" s="1" t="s">
        <v>63</v>
      </c>
      <c r="O340" s="4">
        <v>49737.32</v>
      </c>
      <c r="P340" s="1">
        <v>4</v>
      </c>
      <c r="Q340" s="10" t="s">
        <v>40</v>
      </c>
      <c r="R340" s="14" t="str" cm="1">
        <f t="array" ref="R340">_xlfn.IFS(C340&lt;18,"Under 18",C340&lt;36,"18-35",C340&lt;51,"36-50",C340&lt;66,"51-65",C340&gt;=66,"66+")</f>
        <v>36-50</v>
      </c>
      <c r="S340" s="18">
        <v>45870</v>
      </c>
    </row>
    <row r="341" spans="1:19">
      <c r="A341" s="21" t="s">
        <v>812</v>
      </c>
      <c r="B341" s="1" t="s">
        <v>339</v>
      </c>
      <c r="C341" s="1">
        <v>79</v>
      </c>
      <c r="D341" s="1" t="s">
        <v>19</v>
      </c>
      <c r="E341" s="1" t="s">
        <v>66</v>
      </c>
      <c r="F341" s="1" t="s">
        <v>75</v>
      </c>
      <c r="G341" s="1" t="s">
        <v>104</v>
      </c>
      <c r="H341" s="1" t="s">
        <v>69</v>
      </c>
      <c r="I341" s="1" t="s">
        <v>24</v>
      </c>
      <c r="J341" s="2">
        <v>45643</v>
      </c>
      <c r="K341" s="2">
        <v>45651</v>
      </c>
      <c r="L341" s="1">
        <v>8</v>
      </c>
      <c r="M341" s="1" t="s">
        <v>27</v>
      </c>
      <c r="N341" s="1" t="s">
        <v>63</v>
      </c>
      <c r="O341" s="4">
        <v>81960.58</v>
      </c>
      <c r="P341" s="1">
        <v>4</v>
      </c>
      <c r="Q341" s="10" t="s">
        <v>40</v>
      </c>
      <c r="R341" s="14" t="str" cm="1">
        <f t="array" ref="R341">_xlfn.IFS(C341&lt;18,"Under 18",C341&lt;36,"18-35",C341&lt;51,"36-50",C341&lt;66,"51-65",C341&gt;=66,"66+")</f>
        <v>66+</v>
      </c>
      <c r="S341" s="18">
        <v>45627</v>
      </c>
    </row>
    <row r="342" spans="1:19">
      <c r="A342" s="21" t="s">
        <v>814</v>
      </c>
      <c r="B342" s="1" t="s">
        <v>50</v>
      </c>
      <c r="C342" s="1">
        <v>73</v>
      </c>
      <c r="D342" s="1" t="s">
        <v>43</v>
      </c>
      <c r="E342" s="1" t="s">
        <v>51</v>
      </c>
      <c r="F342" s="1" t="s">
        <v>75</v>
      </c>
      <c r="G342" s="1" t="s">
        <v>34</v>
      </c>
      <c r="H342" s="1" t="s">
        <v>105</v>
      </c>
      <c r="I342" s="1" t="s">
        <v>62</v>
      </c>
      <c r="J342" s="2">
        <v>45354</v>
      </c>
      <c r="K342" s="2">
        <v>45476</v>
      </c>
      <c r="L342" s="1">
        <v>4</v>
      </c>
      <c r="M342" s="1" t="s">
        <v>38</v>
      </c>
      <c r="N342" s="1" t="s">
        <v>85</v>
      </c>
      <c r="O342" s="4">
        <v>125180.88</v>
      </c>
      <c r="P342" s="1">
        <v>3</v>
      </c>
      <c r="Q342" s="10" t="s">
        <v>40</v>
      </c>
      <c r="R342" s="14" t="str" cm="1">
        <f t="array" ref="R342">_xlfn.IFS(C342&lt;18,"Under 18",C342&lt;36,"18-35",C342&lt;51,"36-50",C342&lt;66,"51-65",C342&gt;=66,"66+")</f>
        <v>66+</v>
      </c>
      <c r="S342" s="18">
        <v>45352</v>
      </c>
    </row>
    <row r="343" spans="1:19">
      <c r="A343" s="21" t="s">
        <v>815</v>
      </c>
      <c r="B343" s="1" t="s">
        <v>816</v>
      </c>
      <c r="C343" s="1">
        <v>36</v>
      </c>
      <c r="D343" s="1" t="s">
        <v>43</v>
      </c>
      <c r="E343" s="1" t="s">
        <v>66</v>
      </c>
      <c r="F343" s="1" t="s">
        <v>67</v>
      </c>
      <c r="G343" s="1" t="s">
        <v>110</v>
      </c>
      <c r="H343" s="1" t="s">
        <v>93</v>
      </c>
      <c r="I343" s="1" t="s">
        <v>36</v>
      </c>
      <c r="J343" s="2">
        <v>45306</v>
      </c>
      <c r="K343" s="2">
        <v>45307</v>
      </c>
      <c r="L343" s="1">
        <v>1</v>
      </c>
      <c r="M343" s="1" t="s">
        <v>38</v>
      </c>
      <c r="N343" s="1" t="s">
        <v>28</v>
      </c>
      <c r="O343" s="4">
        <v>52946.98</v>
      </c>
      <c r="P343" s="1">
        <v>5</v>
      </c>
      <c r="Q343" s="10" t="s">
        <v>29</v>
      </c>
      <c r="R343" s="14" t="str" cm="1">
        <f t="array" ref="R343">_xlfn.IFS(C343&lt;18,"Under 18",C343&lt;36,"18-35",C343&lt;51,"36-50",C343&lt;66,"51-65",C343&gt;=66,"66+")</f>
        <v>36-50</v>
      </c>
      <c r="S343" s="18">
        <v>45292</v>
      </c>
    </row>
    <row r="344" spans="1:19">
      <c r="A344" s="21" t="s">
        <v>819</v>
      </c>
      <c r="B344" s="1" t="s">
        <v>770</v>
      </c>
      <c r="C344" s="1">
        <v>77</v>
      </c>
      <c r="D344" s="1" t="s">
        <v>19</v>
      </c>
      <c r="E344" s="1" t="s">
        <v>117</v>
      </c>
      <c r="F344" s="1" t="s">
        <v>75</v>
      </c>
      <c r="G344" s="1" t="s">
        <v>104</v>
      </c>
      <c r="H344" s="1" t="s">
        <v>35</v>
      </c>
      <c r="I344" s="1" t="s">
        <v>36</v>
      </c>
      <c r="J344" s="2">
        <v>45799</v>
      </c>
      <c r="K344" s="2">
        <v>45807</v>
      </c>
      <c r="L344" s="1">
        <v>8</v>
      </c>
      <c r="M344" s="1" t="s">
        <v>56</v>
      </c>
      <c r="N344" s="1" t="s">
        <v>57</v>
      </c>
      <c r="O344" s="4">
        <v>34240.68</v>
      </c>
      <c r="P344" s="1">
        <v>5</v>
      </c>
      <c r="Q344" s="10" t="s">
        <v>58</v>
      </c>
      <c r="R344" s="14" t="str" cm="1">
        <f t="array" ref="R344">_xlfn.IFS(C344&lt;18,"Under 18",C344&lt;36,"18-35",C344&lt;51,"36-50",C344&lt;66,"51-65",C344&gt;=66,"66+")</f>
        <v>66+</v>
      </c>
      <c r="S344" s="18">
        <v>45778</v>
      </c>
    </row>
    <row r="345" spans="1:19">
      <c r="A345" s="21" t="s">
        <v>821</v>
      </c>
      <c r="B345" s="1" t="s">
        <v>428</v>
      </c>
      <c r="C345" s="1">
        <v>61</v>
      </c>
      <c r="D345" s="1" t="s">
        <v>43</v>
      </c>
      <c r="E345" s="1" t="s">
        <v>117</v>
      </c>
      <c r="F345" s="1" t="s">
        <v>33</v>
      </c>
      <c r="G345" s="1" t="s">
        <v>36</v>
      </c>
      <c r="H345" s="1" t="s">
        <v>93</v>
      </c>
      <c r="I345" s="1" t="s">
        <v>62</v>
      </c>
      <c r="J345" s="2">
        <v>45693</v>
      </c>
      <c r="K345" s="2">
        <v>45752</v>
      </c>
      <c r="L345" s="1">
        <v>2</v>
      </c>
      <c r="M345" s="1" t="s">
        <v>38</v>
      </c>
      <c r="N345" s="1" t="s">
        <v>90</v>
      </c>
      <c r="O345" s="4">
        <v>31171.64</v>
      </c>
      <c r="P345" s="1">
        <v>4</v>
      </c>
      <c r="Q345" s="10" t="s">
        <v>72</v>
      </c>
      <c r="R345" s="14" t="str" cm="1">
        <f t="array" ref="R345">_xlfn.IFS(C345&lt;18,"Under 18",C345&lt;36,"18-35",C345&lt;51,"36-50",C345&lt;66,"51-65",C345&gt;=66,"66+")</f>
        <v>51-65</v>
      </c>
      <c r="S345" s="18">
        <v>45689</v>
      </c>
    </row>
    <row r="346" spans="1:19">
      <c r="A346" s="21" t="s">
        <v>822</v>
      </c>
      <c r="B346" s="1" t="s">
        <v>538</v>
      </c>
      <c r="C346" s="1">
        <v>13</v>
      </c>
      <c r="D346" s="1" t="s">
        <v>27</v>
      </c>
      <c r="E346" s="1" t="s">
        <v>20</v>
      </c>
      <c r="F346" s="1" t="s">
        <v>52</v>
      </c>
      <c r="G346" s="1" t="s">
        <v>53</v>
      </c>
      <c r="H346" s="1" t="s">
        <v>105</v>
      </c>
      <c r="I346" s="1" t="s">
        <v>24</v>
      </c>
      <c r="J346" s="2">
        <v>45944</v>
      </c>
      <c r="K346" s="2">
        <v>45960</v>
      </c>
      <c r="L346" s="1">
        <v>16</v>
      </c>
      <c r="M346" s="1" t="s">
        <v>27</v>
      </c>
      <c r="N346" s="1" t="s">
        <v>39</v>
      </c>
      <c r="O346" s="4">
        <v>50728.51</v>
      </c>
      <c r="P346" s="1">
        <v>4</v>
      </c>
      <c r="Q346" s="10" t="s">
        <v>29</v>
      </c>
      <c r="R346" s="14" t="str" cm="1">
        <f t="array" ref="R346">_xlfn.IFS(C346&lt;18,"Under 18",C346&lt;36,"18-35",C346&lt;51,"36-50",C346&lt;66,"51-65",C346&gt;=66,"66+")</f>
        <v>Under 18</v>
      </c>
      <c r="S346" s="18">
        <v>45931</v>
      </c>
    </row>
    <row r="347" spans="1:19">
      <c r="A347" s="21" t="s">
        <v>825</v>
      </c>
      <c r="B347" s="1" t="s">
        <v>826</v>
      </c>
      <c r="C347" s="1">
        <v>67</v>
      </c>
      <c r="D347" s="1" t="s">
        <v>43</v>
      </c>
      <c r="E347" s="1" t="s">
        <v>202</v>
      </c>
      <c r="F347" s="1" t="s">
        <v>75</v>
      </c>
      <c r="G347" s="1" t="s">
        <v>22</v>
      </c>
      <c r="H347" s="1" t="s">
        <v>93</v>
      </c>
      <c r="I347" s="1" t="s">
        <v>24</v>
      </c>
      <c r="J347" s="2">
        <v>45985</v>
      </c>
      <c r="K347" s="2">
        <v>45986</v>
      </c>
      <c r="L347" s="1">
        <v>1</v>
      </c>
      <c r="M347" s="1" t="s">
        <v>48</v>
      </c>
      <c r="N347" s="1" t="s">
        <v>28</v>
      </c>
      <c r="O347" s="4">
        <v>37660.699999999997</v>
      </c>
      <c r="P347" s="1">
        <v>5</v>
      </c>
      <c r="Q347" s="10" t="s">
        <v>29</v>
      </c>
      <c r="R347" s="14" t="str" cm="1">
        <f t="array" ref="R347">_xlfn.IFS(C347&lt;18,"Under 18",C347&lt;36,"18-35",C347&lt;51,"36-50",C347&lt;66,"51-65",C347&gt;=66,"66+")</f>
        <v>66+</v>
      </c>
      <c r="S347" s="18">
        <v>45962</v>
      </c>
    </row>
    <row r="348" spans="1:19">
      <c r="A348" s="21" t="s">
        <v>828</v>
      </c>
      <c r="B348" s="1" t="s">
        <v>405</v>
      </c>
      <c r="C348" s="1">
        <v>77</v>
      </c>
      <c r="D348" s="1" t="s">
        <v>27</v>
      </c>
      <c r="E348" s="1" t="s">
        <v>117</v>
      </c>
      <c r="F348" s="1" t="s">
        <v>33</v>
      </c>
      <c r="G348" s="1" t="s">
        <v>110</v>
      </c>
      <c r="H348" s="1" t="s">
        <v>45</v>
      </c>
      <c r="I348" s="1" t="s">
        <v>24</v>
      </c>
      <c r="J348" s="2">
        <v>45387</v>
      </c>
      <c r="K348" s="2">
        <v>45540</v>
      </c>
      <c r="L348" s="1">
        <v>5</v>
      </c>
      <c r="M348" s="1" t="s">
        <v>38</v>
      </c>
      <c r="N348" s="1" t="s">
        <v>82</v>
      </c>
      <c r="O348" s="4">
        <v>89653.85</v>
      </c>
      <c r="P348" s="1">
        <v>4</v>
      </c>
      <c r="Q348" s="10" t="s">
        <v>29</v>
      </c>
      <c r="R348" s="14" t="str" cm="1">
        <f t="array" ref="R348">_xlfn.IFS(C348&lt;18,"Under 18",C348&lt;36,"18-35",C348&lt;51,"36-50",C348&lt;66,"51-65",C348&gt;=66,"66+")</f>
        <v>66+</v>
      </c>
      <c r="S348" s="18">
        <v>45383</v>
      </c>
    </row>
    <row r="349" spans="1:19">
      <c r="A349" s="21" t="s">
        <v>829</v>
      </c>
      <c r="B349" s="1" t="s">
        <v>830</v>
      </c>
      <c r="C349" s="1">
        <v>10</v>
      </c>
      <c r="D349" s="1" t="s">
        <v>43</v>
      </c>
      <c r="E349" s="1" t="s">
        <v>66</v>
      </c>
      <c r="F349" s="1" t="s">
        <v>52</v>
      </c>
      <c r="G349" s="1" t="s">
        <v>68</v>
      </c>
      <c r="H349" s="1" t="s">
        <v>105</v>
      </c>
      <c r="I349" s="1" t="s">
        <v>62</v>
      </c>
      <c r="J349" s="2">
        <v>45385</v>
      </c>
      <c r="K349" s="2">
        <v>45476</v>
      </c>
      <c r="L349" s="1">
        <v>3</v>
      </c>
      <c r="M349" s="1" t="s">
        <v>48</v>
      </c>
      <c r="N349" s="1" t="s">
        <v>85</v>
      </c>
      <c r="O349" s="4">
        <v>24988.85</v>
      </c>
      <c r="P349" s="1">
        <v>2</v>
      </c>
      <c r="Q349" s="10" t="s">
        <v>58</v>
      </c>
      <c r="R349" s="14" t="str" cm="1">
        <f t="array" ref="R349">_xlfn.IFS(C349&lt;18,"Under 18",C349&lt;36,"18-35",C349&lt;51,"36-50",C349&lt;66,"51-65",C349&gt;=66,"66+")</f>
        <v>Under 18</v>
      </c>
      <c r="S349" s="18">
        <v>45383</v>
      </c>
    </row>
    <row r="350" spans="1:19">
      <c r="A350" s="21" t="s">
        <v>831</v>
      </c>
      <c r="B350" s="1" t="s">
        <v>593</v>
      </c>
      <c r="C350" s="1">
        <v>28</v>
      </c>
      <c r="D350" s="1" t="s">
        <v>27</v>
      </c>
      <c r="E350" s="1" t="s">
        <v>137</v>
      </c>
      <c r="F350" s="1" t="s">
        <v>120</v>
      </c>
      <c r="G350" s="1" t="s">
        <v>68</v>
      </c>
      <c r="H350" s="1" t="s">
        <v>93</v>
      </c>
      <c r="I350" s="1" t="s">
        <v>36</v>
      </c>
      <c r="J350" s="2">
        <v>45950</v>
      </c>
      <c r="K350" s="2">
        <v>45951</v>
      </c>
      <c r="L350" s="1">
        <v>1</v>
      </c>
      <c r="M350" s="1" t="s">
        <v>38</v>
      </c>
      <c r="N350" s="1" t="s">
        <v>57</v>
      </c>
      <c r="O350" s="4">
        <v>13369.83</v>
      </c>
      <c r="P350" s="1">
        <v>4</v>
      </c>
      <c r="Q350" s="10" t="s">
        <v>72</v>
      </c>
      <c r="R350" s="14" t="str" cm="1">
        <f t="array" ref="R350">_xlfn.IFS(C350&lt;18,"Under 18",C350&lt;36,"18-35",C350&lt;51,"36-50",C350&lt;66,"51-65",C350&gt;=66,"66+")</f>
        <v>18-35</v>
      </c>
      <c r="S350" s="18">
        <v>45931</v>
      </c>
    </row>
    <row r="351" spans="1:19">
      <c r="A351" s="21" t="s">
        <v>834</v>
      </c>
      <c r="B351" s="1" t="s">
        <v>194</v>
      </c>
      <c r="C351" s="1">
        <v>66</v>
      </c>
      <c r="D351" s="1" t="s">
        <v>27</v>
      </c>
      <c r="E351" s="1" t="s">
        <v>44</v>
      </c>
      <c r="F351" s="1" t="s">
        <v>67</v>
      </c>
      <c r="G351" s="1" t="s">
        <v>22</v>
      </c>
      <c r="H351" s="1" t="s">
        <v>23</v>
      </c>
      <c r="I351" s="1" t="s">
        <v>62</v>
      </c>
      <c r="J351" s="2">
        <v>45794</v>
      </c>
      <c r="K351" s="2">
        <v>45797</v>
      </c>
      <c r="L351" s="1">
        <v>3</v>
      </c>
      <c r="M351" s="1" t="s">
        <v>38</v>
      </c>
      <c r="N351" s="1" t="s">
        <v>63</v>
      </c>
      <c r="O351" s="4">
        <v>28486.82</v>
      </c>
      <c r="P351" s="1">
        <v>4</v>
      </c>
      <c r="Q351" s="10" t="s">
        <v>40</v>
      </c>
      <c r="R351" s="14" t="str" cm="1">
        <f t="array" ref="R351">_xlfn.IFS(C351&lt;18,"Under 18",C351&lt;36,"18-35",C351&lt;51,"36-50",C351&lt;66,"51-65",C351&gt;=66,"66+")</f>
        <v>66+</v>
      </c>
      <c r="S351" s="18">
        <v>45778</v>
      </c>
    </row>
    <row r="352" spans="1:19">
      <c r="A352" s="21" t="s">
        <v>836</v>
      </c>
      <c r="B352" s="1" t="s">
        <v>837</v>
      </c>
      <c r="C352" s="1">
        <v>52</v>
      </c>
      <c r="D352" s="1" t="s">
        <v>19</v>
      </c>
      <c r="E352" s="1" t="s">
        <v>51</v>
      </c>
      <c r="F352" s="1" t="s">
        <v>75</v>
      </c>
      <c r="G352" s="1" t="s">
        <v>53</v>
      </c>
      <c r="H352" s="1" t="s">
        <v>45</v>
      </c>
      <c r="I352" s="1" t="s">
        <v>62</v>
      </c>
      <c r="J352" s="2">
        <v>45910</v>
      </c>
      <c r="K352" s="2">
        <v>45940</v>
      </c>
      <c r="L352" s="1">
        <v>1</v>
      </c>
      <c r="M352" s="1" t="s">
        <v>56</v>
      </c>
      <c r="N352" s="1" t="s">
        <v>82</v>
      </c>
      <c r="O352" s="4">
        <v>138327.32</v>
      </c>
      <c r="P352" s="1">
        <v>3</v>
      </c>
      <c r="Q352" s="10" t="s">
        <v>58</v>
      </c>
      <c r="R352" s="14" t="str" cm="1">
        <f t="array" ref="R352">_xlfn.IFS(C352&lt;18,"Under 18",C352&lt;36,"18-35",C352&lt;51,"36-50",C352&lt;66,"51-65",C352&gt;=66,"66+")</f>
        <v>51-65</v>
      </c>
      <c r="S352" s="18">
        <v>45901</v>
      </c>
    </row>
    <row r="353" spans="1:19">
      <c r="A353" s="21" t="s">
        <v>838</v>
      </c>
      <c r="B353" s="1" t="s">
        <v>204</v>
      </c>
      <c r="C353" s="1">
        <v>14</v>
      </c>
      <c r="D353" s="1" t="s">
        <v>27</v>
      </c>
      <c r="E353" s="1" t="s">
        <v>159</v>
      </c>
      <c r="F353" s="1" t="s">
        <v>33</v>
      </c>
      <c r="G353" s="1" t="s">
        <v>104</v>
      </c>
      <c r="H353" s="1" t="s">
        <v>61</v>
      </c>
      <c r="I353" s="1" t="s">
        <v>36</v>
      </c>
      <c r="J353" s="2">
        <v>45820</v>
      </c>
      <c r="K353" s="2">
        <v>45942</v>
      </c>
      <c r="L353" s="1">
        <v>4</v>
      </c>
      <c r="M353" s="1" t="s">
        <v>27</v>
      </c>
      <c r="N353" s="1" t="s">
        <v>63</v>
      </c>
      <c r="O353" s="4">
        <v>22215.84</v>
      </c>
      <c r="P353" s="1">
        <v>3</v>
      </c>
      <c r="Q353" s="10" t="s">
        <v>40</v>
      </c>
      <c r="R353" s="14" t="str" cm="1">
        <f t="array" ref="R353">_xlfn.IFS(C353&lt;18,"Under 18",C353&lt;36,"18-35",C353&lt;51,"36-50",C353&lt;66,"51-65",C353&gt;=66,"66+")</f>
        <v>Under 18</v>
      </c>
      <c r="S353" s="18">
        <v>45809</v>
      </c>
    </row>
    <row r="354" spans="1:19">
      <c r="A354" s="21" t="s">
        <v>839</v>
      </c>
      <c r="B354" s="1" t="s">
        <v>409</v>
      </c>
      <c r="C354" s="1">
        <v>64</v>
      </c>
      <c r="D354" s="1" t="s">
        <v>27</v>
      </c>
      <c r="E354" s="1" t="s">
        <v>66</v>
      </c>
      <c r="F354" s="1" t="s">
        <v>33</v>
      </c>
      <c r="G354" s="1" t="s">
        <v>104</v>
      </c>
      <c r="H354" s="1" t="s">
        <v>23</v>
      </c>
      <c r="I354" s="1" t="s">
        <v>24</v>
      </c>
      <c r="J354" s="2">
        <v>45781</v>
      </c>
      <c r="K354" s="2">
        <v>45812</v>
      </c>
      <c r="L354" s="1">
        <v>1</v>
      </c>
      <c r="M354" s="1" t="s">
        <v>48</v>
      </c>
      <c r="N354" s="1" t="s">
        <v>57</v>
      </c>
      <c r="O354" s="4">
        <v>22873.61</v>
      </c>
      <c r="P354" s="1">
        <v>4</v>
      </c>
      <c r="Q354" s="10" t="s">
        <v>72</v>
      </c>
      <c r="R354" s="14" t="str" cm="1">
        <f t="array" ref="R354">_xlfn.IFS(C354&lt;18,"Under 18",C354&lt;36,"18-35",C354&lt;51,"36-50",C354&lt;66,"51-65",C354&gt;=66,"66+")</f>
        <v>51-65</v>
      </c>
      <c r="S354" s="18">
        <v>45778</v>
      </c>
    </row>
    <row r="355" spans="1:19">
      <c r="A355" s="21" t="s">
        <v>840</v>
      </c>
      <c r="B355" s="1" t="s">
        <v>521</v>
      </c>
      <c r="C355" s="1">
        <v>32</v>
      </c>
      <c r="D355" s="1" t="s">
        <v>27</v>
      </c>
      <c r="E355" s="1" t="s">
        <v>32</v>
      </c>
      <c r="F355" s="1" t="s">
        <v>75</v>
      </c>
      <c r="G355" s="1" t="s">
        <v>68</v>
      </c>
      <c r="H355" s="1" t="s">
        <v>45</v>
      </c>
      <c r="I355" s="1" t="s">
        <v>62</v>
      </c>
      <c r="J355" s="2">
        <v>45956</v>
      </c>
      <c r="K355" s="2">
        <v>45957</v>
      </c>
      <c r="L355" s="1">
        <v>1</v>
      </c>
      <c r="M355" s="1" t="s">
        <v>27</v>
      </c>
      <c r="N355" s="1" t="s">
        <v>39</v>
      </c>
      <c r="O355" s="4">
        <v>45301.48</v>
      </c>
      <c r="P355" s="1">
        <v>3</v>
      </c>
      <c r="Q355" s="10" t="s">
        <v>29</v>
      </c>
      <c r="R355" s="14" t="str" cm="1">
        <f t="array" ref="R355">_xlfn.IFS(C355&lt;18,"Under 18",C355&lt;36,"18-35",C355&lt;51,"36-50",C355&lt;66,"51-65",C355&gt;=66,"66+")</f>
        <v>18-35</v>
      </c>
      <c r="S355" s="18">
        <v>45931</v>
      </c>
    </row>
    <row r="356" spans="1:19">
      <c r="A356" s="21" t="s">
        <v>842</v>
      </c>
      <c r="B356" s="1" t="s">
        <v>84</v>
      </c>
      <c r="C356" s="1">
        <v>9</v>
      </c>
      <c r="D356" s="1" t="s">
        <v>19</v>
      </c>
      <c r="E356" s="1" t="s">
        <v>247</v>
      </c>
      <c r="F356" s="1" t="s">
        <v>21</v>
      </c>
      <c r="G356" s="1" t="s">
        <v>36</v>
      </c>
      <c r="H356" s="1" t="s">
        <v>88</v>
      </c>
      <c r="I356" s="1" t="s">
        <v>36</v>
      </c>
      <c r="J356" s="2">
        <v>45994</v>
      </c>
      <c r="K356" s="2">
        <v>45737</v>
      </c>
      <c r="L356" s="1">
        <v>9</v>
      </c>
      <c r="M356" s="1" t="s">
        <v>27</v>
      </c>
      <c r="N356" s="1" t="s">
        <v>85</v>
      </c>
      <c r="O356" s="4">
        <v>26023.22</v>
      </c>
      <c r="P356" s="1">
        <v>4</v>
      </c>
      <c r="Q356" s="10" t="s">
        <v>40</v>
      </c>
      <c r="R356" s="14" t="str" cm="1">
        <f t="array" ref="R356">_xlfn.IFS(C356&lt;18,"Under 18",C356&lt;36,"18-35",C356&lt;51,"36-50",C356&lt;66,"51-65",C356&gt;=66,"66+")</f>
        <v>Under 18</v>
      </c>
      <c r="S356" s="18">
        <v>45992</v>
      </c>
    </row>
    <row r="357" spans="1:19">
      <c r="A357" s="21" t="s">
        <v>844</v>
      </c>
      <c r="B357" s="1" t="s">
        <v>229</v>
      </c>
      <c r="C357" s="1">
        <v>9</v>
      </c>
      <c r="D357" s="1" t="s">
        <v>19</v>
      </c>
      <c r="E357" s="1" t="s">
        <v>66</v>
      </c>
      <c r="F357" s="1" t="s">
        <v>75</v>
      </c>
      <c r="G357" s="1" t="s">
        <v>132</v>
      </c>
      <c r="H357" s="1" t="s">
        <v>69</v>
      </c>
      <c r="I357" s="1" t="s">
        <v>62</v>
      </c>
      <c r="J357" s="2">
        <v>45483</v>
      </c>
      <c r="K357" s="2">
        <v>45575</v>
      </c>
      <c r="L357" s="1">
        <v>3</v>
      </c>
      <c r="M357" s="1" t="s">
        <v>48</v>
      </c>
      <c r="N357" s="1" t="s">
        <v>28</v>
      </c>
      <c r="O357" s="4">
        <v>14971.02</v>
      </c>
      <c r="P357" s="1">
        <v>2</v>
      </c>
      <c r="Q357" s="10" t="s">
        <v>72</v>
      </c>
      <c r="R357" s="14" t="str" cm="1">
        <f t="array" ref="R357">_xlfn.IFS(C357&lt;18,"Under 18",C357&lt;36,"18-35",C357&lt;51,"36-50",C357&lt;66,"51-65",C357&gt;=66,"66+")</f>
        <v>Under 18</v>
      </c>
      <c r="S357" s="18">
        <v>45474</v>
      </c>
    </row>
    <row r="358" spans="1:19">
      <c r="A358" s="21" t="s">
        <v>845</v>
      </c>
      <c r="B358" s="1" t="s">
        <v>212</v>
      </c>
      <c r="C358" s="1">
        <v>23</v>
      </c>
      <c r="D358" s="1" t="s">
        <v>19</v>
      </c>
      <c r="E358" s="1" t="s">
        <v>137</v>
      </c>
      <c r="F358" s="1" t="s">
        <v>21</v>
      </c>
      <c r="G358" s="1" t="s">
        <v>104</v>
      </c>
      <c r="H358" s="1" t="s">
        <v>35</v>
      </c>
      <c r="I358" s="1" t="s">
        <v>36</v>
      </c>
      <c r="J358" s="2">
        <v>46015</v>
      </c>
      <c r="K358" s="2">
        <v>46020</v>
      </c>
      <c r="L358" s="1">
        <v>5</v>
      </c>
      <c r="M358" s="1" t="s">
        <v>27</v>
      </c>
      <c r="N358" s="1" t="s">
        <v>63</v>
      </c>
      <c r="O358" s="4">
        <v>27049.7</v>
      </c>
      <c r="P358" s="1">
        <v>4</v>
      </c>
      <c r="Q358" s="10" t="s">
        <v>72</v>
      </c>
      <c r="R358" s="14" t="str" cm="1">
        <f t="array" ref="R358">_xlfn.IFS(C358&lt;18,"Under 18",C358&lt;36,"18-35",C358&lt;51,"36-50",C358&lt;66,"51-65",C358&gt;=66,"66+")</f>
        <v>18-35</v>
      </c>
      <c r="S358" s="18">
        <v>45992</v>
      </c>
    </row>
    <row r="359" spans="1:19">
      <c r="A359" s="21" t="s">
        <v>848</v>
      </c>
      <c r="B359" s="1" t="s">
        <v>749</v>
      </c>
      <c r="C359" s="1">
        <v>77</v>
      </c>
      <c r="D359" s="1" t="s">
        <v>19</v>
      </c>
      <c r="E359" s="1" t="s">
        <v>51</v>
      </c>
      <c r="F359" s="1" t="s">
        <v>67</v>
      </c>
      <c r="G359" s="1" t="s">
        <v>34</v>
      </c>
      <c r="H359" s="1" t="s">
        <v>23</v>
      </c>
      <c r="I359" s="1" t="s">
        <v>36</v>
      </c>
      <c r="J359" s="2">
        <v>45803</v>
      </c>
      <c r="K359" s="2">
        <v>45722</v>
      </c>
      <c r="L359" s="1">
        <v>8</v>
      </c>
      <c r="M359" s="1" t="s">
        <v>97</v>
      </c>
      <c r="N359" s="1" t="s">
        <v>39</v>
      </c>
      <c r="O359" s="4">
        <v>47662.82</v>
      </c>
      <c r="P359" s="1">
        <v>4</v>
      </c>
      <c r="Q359" s="10" t="s">
        <v>29</v>
      </c>
      <c r="R359" s="14" t="str" cm="1">
        <f t="array" ref="R359">_xlfn.IFS(C359&lt;18,"Under 18",C359&lt;36,"18-35",C359&lt;51,"36-50",C359&lt;66,"51-65",C359&gt;=66,"66+")</f>
        <v>66+</v>
      </c>
      <c r="S359" s="18">
        <v>45778</v>
      </c>
    </row>
    <row r="360" spans="1:19">
      <c r="A360" s="21" t="s">
        <v>849</v>
      </c>
      <c r="B360" s="1" t="s">
        <v>253</v>
      </c>
      <c r="C360" s="1">
        <v>36</v>
      </c>
      <c r="D360" s="1" t="s">
        <v>19</v>
      </c>
      <c r="E360" s="1" t="s">
        <v>247</v>
      </c>
      <c r="F360" s="1" t="s">
        <v>120</v>
      </c>
      <c r="G360" s="1" t="s">
        <v>104</v>
      </c>
      <c r="H360" s="1" t="s">
        <v>93</v>
      </c>
      <c r="I360" s="1" t="s">
        <v>36</v>
      </c>
      <c r="J360" s="2">
        <v>45490</v>
      </c>
      <c r="K360" s="2">
        <v>45499</v>
      </c>
      <c r="L360" s="1">
        <v>9</v>
      </c>
      <c r="M360" s="1" t="s">
        <v>97</v>
      </c>
      <c r="N360" s="1" t="s">
        <v>82</v>
      </c>
      <c r="O360" s="4">
        <v>31089.55</v>
      </c>
      <c r="P360" s="1">
        <v>4</v>
      </c>
      <c r="Q360" s="10" t="s">
        <v>40</v>
      </c>
      <c r="R360" s="14" t="str" cm="1">
        <f t="array" ref="R360">_xlfn.IFS(C360&lt;18,"Under 18",C360&lt;36,"18-35",C360&lt;51,"36-50",C360&lt;66,"51-65",C360&gt;=66,"66+")</f>
        <v>36-50</v>
      </c>
      <c r="S360" s="18">
        <v>45474</v>
      </c>
    </row>
    <row r="361" spans="1:19">
      <c r="A361" s="21" t="s">
        <v>850</v>
      </c>
      <c r="B361" s="1" t="s">
        <v>816</v>
      </c>
      <c r="C361" s="1">
        <v>79</v>
      </c>
      <c r="D361" s="1" t="s">
        <v>43</v>
      </c>
      <c r="E361" s="1" t="s">
        <v>44</v>
      </c>
      <c r="F361" s="1" t="s">
        <v>67</v>
      </c>
      <c r="G361" s="1" t="s">
        <v>110</v>
      </c>
      <c r="H361" s="1" t="s">
        <v>35</v>
      </c>
      <c r="I361" s="1" t="s">
        <v>62</v>
      </c>
      <c r="J361" s="2">
        <v>45336</v>
      </c>
      <c r="K361" s="2">
        <v>45343</v>
      </c>
      <c r="L361" s="1">
        <v>7</v>
      </c>
      <c r="M361" s="1" t="s">
        <v>97</v>
      </c>
      <c r="N361" s="1" t="s">
        <v>85</v>
      </c>
      <c r="O361" s="4">
        <v>113480.24</v>
      </c>
      <c r="P361" s="1">
        <v>2</v>
      </c>
      <c r="Q361" s="10" t="s">
        <v>40</v>
      </c>
      <c r="R361" s="14" t="str" cm="1">
        <f t="array" ref="R361">_xlfn.IFS(C361&lt;18,"Under 18",C361&lt;36,"18-35",C361&lt;51,"36-50",C361&lt;66,"51-65",C361&gt;=66,"66+")</f>
        <v>66+</v>
      </c>
      <c r="S361" s="18">
        <v>45323</v>
      </c>
    </row>
    <row r="362" spans="1:19">
      <c r="A362" s="21" t="s">
        <v>851</v>
      </c>
      <c r="B362" s="1" t="s">
        <v>92</v>
      </c>
      <c r="C362" s="1">
        <v>30</v>
      </c>
      <c r="D362" s="1" t="s">
        <v>19</v>
      </c>
      <c r="E362" s="1" t="s">
        <v>202</v>
      </c>
      <c r="F362" s="1" t="s">
        <v>33</v>
      </c>
      <c r="G362" s="1" t="s">
        <v>132</v>
      </c>
      <c r="H362" s="1" t="s">
        <v>76</v>
      </c>
      <c r="I362" s="1" t="s">
        <v>36</v>
      </c>
      <c r="J362" s="2">
        <v>45625</v>
      </c>
      <c r="K362" s="2">
        <v>45626</v>
      </c>
      <c r="L362" s="1">
        <v>1</v>
      </c>
      <c r="M362" s="1" t="s">
        <v>56</v>
      </c>
      <c r="N362" s="1" t="s">
        <v>90</v>
      </c>
      <c r="O362" s="4">
        <v>77069.66</v>
      </c>
      <c r="P362" s="1">
        <v>2</v>
      </c>
      <c r="Q362" s="10" t="s">
        <v>58</v>
      </c>
      <c r="R362" s="14" t="str" cm="1">
        <f t="array" ref="R362">_xlfn.IFS(C362&lt;18,"Under 18",C362&lt;36,"18-35",C362&lt;51,"36-50",C362&lt;66,"51-65",C362&gt;=66,"66+")</f>
        <v>18-35</v>
      </c>
      <c r="S362" s="18">
        <v>45597</v>
      </c>
    </row>
    <row r="363" spans="1:19">
      <c r="A363" s="21" t="s">
        <v>852</v>
      </c>
      <c r="B363" s="1" t="s">
        <v>242</v>
      </c>
      <c r="C363" s="1">
        <v>23</v>
      </c>
      <c r="D363" s="1" t="s">
        <v>43</v>
      </c>
      <c r="E363" s="1" t="s">
        <v>66</v>
      </c>
      <c r="F363" s="1" t="s">
        <v>75</v>
      </c>
      <c r="G363" s="1" t="s">
        <v>53</v>
      </c>
      <c r="H363" s="1" t="s">
        <v>105</v>
      </c>
      <c r="I363" s="1" t="s">
        <v>62</v>
      </c>
      <c r="J363" s="2">
        <v>45674</v>
      </c>
      <c r="K363" s="2">
        <v>45678</v>
      </c>
      <c r="L363" s="1">
        <v>4</v>
      </c>
      <c r="M363" s="1" t="s">
        <v>97</v>
      </c>
      <c r="N363" s="1" t="s">
        <v>57</v>
      </c>
      <c r="O363" s="4">
        <v>35177.599999999999</v>
      </c>
      <c r="P363" s="1">
        <v>4</v>
      </c>
      <c r="Q363" s="10" t="s">
        <v>29</v>
      </c>
      <c r="R363" s="14" t="str" cm="1">
        <f t="array" ref="R363">_xlfn.IFS(C363&lt;18,"Under 18",C363&lt;36,"18-35",C363&lt;51,"36-50",C363&lt;66,"51-65",C363&gt;=66,"66+")</f>
        <v>18-35</v>
      </c>
      <c r="S363" s="18">
        <v>45658</v>
      </c>
    </row>
    <row r="364" spans="1:19">
      <c r="A364" s="21" t="s">
        <v>855</v>
      </c>
      <c r="B364" s="1" t="s">
        <v>212</v>
      </c>
      <c r="C364" s="1">
        <v>44</v>
      </c>
      <c r="D364" s="1" t="s">
        <v>19</v>
      </c>
      <c r="E364" s="1" t="s">
        <v>20</v>
      </c>
      <c r="F364" s="1" t="s">
        <v>67</v>
      </c>
      <c r="G364" s="1" t="s">
        <v>110</v>
      </c>
      <c r="H364" s="1" t="s">
        <v>69</v>
      </c>
      <c r="I364" s="1" t="s">
        <v>62</v>
      </c>
      <c r="J364" s="2">
        <v>45594</v>
      </c>
      <c r="K364" s="2">
        <v>45595</v>
      </c>
      <c r="L364" s="1">
        <v>1</v>
      </c>
      <c r="M364" s="1" t="s">
        <v>97</v>
      </c>
      <c r="N364" s="1" t="s">
        <v>82</v>
      </c>
      <c r="O364" s="4">
        <v>163114.13</v>
      </c>
      <c r="P364" s="1">
        <v>2</v>
      </c>
      <c r="Q364" s="10" t="s">
        <v>72</v>
      </c>
      <c r="R364" s="14" t="str" cm="1">
        <f t="array" ref="R364">_xlfn.IFS(C364&lt;18,"Under 18",C364&lt;36,"18-35",C364&lt;51,"36-50",C364&lt;66,"51-65",C364&gt;=66,"66+")</f>
        <v>36-50</v>
      </c>
      <c r="S364" s="18">
        <v>45566</v>
      </c>
    </row>
    <row r="365" spans="1:19">
      <c r="A365" s="21" t="s">
        <v>856</v>
      </c>
      <c r="B365" s="1" t="s">
        <v>857</v>
      </c>
      <c r="C365" s="1">
        <v>55</v>
      </c>
      <c r="D365" s="1" t="s">
        <v>27</v>
      </c>
      <c r="E365" s="1" t="s">
        <v>137</v>
      </c>
      <c r="F365" s="1" t="s">
        <v>67</v>
      </c>
      <c r="G365" s="1" t="s">
        <v>110</v>
      </c>
      <c r="H365" s="1" t="s">
        <v>69</v>
      </c>
      <c r="I365" s="1" t="s">
        <v>62</v>
      </c>
      <c r="J365" s="2">
        <v>45544</v>
      </c>
      <c r="K365" s="2">
        <v>45605</v>
      </c>
      <c r="L365" s="1">
        <v>2</v>
      </c>
      <c r="M365" s="1" t="s">
        <v>97</v>
      </c>
      <c r="N365" s="1" t="s">
        <v>39</v>
      </c>
      <c r="O365" s="4">
        <v>122253.66</v>
      </c>
      <c r="P365" s="1">
        <v>2</v>
      </c>
      <c r="Q365" s="10" t="s">
        <v>72</v>
      </c>
      <c r="R365" s="14" t="str" cm="1">
        <f t="array" ref="R365">_xlfn.IFS(C365&lt;18,"Under 18",C365&lt;36,"18-35",C365&lt;51,"36-50",C365&lt;66,"51-65",C365&gt;=66,"66+")</f>
        <v>51-65</v>
      </c>
      <c r="S365" s="18">
        <v>45536</v>
      </c>
    </row>
    <row r="366" spans="1:19">
      <c r="A366" s="21" t="s">
        <v>858</v>
      </c>
      <c r="B366" s="1" t="s">
        <v>409</v>
      </c>
      <c r="C366" s="1">
        <v>58</v>
      </c>
      <c r="D366" s="1" t="s">
        <v>43</v>
      </c>
      <c r="E366" s="1" t="s">
        <v>159</v>
      </c>
      <c r="F366" s="1" t="s">
        <v>52</v>
      </c>
      <c r="G366" s="1" t="s">
        <v>36</v>
      </c>
      <c r="H366" s="1" t="s">
        <v>61</v>
      </c>
      <c r="I366" s="1" t="s">
        <v>62</v>
      </c>
      <c r="J366" s="2">
        <v>45360</v>
      </c>
      <c r="K366" s="2">
        <v>45482</v>
      </c>
      <c r="L366" s="1">
        <v>4</v>
      </c>
      <c r="M366" s="1" t="s">
        <v>56</v>
      </c>
      <c r="N366" s="1" t="s">
        <v>63</v>
      </c>
      <c r="O366" s="4">
        <v>21687.98</v>
      </c>
      <c r="P366" s="1">
        <v>3</v>
      </c>
      <c r="Q366" s="10" t="s">
        <v>58</v>
      </c>
      <c r="R366" s="14" t="str" cm="1">
        <f t="array" ref="R366">_xlfn.IFS(C366&lt;18,"Under 18",C366&lt;36,"18-35",C366&lt;51,"36-50",C366&lt;66,"51-65",C366&gt;=66,"66+")</f>
        <v>51-65</v>
      </c>
      <c r="S366" s="18">
        <v>45352</v>
      </c>
    </row>
    <row r="367" spans="1:19">
      <c r="A367" s="21" t="s">
        <v>859</v>
      </c>
      <c r="B367" s="1" t="s">
        <v>766</v>
      </c>
      <c r="C367" s="1">
        <v>74</v>
      </c>
      <c r="D367" s="1" t="s">
        <v>27</v>
      </c>
      <c r="E367" s="1" t="s">
        <v>247</v>
      </c>
      <c r="F367" s="1" t="s">
        <v>67</v>
      </c>
      <c r="G367" s="1" t="s">
        <v>110</v>
      </c>
      <c r="H367" s="1" t="s">
        <v>88</v>
      </c>
      <c r="I367" s="1" t="s">
        <v>36</v>
      </c>
      <c r="J367" s="2">
        <v>45889</v>
      </c>
      <c r="K367" s="2">
        <v>45890</v>
      </c>
      <c r="L367" s="1">
        <v>1</v>
      </c>
      <c r="M367" s="1" t="s">
        <v>38</v>
      </c>
      <c r="N367" s="1" t="s">
        <v>57</v>
      </c>
      <c r="O367" s="4">
        <v>105898.51</v>
      </c>
      <c r="P367" s="1">
        <v>1</v>
      </c>
      <c r="Q367" s="10" t="s">
        <v>40</v>
      </c>
      <c r="R367" s="14" t="str" cm="1">
        <f t="array" ref="R367">_xlfn.IFS(C367&lt;18,"Under 18",C367&lt;36,"18-35",C367&lt;51,"36-50",C367&lt;66,"51-65",C367&gt;=66,"66+")</f>
        <v>66+</v>
      </c>
      <c r="S367" s="18">
        <v>45870</v>
      </c>
    </row>
    <row r="368" spans="1:19">
      <c r="A368" s="21" t="s">
        <v>861</v>
      </c>
      <c r="B368" s="1" t="s">
        <v>126</v>
      </c>
      <c r="C368" s="1">
        <v>90</v>
      </c>
      <c r="D368" s="1" t="s">
        <v>27</v>
      </c>
      <c r="E368" s="1" t="s">
        <v>202</v>
      </c>
      <c r="F368" s="1" t="s">
        <v>75</v>
      </c>
      <c r="G368" s="1" t="s">
        <v>22</v>
      </c>
      <c r="H368" s="1" t="s">
        <v>69</v>
      </c>
      <c r="I368" s="1" t="s">
        <v>62</v>
      </c>
      <c r="J368" s="2">
        <v>45907</v>
      </c>
      <c r="K368" s="2">
        <v>45856</v>
      </c>
      <c r="L368" s="1">
        <v>9</v>
      </c>
      <c r="M368" s="1" t="s">
        <v>38</v>
      </c>
      <c r="N368" s="1" t="s">
        <v>57</v>
      </c>
      <c r="O368" s="4">
        <v>95377.31</v>
      </c>
      <c r="P368" s="1">
        <v>5</v>
      </c>
      <c r="Q368" s="10" t="s">
        <v>72</v>
      </c>
      <c r="R368" s="14" t="str" cm="1">
        <f t="array" ref="R368">_xlfn.IFS(C368&lt;18,"Under 18",C368&lt;36,"18-35",C368&lt;51,"36-50",C368&lt;66,"51-65",C368&gt;=66,"66+")</f>
        <v>66+</v>
      </c>
      <c r="S368" s="18">
        <v>45901</v>
      </c>
    </row>
    <row r="369" spans="1:19">
      <c r="A369" s="21" t="s">
        <v>862</v>
      </c>
      <c r="B369" s="1" t="s">
        <v>221</v>
      </c>
      <c r="C369" s="1">
        <v>47</v>
      </c>
      <c r="D369" s="1" t="s">
        <v>43</v>
      </c>
      <c r="E369" s="1" t="s">
        <v>44</v>
      </c>
      <c r="F369" s="1" t="s">
        <v>52</v>
      </c>
      <c r="G369" s="1" t="s">
        <v>132</v>
      </c>
      <c r="H369" s="1" t="s">
        <v>35</v>
      </c>
      <c r="I369" s="1" t="s">
        <v>36</v>
      </c>
      <c r="J369" s="2">
        <v>45471</v>
      </c>
      <c r="K369" s="2">
        <v>45358</v>
      </c>
      <c r="L369" s="1">
        <v>5</v>
      </c>
      <c r="M369" s="1" t="s">
        <v>56</v>
      </c>
      <c r="N369" s="1" t="s">
        <v>82</v>
      </c>
      <c r="O369" s="4">
        <v>83631.37</v>
      </c>
      <c r="P369" s="1">
        <v>3</v>
      </c>
      <c r="Q369" s="10" t="s">
        <v>40</v>
      </c>
      <c r="R369" s="14" t="str" cm="1">
        <f t="array" ref="R369">_xlfn.IFS(C369&lt;18,"Under 18",C369&lt;36,"18-35",C369&lt;51,"36-50",C369&lt;66,"51-65",C369&gt;=66,"66+")</f>
        <v>36-50</v>
      </c>
      <c r="S369" s="18">
        <v>45444</v>
      </c>
    </row>
    <row r="370" spans="1:19">
      <c r="A370" s="21" t="s">
        <v>863</v>
      </c>
      <c r="B370" s="1" t="s">
        <v>565</v>
      </c>
      <c r="C370" s="1">
        <v>35</v>
      </c>
      <c r="D370" s="1" t="s">
        <v>27</v>
      </c>
      <c r="E370" s="1" t="s">
        <v>159</v>
      </c>
      <c r="F370" s="1" t="s">
        <v>67</v>
      </c>
      <c r="G370" s="1" t="s">
        <v>53</v>
      </c>
      <c r="H370" s="1" t="s">
        <v>93</v>
      </c>
      <c r="I370" s="1" t="s">
        <v>62</v>
      </c>
      <c r="J370" s="2">
        <v>45988</v>
      </c>
      <c r="K370" s="2">
        <v>45990</v>
      </c>
      <c r="L370" s="1">
        <v>2</v>
      </c>
      <c r="M370" s="1" t="s">
        <v>48</v>
      </c>
      <c r="N370" s="1" t="s">
        <v>85</v>
      </c>
      <c r="O370" s="4">
        <v>79506.58</v>
      </c>
      <c r="P370" s="1">
        <v>3</v>
      </c>
      <c r="Q370" s="10" t="s">
        <v>58</v>
      </c>
      <c r="R370" s="14" t="str" cm="1">
        <f t="array" ref="R370">_xlfn.IFS(C370&lt;18,"Under 18",C370&lt;36,"18-35",C370&lt;51,"36-50",C370&lt;66,"51-65",C370&gt;=66,"66+")</f>
        <v>18-35</v>
      </c>
      <c r="S370" s="18">
        <v>45962</v>
      </c>
    </row>
    <row r="371" spans="1:19">
      <c r="A371" s="21" t="s">
        <v>864</v>
      </c>
      <c r="B371" s="1" t="s">
        <v>613</v>
      </c>
      <c r="C371" s="1">
        <v>12</v>
      </c>
      <c r="D371" s="1" t="s">
        <v>19</v>
      </c>
      <c r="E371" s="1" t="s">
        <v>20</v>
      </c>
      <c r="F371" s="1" t="s">
        <v>67</v>
      </c>
      <c r="G371" s="1" t="s">
        <v>22</v>
      </c>
      <c r="H371" s="1" t="s">
        <v>35</v>
      </c>
      <c r="I371" s="1" t="s">
        <v>24</v>
      </c>
      <c r="J371" s="2">
        <v>45749</v>
      </c>
      <c r="K371" s="2">
        <v>45810</v>
      </c>
      <c r="L371" s="1">
        <v>2</v>
      </c>
      <c r="M371" s="1" t="s">
        <v>48</v>
      </c>
      <c r="N371" s="1" t="s">
        <v>82</v>
      </c>
      <c r="O371" s="4">
        <v>32143.82</v>
      </c>
      <c r="P371" s="1">
        <v>4</v>
      </c>
      <c r="Q371" s="10" t="s">
        <v>58</v>
      </c>
      <c r="R371" s="14" t="str" cm="1">
        <f t="array" ref="R371">_xlfn.IFS(C371&lt;18,"Under 18",C371&lt;36,"18-35",C371&lt;51,"36-50",C371&lt;66,"51-65",C371&gt;=66,"66+")</f>
        <v>Under 18</v>
      </c>
      <c r="S371" s="18">
        <v>45748</v>
      </c>
    </row>
    <row r="372" spans="1:19">
      <c r="A372" s="21" t="s">
        <v>865</v>
      </c>
      <c r="B372" s="1" t="s">
        <v>644</v>
      </c>
      <c r="C372" s="1">
        <v>88</v>
      </c>
      <c r="D372" s="1" t="s">
        <v>27</v>
      </c>
      <c r="E372" s="1" t="s">
        <v>137</v>
      </c>
      <c r="F372" s="1" t="s">
        <v>67</v>
      </c>
      <c r="G372" s="1" t="s">
        <v>34</v>
      </c>
      <c r="H372" s="1" t="s">
        <v>105</v>
      </c>
      <c r="I372" s="1" t="s">
        <v>62</v>
      </c>
      <c r="J372" s="2">
        <v>45427</v>
      </c>
      <c r="K372" s="2">
        <v>45430</v>
      </c>
      <c r="L372" s="1">
        <v>3</v>
      </c>
      <c r="M372" s="1" t="s">
        <v>38</v>
      </c>
      <c r="N372" s="1" t="s">
        <v>57</v>
      </c>
      <c r="O372" s="4">
        <v>31473.43</v>
      </c>
      <c r="P372" s="1">
        <v>5</v>
      </c>
      <c r="Q372" s="10" t="s">
        <v>58</v>
      </c>
      <c r="R372" s="14" t="str" cm="1">
        <f t="array" ref="R372">_xlfn.IFS(C372&lt;18,"Under 18",C372&lt;36,"18-35",C372&lt;51,"36-50",C372&lt;66,"51-65",C372&gt;=66,"66+")</f>
        <v>66+</v>
      </c>
      <c r="S372" s="18">
        <v>45413</v>
      </c>
    </row>
    <row r="373" spans="1:19">
      <c r="A373" s="21" t="s">
        <v>867</v>
      </c>
      <c r="B373" s="1" t="s">
        <v>699</v>
      </c>
      <c r="C373" s="1">
        <v>59</v>
      </c>
      <c r="D373" s="1" t="s">
        <v>43</v>
      </c>
      <c r="E373" s="1" t="s">
        <v>66</v>
      </c>
      <c r="F373" s="1" t="s">
        <v>21</v>
      </c>
      <c r="G373" s="1" t="s">
        <v>34</v>
      </c>
      <c r="H373" s="1" t="s">
        <v>35</v>
      </c>
      <c r="I373" s="1" t="s">
        <v>24</v>
      </c>
      <c r="J373" s="2">
        <v>45724</v>
      </c>
      <c r="K373" s="2">
        <v>45816</v>
      </c>
      <c r="L373" s="1">
        <v>3</v>
      </c>
      <c r="M373" s="1" t="s">
        <v>56</v>
      </c>
      <c r="N373" s="1" t="s">
        <v>85</v>
      </c>
      <c r="O373" s="4">
        <v>60834.91</v>
      </c>
      <c r="P373" s="1">
        <v>3</v>
      </c>
      <c r="Q373" s="10" t="s">
        <v>29</v>
      </c>
      <c r="R373" s="14" t="str" cm="1">
        <f t="array" ref="R373">_xlfn.IFS(C373&lt;18,"Under 18",C373&lt;36,"18-35",C373&lt;51,"36-50",C373&lt;66,"51-65",C373&gt;=66,"66+")</f>
        <v>51-65</v>
      </c>
      <c r="S373" s="18">
        <v>45717</v>
      </c>
    </row>
    <row r="374" spans="1:19">
      <c r="A374" s="21" t="s">
        <v>868</v>
      </c>
      <c r="B374" s="1" t="s">
        <v>499</v>
      </c>
      <c r="C374" s="1">
        <v>15</v>
      </c>
      <c r="D374" s="1" t="s">
        <v>19</v>
      </c>
      <c r="E374" s="1" t="s">
        <v>247</v>
      </c>
      <c r="F374" s="1" t="s">
        <v>33</v>
      </c>
      <c r="G374" s="1" t="s">
        <v>110</v>
      </c>
      <c r="H374" s="1" t="s">
        <v>61</v>
      </c>
      <c r="I374" s="1" t="s">
        <v>24</v>
      </c>
      <c r="J374" s="2">
        <v>45616</v>
      </c>
      <c r="K374" s="2">
        <v>45617</v>
      </c>
      <c r="L374" s="1">
        <v>1</v>
      </c>
      <c r="M374" s="1" t="s">
        <v>56</v>
      </c>
      <c r="N374" s="1" t="s">
        <v>90</v>
      </c>
      <c r="O374" s="4">
        <v>65330.47</v>
      </c>
      <c r="P374" s="1">
        <v>3</v>
      </c>
      <c r="Q374" s="10" t="s">
        <v>40</v>
      </c>
      <c r="R374" s="14" t="str" cm="1">
        <f t="array" ref="R374">_xlfn.IFS(C374&lt;18,"Under 18",C374&lt;36,"18-35",C374&lt;51,"36-50",C374&lt;66,"51-65",C374&gt;=66,"66+")</f>
        <v>Under 18</v>
      </c>
      <c r="S374" s="18">
        <v>45597</v>
      </c>
    </row>
    <row r="375" spans="1:19">
      <c r="A375" s="21" t="s">
        <v>871</v>
      </c>
      <c r="B375" s="1" t="s">
        <v>131</v>
      </c>
      <c r="C375" s="1">
        <v>16</v>
      </c>
      <c r="D375" s="1" t="s">
        <v>19</v>
      </c>
      <c r="E375" s="1" t="s">
        <v>159</v>
      </c>
      <c r="F375" s="1" t="s">
        <v>120</v>
      </c>
      <c r="G375" s="1" t="s">
        <v>53</v>
      </c>
      <c r="H375" s="1" t="s">
        <v>35</v>
      </c>
      <c r="I375" s="1" t="s">
        <v>24</v>
      </c>
      <c r="J375" s="2">
        <v>45706</v>
      </c>
      <c r="K375" s="2">
        <v>45714</v>
      </c>
      <c r="L375" s="1">
        <v>8</v>
      </c>
      <c r="M375" s="1" t="s">
        <v>56</v>
      </c>
      <c r="N375" s="1" t="s">
        <v>39</v>
      </c>
      <c r="O375" s="4">
        <v>28700.35</v>
      </c>
      <c r="P375" s="1">
        <v>5</v>
      </c>
      <c r="Q375" s="10" t="s">
        <v>58</v>
      </c>
      <c r="R375" s="14" t="str" cm="1">
        <f t="array" ref="R375">_xlfn.IFS(C375&lt;18,"Under 18",C375&lt;36,"18-35",C375&lt;51,"36-50",C375&lt;66,"51-65",C375&gt;=66,"66+")</f>
        <v>Under 18</v>
      </c>
      <c r="S375" s="18">
        <v>45689</v>
      </c>
    </row>
    <row r="376" spans="1:19">
      <c r="A376" s="21" t="s">
        <v>873</v>
      </c>
      <c r="B376" s="1" t="s">
        <v>816</v>
      </c>
      <c r="C376" s="1">
        <v>44</v>
      </c>
      <c r="D376" s="1" t="s">
        <v>27</v>
      </c>
      <c r="E376" s="1" t="s">
        <v>247</v>
      </c>
      <c r="F376" s="1" t="s">
        <v>75</v>
      </c>
      <c r="G376" s="1" t="s">
        <v>22</v>
      </c>
      <c r="H376" s="1" t="s">
        <v>105</v>
      </c>
      <c r="I376" s="1" t="s">
        <v>62</v>
      </c>
      <c r="J376" s="2">
        <v>45407</v>
      </c>
      <c r="K376" s="2">
        <v>45411</v>
      </c>
      <c r="L376" s="1">
        <v>4</v>
      </c>
      <c r="M376" s="1" t="s">
        <v>48</v>
      </c>
      <c r="N376" s="1" t="s">
        <v>90</v>
      </c>
      <c r="O376" s="4">
        <v>13810.08</v>
      </c>
      <c r="P376" s="1">
        <v>4</v>
      </c>
      <c r="Q376" s="10" t="s">
        <v>29</v>
      </c>
      <c r="R376" s="14" t="str" cm="1">
        <f t="array" ref="R376">_xlfn.IFS(C376&lt;18,"Under 18",C376&lt;36,"18-35",C376&lt;51,"36-50",C376&lt;66,"51-65",C376&gt;=66,"66+")</f>
        <v>36-50</v>
      </c>
      <c r="S376" s="18">
        <v>45383</v>
      </c>
    </row>
    <row r="377" spans="1:19">
      <c r="A377" s="21" t="s">
        <v>876</v>
      </c>
      <c r="B377" s="1" t="s">
        <v>519</v>
      </c>
      <c r="C377" s="1">
        <v>75</v>
      </c>
      <c r="D377" s="1" t="s">
        <v>27</v>
      </c>
      <c r="E377" s="1" t="s">
        <v>44</v>
      </c>
      <c r="F377" s="1" t="s">
        <v>67</v>
      </c>
      <c r="G377" s="1" t="s">
        <v>104</v>
      </c>
      <c r="H377" s="1" t="s">
        <v>45</v>
      </c>
      <c r="I377" s="1" t="s">
        <v>24</v>
      </c>
      <c r="J377" s="2">
        <v>45519</v>
      </c>
      <c r="K377" s="2">
        <v>45521</v>
      </c>
      <c r="L377" s="1">
        <v>2</v>
      </c>
      <c r="M377" s="1" t="s">
        <v>48</v>
      </c>
      <c r="N377" s="1" t="s">
        <v>63</v>
      </c>
      <c r="O377" s="4">
        <v>83236.28</v>
      </c>
      <c r="P377" s="1">
        <v>4</v>
      </c>
      <c r="Q377" s="10" t="s">
        <v>40</v>
      </c>
      <c r="R377" s="14" t="str" cm="1">
        <f t="array" ref="R377">_xlfn.IFS(C377&lt;18,"Under 18",C377&lt;36,"18-35",C377&lt;51,"36-50",C377&lt;66,"51-65",C377&gt;=66,"66+")</f>
        <v>66+</v>
      </c>
      <c r="S377" s="18">
        <v>45505</v>
      </c>
    </row>
    <row r="378" spans="1:19">
      <c r="A378" s="21" t="s">
        <v>878</v>
      </c>
      <c r="B378" s="1" t="s">
        <v>548</v>
      </c>
      <c r="C378" s="1">
        <v>51</v>
      </c>
      <c r="D378" s="1" t="s">
        <v>19</v>
      </c>
      <c r="E378" s="1" t="s">
        <v>137</v>
      </c>
      <c r="F378" s="1" t="s">
        <v>33</v>
      </c>
      <c r="G378" s="1" t="s">
        <v>53</v>
      </c>
      <c r="H378" s="1" t="s">
        <v>88</v>
      </c>
      <c r="I378" s="1" t="s">
        <v>62</v>
      </c>
      <c r="J378" s="2">
        <v>45729</v>
      </c>
      <c r="K378" s="2">
        <v>45732</v>
      </c>
      <c r="L378" s="1">
        <v>3</v>
      </c>
      <c r="M378" s="1" t="s">
        <v>56</v>
      </c>
      <c r="N378" s="1" t="s">
        <v>39</v>
      </c>
      <c r="O378" s="4">
        <v>55219.49</v>
      </c>
      <c r="P378" s="1">
        <v>4</v>
      </c>
      <c r="Q378" s="10" t="s">
        <v>58</v>
      </c>
      <c r="R378" s="14" t="str" cm="1">
        <f t="array" ref="R378">_xlfn.IFS(C378&lt;18,"Under 18",C378&lt;36,"18-35",C378&lt;51,"36-50",C378&lt;66,"51-65",C378&gt;=66,"66+")</f>
        <v>51-65</v>
      </c>
      <c r="S378" s="18">
        <v>45717</v>
      </c>
    </row>
    <row r="379" spans="1:19">
      <c r="A379" s="21" t="s">
        <v>879</v>
      </c>
      <c r="B379" s="1" t="s">
        <v>443</v>
      </c>
      <c r="C379" s="1">
        <v>54</v>
      </c>
      <c r="D379" s="1" t="s">
        <v>19</v>
      </c>
      <c r="E379" s="1" t="s">
        <v>32</v>
      </c>
      <c r="F379" s="1" t="s">
        <v>75</v>
      </c>
      <c r="G379" s="1" t="s">
        <v>104</v>
      </c>
      <c r="H379" s="1" t="s">
        <v>23</v>
      </c>
      <c r="I379" s="1" t="s">
        <v>62</v>
      </c>
      <c r="J379" s="2">
        <v>45893</v>
      </c>
      <c r="K379" s="2">
        <v>45894</v>
      </c>
      <c r="L379" s="1">
        <v>1</v>
      </c>
      <c r="M379" s="1" t="s">
        <v>38</v>
      </c>
      <c r="N379" s="1" t="s">
        <v>57</v>
      </c>
      <c r="O379" s="4">
        <v>84024.6</v>
      </c>
      <c r="P379" s="1">
        <v>2</v>
      </c>
      <c r="Q379" s="10" t="s">
        <v>29</v>
      </c>
      <c r="R379" s="14" t="str" cm="1">
        <f t="array" ref="R379">_xlfn.IFS(C379&lt;18,"Under 18",C379&lt;36,"18-35",C379&lt;51,"36-50",C379&lt;66,"51-65",C379&gt;=66,"66+")</f>
        <v>51-65</v>
      </c>
      <c r="S379" s="18">
        <v>45870</v>
      </c>
    </row>
    <row r="380" spans="1:19">
      <c r="A380" s="21" t="s">
        <v>881</v>
      </c>
      <c r="B380" s="1" t="s">
        <v>659</v>
      </c>
      <c r="C380" s="1">
        <v>72</v>
      </c>
      <c r="D380" s="1" t="s">
        <v>43</v>
      </c>
      <c r="E380" s="1" t="s">
        <v>159</v>
      </c>
      <c r="F380" s="1" t="s">
        <v>67</v>
      </c>
      <c r="G380" s="1" t="s">
        <v>104</v>
      </c>
      <c r="H380" s="1" t="s">
        <v>99</v>
      </c>
      <c r="I380" s="1" t="s">
        <v>24</v>
      </c>
      <c r="J380" s="2">
        <v>46019</v>
      </c>
      <c r="K380" s="2">
        <v>46020</v>
      </c>
      <c r="L380" s="1">
        <v>1</v>
      </c>
      <c r="M380" s="1" t="s">
        <v>97</v>
      </c>
      <c r="N380" s="1" t="s">
        <v>85</v>
      </c>
      <c r="O380" s="4">
        <v>72064.34</v>
      </c>
      <c r="P380" s="1">
        <v>3</v>
      </c>
      <c r="Q380" s="10" t="s">
        <v>72</v>
      </c>
      <c r="R380" s="14" t="str" cm="1">
        <f t="array" ref="R380">_xlfn.IFS(C380&lt;18,"Under 18",C380&lt;36,"18-35",C380&lt;51,"36-50",C380&lt;66,"51-65",C380&gt;=66,"66+")</f>
        <v>66+</v>
      </c>
      <c r="S380" s="18">
        <v>45992</v>
      </c>
    </row>
    <row r="381" spans="1:19">
      <c r="A381" s="21" t="s">
        <v>882</v>
      </c>
      <c r="B381" s="1" t="s">
        <v>574</v>
      </c>
      <c r="C381" s="1">
        <v>1</v>
      </c>
      <c r="D381" s="1" t="s">
        <v>19</v>
      </c>
      <c r="E381" s="1" t="s">
        <v>32</v>
      </c>
      <c r="F381" s="1" t="s">
        <v>120</v>
      </c>
      <c r="G381" s="1" t="s">
        <v>68</v>
      </c>
      <c r="H381" s="1" t="s">
        <v>76</v>
      </c>
      <c r="I381" s="1" t="s">
        <v>62</v>
      </c>
      <c r="J381" s="2">
        <v>45560</v>
      </c>
      <c r="K381" s="2">
        <v>45564</v>
      </c>
      <c r="L381" s="1">
        <v>4</v>
      </c>
      <c r="M381" s="1" t="s">
        <v>48</v>
      </c>
      <c r="N381" s="1" t="s">
        <v>90</v>
      </c>
      <c r="O381" s="4">
        <v>25094.18</v>
      </c>
      <c r="P381" s="1">
        <v>5</v>
      </c>
      <c r="Q381" s="10" t="s">
        <v>40</v>
      </c>
      <c r="R381" s="14" t="str" cm="1">
        <f t="array" ref="R381">_xlfn.IFS(C381&lt;18,"Under 18",C381&lt;36,"18-35",C381&lt;51,"36-50",C381&lt;66,"51-65",C381&gt;=66,"66+")</f>
        <v>Under 18</v>
      </c>
      <c r="S381" s="18">
        <v>45536</v>
      </c>
    </row>
    <row r="382" spans="1:19">
      <c r="A382" s="21" t="s">
        <v>883</v>
      </c>
      <c r="B382" s="1" t="s">
        <v>324</v>
      </c>
      <c r="C382" s="1">
        <v>75</v>
      </c>
      <c r="D382" s="1" t="s">
        <v>43</v>
      </c>
      <c r="E382" s="1" t="s">
        <v>66</v>
      </c>
      <c r="F382" s="1" t="s">
        <v>67</v>
      </c>
      <c r="G382" s="1" t="s">
        <v>104</v>
      </c>
      <c r="H382" s="1" t="s">
        <v>45</v>
      </c>
      <c r="I382" s="1" t="s">
        <v>36</v>
      </c>
      <c r="J382" s="2">
        <v>45696</v>
      </c>
      <c r="K382" s="2">
        <v>45883</v>
      </c>
      <c r="L382" s="1">
        <v>12</v>
      </c>
      <c r="M382" s="1" t="s">
        <v>56</v>
      </c>
      <c r="N382" s="1" t="s">
        <v>82</v>
      </c>
      <c r="O382" s="4">
        <v>49054.7</v>
      </c>
      <c r="P382" s="1">
        <v>5</v>
      </c>
      <c r="Q382" s="10" t="s">
        <v>58</v>
      </c>
      <c r="R382" s="14" t="str" cm="1">
        <f t="array" ref="R382">_xlfn.IFS(C382&lt;18,"Under 18",C382&lt;36,"18-35",C382&lt;51,"36-50",C382&lt;66,"51-65",C382&gt;=66,"66+")</f>
        <v>66+</v>
      </c>
      <c r="S382" s="18">
        <v>45689</v>
      </c>
    </row>
    <row r="383" spans="1:19">
      <c r="A383" s="21" t="s">
        <v>884</v>
      </c>
      <c r="B383" s="1" t="s">
        <v>603</v>
      </c>
      <c r="C383" s="1">
        <v>89</v>
      </c>
      <c r="D383" s="1" t="s">
        <v>19</v>
      </c>
      <c r="E383" s="1" t="s">
        <v>66</v>
      </c>
      <c r="F383" s="1" t="s">
        <v>75</v>
      </c>
      <c r="G383" s="1" t="s">
        <v>53</v>
      </c>
      <c r="H383" s="1" t="s">
        <v>99</v>
      </c>
      <c r="I383" s="1" t="s">
        <v>24</v>
      </c>
      <c r="J383" s="2">
        <v>45657</v>
      </c>
      <c r="K383" s="2">
        <v>45658</v>
      </c>
      <c r="L383" s="1">
        <v>1</v>
      </c>
      <c r="M383" s="1" t="s">
        <v>56</v>
      </c>
      <c r="N383" s="1" t="s">
        <v>90</v>
      </c>
      <c r="O383" s="4">
        <v>55596.92</v>
      </c>
      <c r="P383" s="1">
        <v>5</v>
      </c>
      <c r="Q383" s="10" t="s">
        <v>40</v>
      </c>
      <c r="R383" s="14" t="str" cm="1">
        <f t="array" ref="R383">_xlfn.IFS(C383&lt;18,"Under 18",C383&lt;36,"18-35",C383&lt;51,"36-50",C383&lt;66,"51-65",C383&gt;=66,"66+")</f>
        <v>66+</v>
      </c>
      <c r="S383" s="18">
        <v>45627</v>
      </c>
    </row>
    <row r="384" spans="1:19">
      <c r="A384" s="21" t="s">
        <v>885</v>
      </c>
      <c r="B384" s="1" t="s">
        <v>190</v>
      </c>
      <c r="C384" s="1">
        <v>41</v>
      </c>
      <c r="D384" s="1" t="s">
        <v>27</v>
      </c>
      <c r="E384" s="1" t="s">
        <v>51</v>
      </c>
      <c r="F384" s="1" t="s">
        <v>120</v>
      </c>
      <c r="G384" s="1" t="s">
        <v>22</v>
      </c>
      <c r="H384" s="1" t="s">
        <v>23</v>
      </c>
      <c r="I384" s="1" t="s">
        <v>62</v>
      </c>
      <c r="J384" s="2">
        <v>45393</v>
      </c>
      <c r="K384" s="2">
        <v>45576</v>
      </c>
      <c r="L384" s="1">
        <v>6</v>
      </c>
      <c r="M384" s="1" t="s">
        <v>97</v>
      </c>
      <c r="N384" s="1" t="s">
        <v>57</v>
      </c>
      <c r="O384" s="4">
        <v>54343.4</v>
      </c>
      <c r="P384" s="1">
        <v>5</v>
      </c>
      <c r="Q384" s="10" t="s">
        <v>40</v>
      </c>
      <c r="R384" s="14" t="str" cm="1">
        <f t="array" ref="R384">_xlfn.IFS(C384&lt;18,"Under 18",C384&lt;36,"18-35",C384&lt;51,"36-50",C384&lt;66,"51-65",C384&gt;=66,"66+")</f>
        <v>36-50</v>
      </c>
      <c r="S384" s="18">
        <v>45383</v>
      </c>
    </row>
    <row r="385" spans="1:19">
      <c r="A385" s="21" t="s">
        <v>886</v>
      </c>
      <c r="B385" s="1" t="s">
        <v>636</v>
      </c>
      <c r="C385" s="1">
        <v>21</v>
      </c>
      <c r="D385" s="1" t="s">
        <v>19</v>
      </c>
      <c r="E385" s="1" t="s">
        <v>159</v>
      </c>
      <c r="F385" s="1" t="s">
        <v>120</v>
      </c>
      <c r="G385" s="1" t="s">
        <v>22</v>
      </c>
      <c r="H385" s="1" t="s">
        <v>76</v>
      </c>
      <c r="I385" s="1" t="s">
        <v>62</v>
      </c>
      <c r="J385" s="2">
        <v>45604</v>
      </c>
      <c r="K385" s="2">
        <v>45519</v>
      </c>
      <c r="L385" s="1">
        <v>4</v>
      </c>
      <c r="M385" s="1" t="s">
        <v>38</v>
      </c>
      <c r="N385" s="1" t="s">
        <v>85</v>
      </c>
      <c r="O385" s="4">
        <v>45615.87</v>
      </c>
      <c r="P385" s="1">
        <v>2</v>
      </c>
      <c r="Q385" s="10" t="s">
        <v>58</v>
      </c>
      <c r="R385" s="14" t="str" cm="1">
        <f t="array" ref="R385">_xlfn.IFS(C385&lt;18,"Under 18",C385&lt;36,"18-35",C385&lt;51,"36-50",C385&lt;66,"51-65",C385&gt;=66,"66+")</f>
        <v>18-35</v>
      </c>
      <c r="S385" s="18">
        <v>45597</v>
      </c>
    </row>
    <row r="386" spans="1:19">
      <c r="A386" s="21" t="s">
        <v>887</v>
      </c>
      <c r="B386" s="1" t="s">
        <v>361</v>
      </c>
      <c r="C386" s="1">
        <v>77</v>
      </c>
      <c r="D386" s="1" t="s">
        <v>27</v>
      </c>
      <c r="E386" s="1" t="s">
        <v>137</v>
      </c>
      <c r="F386" s="1" t="s">
        <v>75</v>
      </c>
      <c r="G386" s="1" t="s">
        <v>110</v>
      </c>
      <c r="H386" s="1" t="s">
        <v>45</v>
      </c>
      <c r="I386" s="1" t="s">
        <v>36</v>
      </c>
      <c r="J386" s="2">
        <v>45642</v>
      </c>
      <c r="K386" s="2">
        <v>45644</v>
      </c>
      <c r="L386" s="1">
        <v>2</v>
      </c>
      <c r="M386" s="1" t="s">
        <v>48</v>
      </c>
      <c r="N386" s="1" t="s">
        <v>28</v>
      </c>
      <c r="O386" s="4">
        <v>81149.34</v>
      </c>
      <c r="P386" s="1">
        <v>2</v>
      </c>
      <c r="Q386" s="10" t="s">
        <v>72</v>
      </c>
      <c r="R386" s="14" t="str" cm="1">
        <f t="array" ref="R386">_xlfn.IFS(C386&lt;18,"Under 18",C386&lt;36,"18-35",C386&lt;51,"36-50",C386&lt;66,"51-65",C386&gt;=66,"66+")</f>
        <v>66+</v>
      </c>
      <c r="S386" s="18">
        <v>45627</v>
      </c>
    </row>
    <row r="387" spans="1:19">
      <c r="A387" s="21" t="s">
        <v>889</v>
      </c>
      <c r="B387" s="1" t="s">
        <v>837</v>
      </c>
      <c r="C387" s="1">
        <v>61</v>
      </c>
      <c r="D387" s="1" t="s">
        <v>19</v>
      </c>
      <c r="E387" s="1" t="s">
        <v>247</v>
      </c>
      <c r="F387" s="1" t="s">
        <v>75</v>
      </c>
      <c r="G387" s="1" t="s">
        <v>22</v>
      </c>
      <c r="H387" s="1" t="s">
        <v>45</v>
      </c>
      <c r="I387" s="1" t="s">
        <v>36</v>
      </c>
      <c r="J387" s="2">
        <v>45551</v>
      </c>
      <c r="K387" s="2">
        <v>45552</v>
      </c>
      <c r="L387" s="1">
        <v>1</v>
      </c>
      <c r="M387" s="1" t="s">
        <v>56</v>
      </c>
      <c r="N387" s="1" t="s">
        <v>39</v>
      </c>
      <c r="O387" s="4">
        <v>79167.16</v>
      </c>
      <c r="P387" s="1">
        <v>3</v>
      </c>
      <c r="Q387" s="10" t="s">
        <v>40</v>
      </c>
      <c r="R387" s="14" t="str" cm="1">
        <f t="array" ref="R387">_xlfn.IFS(C387&lt;18,"Under 18",C387&lt;36,"18-35",C387&lt;51,"36-50",C387&lt;66,"51-65",C387&gt;=66,"66+")</f>
        <v>51-65</v>
      </c>
      <c r="S387" s="18">
        <v>45536</v>
      </c>
    </row>
    <row r="388" spans="1:19">
      <c r="A388" s="21" t="s">
        <v>891</v>
      </c>
      <c r="B388" s="1" t="s">
        <v>892</v>
      </c>
      <c r="C388" s="1">
        <v>75</v>
      </c>
      <c r="D388" s="1" t="s">
        <v>43</v>
      </c>
      <c r="E388" s="1" t="s">
        <v>51</v>
      </c>
      <c r="F388" s="1" t="s">
        <v>21</v>
      </c>
      <c r="G388" s="1" t="s">
        <v>132</v>
      </c>
      <c r="H388" s="1" t="s">
        <v>23</v>
      </c>
      <c r="I388" s="1" t="s">
        <v>24</v>
      </c>
      <c r="J388" s="2">
        <v>45652</v>
      </c>
      <c r="K388" s="2">
        <v>45809</v>
      </c>
      <c r="L388" s="1">
        <v>11</v>
      </c>
      <c r="M388" s="1" t="s">
        <v>56</v>
      </c>
      <c r="N388" s="1" t="s">
        <v>82</v>
      </c>
      <c r="O388" s="4">
        <v>67033.98</v>
      </c>
      <c r="P388" s="1">
        <v>2</v>
      </c>
      <c r="Q388" s="10" t="s">
        <v>29</v>
      </c>
      <c r="R388" s="14" t="str" cm="1">
        <f t="array" ref="R388">_xlfn.IFS(C388&lt;18,"Under 18",C388&lt;36,"18-35",C388&lt;51,"36-50",C388&lt;66,"51-65",C388&gt;=66,"66+")</f>
        <v>66+</v>
      </c>
      <c r="S388" s="18">
        <v>45627</v>
      </c>
    </row>
    <row r="389" spans="1:19">
      <c r="A389" s="21" t="s">
        <v>894</v>
      </c>
      <c r="B389" s="1" t="s">
        <v>412</v>
      </c>
      <c r="C389" s="1">
        <v>69</v>
      </c>
      <c r="D389" s="1" t="s">
        <v>19</v>
      </c>
      <c r="E389" s="1" t="s">
        <v>20</v>
      </c>
      <c r="F389" s="1" t="s">
        <v>67</v>
      </c>
      <c r="G389" s="1" t="s">
        <v>110</v>
      </c>
      <c r="H389" s="1" t="s">
        <v>93</v>
      </c>
      <c r="I389" s="1" t="s">
        <v>36</v>
      </c>
      <c r="J389" s="2">
        <v>45600</v>
      </c>
      <c r="K389" s="2">
        <v>45397</v>
      </c>
      <c r="L389" s="1">
        <v>4</v>
      </c>
      <c r="M389" s="1" t="s">
        <v>97</v>
      </c>
      <c r="N389" s="1" t="s">
        <v>28</v>
      </c>
      <c r="O389" s="4">
        <v>79309.13</v>
      </c>
      <c r="P389" s="1">
        <v>5</v>
      </c>
      <c r="Q389" s="10" t="s">
        <v>40</v>
      </c>
      <c r="R389" s="14" t="str" cm="1">
        <f t="array" ref="R389">_xlfn.IFS(C389&lt;18,"Under 18",C389&lt;36,"18-35",C389&lt;51,"36-50",C389&lt;66,"51-65",C389&gt;=66,"66+")</f>
        <v>66+</v>
      </c>
      <c r="S389" s="18">
        <v>45597</v>
      </c>
    </row>
    <row r="390" spans="1:19">
      <c r="A390" s="21" t="s">
        <v>895</v>
      </c>
      <c r="B390" s="1" t="s">
        <v>194</v>
      </c>
      <c r="C390" s="1">
        <v>16</v>
      </c>
      <c r="D390" s="1" t="s">
        <v>43</v>
      </c>
      <c r="E390" s="1" t="s">
        <v>137</v>
      </c>
      <c r="F390" s="1" t="s">
        <v>120</v>
      </c>
      <c r="G390" s="1" t="s">
        <v>68</v>
      </c>
      <c r="H390" s="1" t="s">
        <v>23</v>
      </c>
      <c r="I390" s="1" t="s">
        <v>62</v>
      </c>
      <c r="J390" s="2">
        <v>45404</v>
      </c>
      <c r="K390" s="2">
        <v>45405</v>
      </c>
      <c r="L390" s="1">
        <v>1</v>
      </c>
      <c r="M390" s="1" t="s">
        <v>27</v>
      </c>
      <c r="N390" s="1" t="s">
        <v>63</v>
      </c>
      <c r="O390" s="4">
        <v>64715.97</v>
      </c>
      <c r="P390" s="1">
        <v>2</v>
      </c>
      <c r="Q390" s="10" t="s">
        <v>40</v>
      </c>
      <c r="R390" s="14" t="str" cm="1">
        <f t="array" ref="R390">_xlfn.IFS(C390&lt;18,"Under 18",C390&lt;36,"18-35",C390&lt;51,"36-50",C390&lt;66,"51-65",C390&gt;=66,"66+")</f>
        <v>Under 18</v>
      </c>
      <c r="S390" s="18">
        <v>45383</v>
      </c>
    </row>
    <row r="391" spans="1:19">
      <c r="A391" s="21" t="s">
        <v>898</v>
      </c>
      <c r="B391" s="1" t="s">
        <v>519</v>
      </c>
      <c r="C391" s="1">
        <v>88</v>
      </c>
      <c r="D391" s="1" t="s">
        <v>43</v>
      </c>
      <c r="E391" s="1" t="s">
        <v>66</v>
      </c>
      <c r="F391" s="1" t="s">
        <v>75</v>
      </c>
      <c r="G391" s="1" t="s">
        <v>36</v>
      </c>
      <c r="H391" s="1" t="s">
        <v>61</v>
      </c>
      <c r="I391" s="1" t="s">
        <v>24</v>
      </c>
      <c r="J391" s="2">
        <v>45523</v>
      </c>
      <c r="K391" s="2">
        <v>45526</v>
      </c>
      <c r="L391" s="1">
        <v>3</v>
      </c>
      <c r="M391" s="1" t="s">
        <v>97</v>
      </c>
      <c r="N391" s="1" t="s">
        <v>63</v>
      </c>
      <c r="O391" s="4">
        <v>74544.479999999996</v>
      </c>
      <c r="P391" s="1">
        <v>5</v>
      </c>
      <c r="Q391" s="10" t="s">
        <v>72</v>
      </c>
      <c r="R391" s="14" t="str" cm="1">
        <f t="array" ref="R391">_xlfn.IFS(C391&lt;18,"Under 18",C391&lt;36,"18-35",C391&lt;51,"36-50",C391&lt;66,"51-65",C391&gt;=66,"66+")</f>
        <v>66+</v>
      </c>
      <c r="S391" s="18">
        <v>45505</v>
      </c>
    </row>
    <row r="392" spans="1:19">
      <c r="A392" s="21" t="s">
        <v>900</v>
      </c>
      <c r="B392" s="1" t="s">
        <v>234</v>
      </c>
      <c r="C392" s="1">
        <v>51</v>
      </c>
      <c r="D392" s="1" t="s">
        <v>43</v>
      </c>
      <c r="E392" s="1" t="s">
        <v>247</v>
      </c>
      <c r="F392" s="1" t="s">
        <v>21</v>
      </c>
      <c r="G392" s="1" t="s">
        <v>36</v>
      </c>
      <c r="H392" s="1" t="s">
        <v>76</v>
      </c>
      <c r="I392" s="1" t="s">
        <v>62</v>
      </c>
      <c r="J392" s="2">
        <v>45827</v>
      </c>
      <c r="K392" s="2">
        <v>45833</v>
      </c>
      <c r="L392" s="1">
        <v>6</v>
      </c>
      <c r="M392" s="1" t="s">
        <v>56</v>
      </c>
      <c r="N392" s="1" t="s">
        <v>90</v>
      </c>
      <c r="O392" s="4">
        <v>62737.71</v>
      </c>
      <c r="P392" s="1">
        <v>5</v>
      </c>
      <c r="Q392" s="10" t="s">
        <v>58</v>
      </c>
      <c r="R392" s="14" t="str" cm="1">
        <f t="array" ref="R392">_xlfn.IFS(C392&lt;18,"Under 18",C392&lt;36,"18-35",C392&lt;51,"36-50",C392&lt;66,"51-65",C392&gt;=66,"66+")</f>
        <v>51-65</v>
      </c>
      <c r="S392" s="18">
        <v>45809</v>
      </c>
    </row>
    <row r="393" spans="1:19">
      <c r="A393" s="21" t="s">
        <v>901</v>
      </c>
      <c r="B393" s="1" t="s">
        <v>538</v>
      </c>
      <c r="C393" s="1">
        <v>16</v>
      </c>
      <c r="D393" s="1" t="s">
        <v>19</v>
      </c>
      <c r="E393" s="1" t="s">
        <v>51</v>
      </c>
      <c r="F393" s="1" t="s">
        <v>120</v>
      </c>
      <c r="G393" s="1" t="s">
        <v>68</v>
      </c>
      <c r="H393" s="1" t="s">
        <v>76</v>
      </c>
      <c r="I393" s="1" t="s">
        <v>36</v>
      </c>
      <c r="J393" s="2">
        <v>45933</v>
      </c>
      <c r="K393" s="2">
        <v>45730</v>
      </c>
      <c r="L393" s="1">
        <v>4</v>
      </c>
      <c r="M393" s="1" t="s">
        <v>97</v>
      </c>
      <c r="N393" s="1" t="s">
        <v>28</v>
      </c>
      <c r="O393" s="4">
        <v>37995.1</v>
      </c>
      <c r="P393" s="1">
        <v>4</v>
      </c>
      <c r="Q393" s="10" t="s">
        <v>72</v>
      </c>
      <c r="R393" s="14" t="str" cm="1">
        <f t="array" ref="R393">_xlfn.IFS(C393&lt;18,"Under 18",C393&lt;36,"18-35",C393&lt;51,"36-50",C393&lt;66,"51-65",C393&gt;=66,"66+")</f>
        <v>Under 18</v>
      </c>
      <c r="S393" s="18">
        <v>45931</v>
      </c>
    </row>
    <row r="394" spans="1:19">
      <c r="A394" s="21" t="s">
        <v>902</v>
      </c>
      <c r="B394" s="1" t="s">
        <v>190</v>
      </c>
      <c r="C394" s="1">
        <v>33</v>
      </c>
      <c r="D394" s="1" t="s">
        <v>43</v>
      </c>
      <c r="E394" s="1" t="s">
        <v>137</v>
      </c>
      <c r="F394" s="1" t="s">
        <v>67</v>
      </c>
      <c r="G394" s="1" t="s">
        <v>22</v>
      </c>
      <c r="H394" s="1" t="s">
        <v>99</v>
      </c>
      <c r="I394" s="1" t="s">
        <v>24</v>
      </c>
      <c r="J394" s="2">
        <v>45801</v>
      </c>
      <c r="K394" s="2">
        <v>45806</v>
      </c>
      <c r="L394" s="1">
        <v>5</v>
      </c>
      <c r="M394" s="1" t="s">
        <v>38</v>
      </c>
      <c r="N394" s="1" t="s">
        <v>85</v>
      </c>
      <c r="O394" s="4">
        <v>72612.81</v>
      </c>
      <c r="P394" s="1">
        <v>4</v>
      </c>
      <c r="Q394" s="10" t="s">
        <v>40</v>
      </c>
      <c r="R394" s="14" t="str" cm="1">
        <f t="array" ref="R394">_xlfn.IFS(C394&lt;18,"Under 18",C394&lt;36,"18-35",C394&lt;51,"36-50",C394&lt;66,"51-65",C394&gt;=66,"66+")</f>
        <v>18-35</v>
      </c>
      <c r="S394" s="18">
        <v>45778</v>
      </c>
    </row>
    <row r="395" spans="1:19">
      <c r="A395" s="21" t="s">
        <v>903</v>
      </c>
      <c r="B395" s="1" t="s">
        <v>246</v>
      </c>
      <c r="C395" s="1">
        <v>80</v>
      </c>
      <c r="D395" s="1" t="s">
        <v>27</v>
      </c>
      <c r="E395" s="1" t="s">
        <v>51</v>
      </c>
      <c r="F395" s="1" t="s">
        <v>120</v>
      </c>
      <c r="G395" s="1" t="s">
        <v>104</v>
      </c>
      <c r="H395" s="1" t="s">
        <v>93</v>
      </c>
      <c r="I395" s="1" t="s">
        <v>24</v>
      </c>
      <c r="J395" s="2">
        <v>45508</v>
      </c>
      <c r="K395" s="2">
        <v>45396</v>
      </c>
      <c r="L395" s="1">
        <v>6</v>
      </c>
      <c r="M395" s="1" t="s">
        <v>27</v>
      </c>
      <c r="N395" s="1" t="s">
        <v>28</v>
      </c>
      <c r="O395" s="4">
        <v>26741.02</v>
      </c>
      <c r="P395" s="1">
        <v>4</v>
      </c>
      <c r="Q395" s="10" t="s">
        <v>72</v>
      </c>
      <c r="R395" s="14" t="str" cm="1">
        <f t="array" ref="R395">_xlfn.IFS(C395&lt;18,"Under 18",C395&lt;36,"18-35",C395&lt;51,"36-50",C395&lt;66,"51-65",C395&gt;=66,"66+")</f>
        <v>66+</v>
      </c>
      <c r="S395" s="18">
        <v>45505</v>
      </c>
    </row>
    <row r="396" spans="1:19">
      <c r="A396" s="21" t="s">
        <v>905</v>
      </c>
      <c r="B396" s="1" t="s">
        <v>310</v>
      </c>
      <c r="C396" s="1">
        <v>56</v>
      </c>
      <c r="D396" s="1" t="s">
        <v>19</v>
      </c>
      <c r="E396" s="1" t="s">
        <v>159</v>
      </c>
      <c r="F396" s="1" t="s">
        <v>33</v>
      </c>
      <c r="G396" s="1" t="s">
        <v>104</v>
      </c>
      <c r="H396" s="1" t="s">
        <v>99</v>
      </c>
      <c r="I396" s="1" t="s">
        <v>36</v>
      </c>
      <c r="J396" s="2">
        <v>45684</v>
      </c>
      <c r="K396" s="2">
        <v>45686</v>
      </c>
      <c r="L396" s="1">
        <v>2</v>
      </c>
      <c r="M396" s="1" t="s">
        <v>38</v>
      </c>
      <c r="N396" s="1" t="s">
        <v>63</v>
      </c>
      <c r="O396" s="4">
        <v>14398.77</v>
      </c>
      <c r="P396" s="1">
        <v>4</v>
      </c>
      <c r="Q396" s="10" t="s">
        <v>58</v>
      </c>
      <c r="R396" s="14" t="str" cm="1">
        <f t="array" ref="R396">_xlfn.IFS(C396&lt;18,"Under 18",C396&lt;36,"18-35",C396&lt;51,"36-50",C396&lt;66,"51-65",C396&gt;=66,"66+")</f>
        <v>51-65</v>
      </c>
      <c r="S396" s="18">
        <v>45658</v>
      </c>
    </row>
    <row r="397" spans="1:19">
      <c r="A397" s="21" t="s">
        <v>906</v>
      </c>
      <c r="B397" s="1" t="s">
        <v>585</v>
      </c>
      <c r="C397" s="1">
        <v>63</v>
      </c>
      <c r="D397" s="1" t="s">
        <v>19</v>
      </c>
      <c r="E397" s="1" t="s">
        <v>117</v>
      </c>
      <c r="F397" s="1" t="s">
        <v>33</v>
      </c>
      <c r="G397" s="1" t="s">
        <v>104</v>
      </c>
      <c r="H397" s="1" t="s">
        <v>93</v>
      </c>
      <c r="I397" s="1" t="s">
        <v>24</v>
      </c>
      <c r="J397" s="2">
        <v>45785</v>
      </c>
      <c r="K397" s="2">
        <v>45908</v>
      </c>
      <c r="L397" s="1">
        <v>4</v>
      </c>
      <c r="M397" s="1" t="s">
        <v>97</v>
      </c>
      <c r="N397" s="1" t="s">
        <v>90</v>
      </c>
      <c r="O397" s="4">
        <v>53044.65</v>
      </c>
      <c r="P397" s="1">
        <v>3</v>
      </c>
      <c r="Q397" s="10" t="s">
        <v>40</v>
      </c>
      <c r="R397" s="14" t="str" cm="1">
        <f t="array" ref="R397">_xlfn.IFS(C397&lt;18,"Under 18",C397&lt;36,"18-35",C397&lt;51,"36-50",C397&lt;66,"51-65",C397&gt;=66,"66+")</f>
        <v>51-65</v>
      </c>
      <c r="S397" s="18">
        <v>45778</v>
      </c>
    </row>
    <row r="398" spans="1:19">
      <c r="A398" s="21" t="s">
        <v>907</v>
      </c>
      <c r="B398" s="1" t="s">
        <v>419</v>
      </c>
      <c r="C398" s="1">
        <v>37</v>
      </c>
      <c r="D398" s="1" t="s">
        <v>43</v>
      </c>
      <c r="E398" s="1" t="s">
        <v>32</v>
      </c>
      <c r="F398" s="1" t="s">
        <v>33</v>
      </c>
      <c r="G398" s="1" t="s">
        <v>53</v>
      </c>
      <c r="H398" s="1" t="s">
        <v>88</v>
      </c>
      <c r="I398" s="1" t="s">
        <v>62</v>
      </c>
      <c r="J398" s="2">
        <v>45354</v>
      </c>
      <c r="K398" s="2">
        <v>45507</v>
      </c>
      <c r="L398" s="1">
        <v>5</v>
      </c>
      <c r="M398" s="1" t="s">
        <v>38</v>
      </c>
      <c r="N398" s="1" t="s">
        <v>57</v>
      </c>
      <c r="O398" s="4">
        <v>122683.56</v>
      </c>
      <c r="P398" s="1">
        <v>5</v>
      </c>
      <c r="Q398" s="10" t="s">
        <v>40</v>
      </c>
      <c r="R398" s="14" t="str" cm="1">
        <f t="array" ref="R398">_xlfn.IFS(C398&lt;18,"Under 18",C398&lt;36,"18-35",C398&lt;51,"36-50",C398&lt;66,"51-65",C398&gt;=66,"66+")</f>
        <v>36-50</v>
      </c>
      <c r="S398" s="18">
        <v>45352</v>
      </c>
    </row>
    <row r="399" spans="1:19">
      <c r="A399" s="21" t="s">
        <v>908</v>
      </c>
      <c r="B399" s="1" t="s">
        <v>909</v>
      </c>
      <c r="C399" s="1">
        <v>8</v>
      </c>
      <c r="D399" s="1" t="s">
        <v>27</v>
      </c>
      <c r="E399" s="1" t="s">
        <v>51</v>
      </c>
      <c r="F399" s="1" t="s">
        <v>120</v>
      </c>
      <c r="G399" s="1" t="s">
        <v>22</v>
      </c>
      <c r="H399" s="1" t="s">
        <v>45</v>
      </c>
      <c r="I399" s="1" t="s">
        <v>36</v>
      </c>
      <c r="J399" s="2">
        <v>45482</v>
      </c>
      <c r="K399" s="2">
        <v>45544</v>
      </c>
      <c r="L399" s="1">
        <v>2</v>
      </c>
      <c r="M399" s="1" t="s">
        <v>97</v>
      </c>
      <c r="N399" s="1" t="s">
        <v>63</v>
      </c>
      <c r="O399" s="4">
        <v>75432.62</v>
      </c>
      <c r="P399" s="1">
        <v>2</v>
      </c>
      <c r="Q399" s="10" t="s">
        <v>58</v>
      </c>
      <c r="R399" s="14" t="str" cm="1">
        <f t="array" ref="R399">_xlfn.IFS(C399&lt;18,"Under 18",C399&lt;36,"18-35",C399&lt;51,"36-50",C399&lt;66,"51-65",C399&gt;=66,"66+")</f>
        <v>Under 18</v>
      </c>
      <c r="S399" s="18">
        <v>45474</v>
      </c>
    </row>
    <row r="400" spans="1:19">
      <c r="A400" s="21" t="s">
        <v>910</v>
      </c>
      <c r="B400" s="1" t="s">
        <v>194</v>
      </c>
      <c r="C400" s="1">
        <v>73</v>
      </c>
      <c r="D400" s="1" t="s">
        <v>27</v>
      </c>
      <c r="E400" s="1" t="s">
        <v>20</v>
      </c>
      <c r="F400" s="1" t="s">
        <v>120</v>
      </c>
      <c r="G400" s="1" t="s">
        <v>34</v>
      </c>
      <c r="H400" s="1" t="s">
        <v>88</v>
      </c>
      <c r="I400" s="1" t="s">
        <v>62</v>
      </c>
      <c r="J400" s="2">
        <v>45841</v>
      </c>
      <c r="K400" s="2">
        <v>45872</v>
      </c>
      <c r="L400" s="1">
        <v>1</v>
      </c>
      <c r="M400" s="1" t="s">
        <v>27</v>
      </c>
      <c r="N400" s="1" t="s">
        <v>39</v>
      </c>
      <c r="O400" s="4">
        <v>61391.3</v>
      </c>
      <c r="P400" s="1">
        <v>4</v>
      </c>
      <c r="Q400" s="10" t="s">
        <v>40</v>
      </c>
      <c r="R400" s="14" t="str" cm="1">
        <f t="array" ref="R400">_xlfn.IFS(C400&lt;18,"Under 18",C400&lt;36,"18-35",C400&lt;51,"36-50",C400&lt;66,"51-65",C400&gt;=66,"66+")</f>
        <v>66+</v>
      </c>
      <c r="S400" s="18">
        <v>45839</v>
      </c>
    </row>
    <row r="401" spans="1:19">
      <c r="A401" s="21" t="s">
        <v>911</v>
      </c>
      <c r="B401" s="1" t="s">
        <v>308</v>
      </c>
      <c r="C401" s="1">
        <v>22</v>
      </c>
      <c r="D401" s="1" t="s">
        <v>27</v>
      </c>
      <c r="E401" s="1" t="s">
        <v>20</v>
      </c>
      <c r="F401" s="1" t="s">
        <v>67</v>
      </c>
      <c r="G401" s="1" t="s">
        <v>22</v>
      </c>
      <c r="H401" s="1" t="s">
        <v>23</v>
      </c>
      <c r="I401" s="1" t="s">
        <v>24</v>
      </c>
      <c r="J401" s="2">
        <v>45333</v>
      </c>
      <c r="K401" s="2">
        <v>45484</v>
      </c>
      <c r="L401" s="1">
        <v>5</v>
      </c>
      <c r="M401" s="1" t="s">
        <v>48</v>
      </c>
      <c r="N401" s="1" t="s">
        <v>63</v>
      </c>
      <c r="O401" s="4">
        <v>27627.85</v>
      </c>
      <c r="P401" s="1">
        <v>3</v>
      </c>
      <c r="Q401" s="10" t="s">
        <v>72</v>
      </c>
      <c r="R401" s="14" t="str" cm="1">
        <f t="array" ref="R401">_xlfn.IFS(C401&lt;18,"Under 18",C401&lt;36,"18-35",C401&lt;51,"36-50",C401&lt;66,"51-65",C401&gt;=66,"66+")</f>
        <v>18-35</v>
      </c>
      <c r="S401" s="18">
        <v>45323</v>
      </c>
    </row>
    <row r="402" spans="1:19">
      <c r="A402" s="21" t="s">
        <v>912</v>
      </c>
      <c r="B402" s="1" t="s">
        <v>339</v>
      </c>
      <c r="C402" s="1">
        <v>76</v>
      </c>
      <c r="D402" s="1" t="s">
        <v>43</v>
      </c>
      <c r="E402" s="1" t="s">
        <v>137</v>
      </c>
      <c r="F402" s="1" t="s">
        <v>52</v>
      </c>
      <c r="G402" s="1" t="s">
        <v>36</v>
      </c>
      <c r="H402" s="1" t="s">
        <v>61</v>
      </c>
      <c r="I402" s="1" t="s">
        <v>24</v>
      </c>
      <c r="J402" s="2">
        <v>45453</v>
      </c>
      <c r="K402" s="2">
        <v>45606</v>
      </c>
      <c r="L402" s="1">
        <v>5</v>
      </c>
      <c r="M402" s="1" t="s">
        <v>38</v>
      </c>
      <c r="N402" s="1" t="s">
        <v>85</v>
      </c>
      <c r="O402" s="4">
        <v>37354.1</v>
      </c>
      <c r="P402" s="1">
        <v>2</v>
      </c>
      <c r="Q402" s="10" t="s">
        <v>58</v>
      </c>
      <c r="R402" s="14" t="str" cm="1">
        <f t="array" ref="R402">_xlfn.IFS(C402&lt;18,"Under 18",C402&lt;36,"18-35",C402&lt;51,"36-50",C402&lt;66,"51-65",C402&gt;=66,"66+")</f>
        <v>66+</v>
      </c>
      <c r="S402" s="18">
        <v>45444</v>
      </c>
    </row>
    <row r="403" spans="1:19">
      <c r="A403" s="21" t="s">
        <v>913</v>
      </c>
      <c r="B403" s="1" t="s">
        <v>315</v>
      </c>
      <c r="C403" s="1">
        <v>52</v>
      </c>
      <c r="D403" s="1" t="s">
        <v>43</v>
      </c>
      <c r="E403" s="1" t="s">
        <v>159</v>
      </c>
      <c r="F403" s="1" t="s">
        <v>120</v>
      </c>
      <c r="G403" s="1" t="s">
        <v>110</v>
      </c>
      <c r="H403" s="1" t="s">
        <v>99</v>
      </c>
      <c r="I403" s="1" t="s">
        <v>24</v>
      </c>
      <c r="J403" s="2">
        <v>45667</v>
      </c>
      <c r="K403" s="2">
        <v>45757</v>
      </c>
      <c r="L403" s="1">
        <v>3</v>
      </c>
      <c r="M403" s="1" t="s">
        <v>27</v>
      </c>
      <c r="N403" s="1" t="s">
        <v>39</v>
      </c>
      <c r="O403" s="4">
        <v>96268.26</v>
      </c>
      <c r="P403" s="1">
        <v>3</v>
      </c>
      <c r="Q403" s="10" t="s">
        <v>58</v>
      </c>
      <c r="R403" s="14" t="str" cm="1">
        <f t="array" ref="R403">_xlfn.IFS(C403&lt;18,"Under 18",C403&lt;36,"18-35",C403&lt;51,"36-50",C403&lt;66,"51-65",C403&gt;=66,"66+")</f>
        <v>51-65</v>
      </c>
      <c r="S403" s="18">
        <v>45658</v>
      </c>
    </row>
    <row r="404" spans="1:19">
      <c r="A404" s="21" t="s">
        <v>914</v>
      </c>
      <c r="B404" s="1" t="s">
        <v>494</v>
      </c>
      <c r="C404" s="1">
        <v>73</v>
      </c>
      <c r="D404" s="1" t="s">
        <v>27</v>
      </c>
      <c r="E404" s="1" t="s">
        <v>247</v>
      </c>
      <c r="F404" s="1" t="s">
        <v>75</v>
      </c>
      <c r="G404" s="1" t="s">
        <v>110</v>
      </c>
      <c r="H404" s="1" t="s">
        <v>61</v>
      </c>
      <c r="I404" s="1" t="s">
        <v>24</v>
      </c>
      <c r="J404" s="2">
        <v>45726</v>
      </c>
      <c r="K404" s="2">
        <v>45848</v>
      </c>
      <c r="L404" s="1">
        <v>4</v>
      </c>
      <c r="M404" s="1" t="s">
        <v>56</v>
      </c>
      <c r="N404" s="1" t="s">
        <v>39</v>
      </c>
      <c r="O404" s="4">
        <v>41757.69</v>
      </c>
      <c r="P404" s="1">
        <v>3</v>
      </c>
      <c r="Q404" s="10" t="s">
        <v>58</v>
      </c>
      <c r="R404" s="14" t="str" cm="1">
        <f t="array" ref="R404">_xlfn.IFS(C404&lt;18,"Under 18",C404&lt;36,"18-35",C404&lt;51,"36-50",C404&lt;66,"51-65",C404&gt;=66,"66+")</f>
        <v>66+</v>
      </c>
      <c r="S404" s="18">
        <v>45717</v>
      </c>
    </row>
    <row r="405" spans="1:19">
      <c r="A405" s="21" t="s">
        <v>915</v>
      </c>
      <c r="B405" s="1" t="s">
        <v>712</v>
      </c>
      <c r="C405" s="1">
        <v>35</v>
      </c>
      <c r="D405" s="1" t="s">
        <v>43</v>
      </c>
      <c r="E405" s="1" t="s">
        <v>159</v>
      </c>
      <c r="F405" s="1" t="s">
        <v>33</v>
      </c>
      <c r="G405" s="1" t="s">
        <v>36</v>
      </c>
      <c r="H405" s="1" t="s">
        <v>61</v>
      </c>
      <c r="I405" s="1" t="s">
        <v>24</v>
      </c>
      <c r="J405" s="2">
        <v>45953</v>
      </c>
      <c r="K405" s="2">
        <v>45955</v>
      </c>
      <c r="L405" s="1">
        <v>2</v>
      </c>
      <c r="M405" s="1" t="s">
        <v>97</v>
      </c>
      <c r="N405" s="1" t="s">
        <v>57</v>
      </c>
      <c r="O405" s="4">
        <v>20289.78</v>
      </c>
      <c r="P405" s="1">
        <v>3</v>
      </c>
      <c r="Q405" s="10" t="s">
        <v>72</v>
      </c>
      <c r="R405" s="14" t="str" cm="1">
        <f t="array" ref="R405">_xlfn.IFS(C405&lt;18,"Under 18",C405&lt;36,"18-35",C405&lt;51,"36-50",C405&lt;66,"51-65",C405&gt;=66,"66+")</f>
        <v>18-35</v>
      </c>
      <c r="S405" s="18">
        <v>45931</v>
      </c>
    </row>
    <row r="406" spans="1:19">
      <c r="A406" s="21" t="s">
        <v>916</v>
      </c>
      <c r="B406" s="1" t="s">
        <v>857</v>
      </c>
      <c r="C406" s="1">
        <v>26</v>
      </c>
      <c r="D406" s="1" t="s">
        <v>19</v>
      </c>
      <c r="E406" s="1" t="s">
        <v>202</v>
      </c>
      <c r="F406" s="1" t="s">
        <v>75</v>
      </c>
      <c r="G406" s="1" t="s">
        <v>68</v>
      </c>
      <c r="H406" s="1" t="s">
        <v>23</v>
      </c>
      <c r="I406" s="1" t="s">
        <v>62</v>
      </c>
      <c r="J406" s="2">
        <v>45453</v>
      </c>
      <c r="K406" s="2">
        <v>45483</v>
      </c>
      <c r="L406" s="1">
        <v>1</v>
      </c>
      <c r="M406" s="1" t="s">
        <v>27</v>
      </c>
      <c r="N406" s="1" t="s">
        <v>82</v>
      </c>
      <c r="O406" s="4">
        <v>24846.92</v>
      </c>
      <c r="P406" s="1">
        <v>5</v>
      </c>
      <c r="Q406" s="10" t="s">
        <v>72</v>
      </c>
      <c r="R406" s="14" t="str" cm="1">
        <f t="array" ref="R406">_xlfn.IFS(C406&lt;18,"Under 18",C406&lt;36,"18-35",C406&lt;51,"36-50",C406&lt;66,"51-65",C406&gt;=66,"66+")</f>
        <v>18-35</v>
      </c>
      <c r="S406" s="18">
        <v>45444</v>
      </c>
    </row>
    <row r="407" spans="1:19">
      <c r="A407" s="21" t="s">
        <v>917</v>
      </c>
      <c r="B407" s="1" t="s">
        <v>79</v>
      </c>
      <c r="C407" s="1">
        <v>53</v>
      </c>
      <c r="D407" s="1" t="s">
        <v>43</v>
      </c>
      <c r="E407" s="1" t="s">
        <v>159</v>
      </c>
      <c r="F407" s="1" t="s">
        <v>75</v>
      </c>
      <c r="G407" s="1" t="s">
        <v>132</v>
      </c>
      <c r="H407" s="1" t="s">
        <v>45</v>
      </c>
      <c r="I407" s="1" t="s">
        <v>36</v>
      </c>
      <c r="J407" s="2">
        <v>45979</v>
      </c>
      <c r="K407" s="2">
        <v>45989</v>
      </c>
      <c r="L407" s="1">
        <v>10</v>
      </c>
      <c r="M407" s="1" t="s">
        <v>27</v>
      </c>
      <c r="N407" s="1" t="s">
        <v>28</v>
      </c>
      <c r="O407" s="4">
        <v>67101.320000000007</v>
      </c>
      <c r="P407" s="1">
        <v>4</v>
      </c>
      <c r="Q407" s="10" t="s">
        <v>40</v>
      </c>
      <c r="R407" s="14" t="str" cm="1">
        <f t="array" ref="R407">_xlfn.IFS(C407&lt;18,"Under 18",C407&lt;36,"18-35",C407&lt;51,"36-50",C407&lt;66,"51-65",C407&gt;=66,"66+")</f>
        <v>51-65</v>
      </c>
      <c r="S407" s="18">
        <v>45962</v>
      </c>
    </row>
    <row r="408" spans="1:19">
      <c r="A408" s="21" t="s">
        <v>919</v>
      </c>
      <c r="B408" s="1" t="s">
        <v>920</v>
      </c>
      <c r="C408" s="1">
        <v>43</v>
      </c>
      <c r="D408" s="1" t="s">
        <v>27</v>
      </c>
      <c r="E408" s="1" t="s">
        <v>137</v>
      </c>
      <c r="F408" s="1" t="s">
        <v>120</v>
      </c>
      <c r="G408" s="1" t="s">
        <v>132</v>
      </c>
      <c r="H408" s="1" t="s">
        <v>35</v>
      </c>
      <c r="I408" s="1" t="s">
        <v>24</v>
      </c>
      <c r="J408" s="2">
        <v>45718</v>
      </c>
      <c r="K408" s="2">
        <v>45932</v>
      </c>
      <c r="L408" s="1">
        <v>7</v>
      </c>
      <c r="M408" s="1" t="s">
        <v>48</v>
      </c>
      <c r="N408" s="1" t="s">
        <v>57</v>
      </c>
      <c r="O408" s="4">
        <v>19797.419999999998</v>
      </c>
      <c r="P408" s="1">
        <v>3</v>
      </c>
      <c r="Q408" s="10" t="s">
        <v>40</v>
      </c>
      <c r="R408" s="14" t="str" cm="1">
        <f t="array" ref="R408">_xlfn.IFS(C408&lt;18,"Under 18",C408&lt;36,"18-35",C408&lt;51,"36-50",C408&lt;66,"51-65",C408&gt;=66,"66+")</f>
        <v>36-50</v>
      </c>
      <c r="S408" s="18">
        <v>45717</v>
      </c>
    </row>
    <row r="409" spans="1:19">
      <c r="A409" s="21" t="s">
        <v>921</v>
      </c>
      <c r="B409" s="1" t="s">
        <v>396</v>
      </c>
      <c r="C409" s="1">
        <v>90</v>
      </c>
      <c r="D409" s="1" t="s">
        <v>19</v>
      </c>
      <c r="E409" s="1" t="s">
        <v>44</v>
      </c>
      <c r="F409" s="1" t="s">
        <v>75</v>
      </c>
      <c r="G409" s="1" t="s">
        <v>68</v>
      </c>
      <c r="H409" s="1" t="s">
        <v>35</v>
      </c>
      <c r="I409" s="1" t="s">
        <v>24</v>
      </c>
      <c r="J409" s="2">
        <v>45616</v>
      </c>
      <c r="K409" s="2">
        <v>45619</v>
      </c>
      <c r="L409" s="1">
        <v>3</v>
      </c>
      <c r="M409" s="1" t="s">
        <v>48</v>
      </c>
      <c r="N409" s="1" t="s">
        <v>63</v>
      </c>
      <c r="O409" s="4">
        <v>38498.85</v>
      </c>
      <c r="P409" s="1">
        <v>5</v>
      </c>
      <c r="Q409" s="10" t="s">
        <v>29</v>
      </c>
      <c r="R409" s="14" t="str" cm="1">
        <f t="array" ref="R409">_xlfn.IFS(C409&lt;18,"Under 18",C409&lt;36,"18-35",C409&lt;51,"36-50",C409&lt;66,"51-65",C409&gt;=66,"66+")</f>
        <v>66+</v>
      </c>
      <c r="S409" s="18">
        <v>45597</v>
      </c>
    </row>
    <row r="410" spans="1:19">
      <c r="A410" s="21" t="s">
        <v>922</v>
      </c>
      <c r="B410" s="1" t="s">
        <v>216</v>
      </c>
      <c r="C410" s="1">
        <v>33</v>
      </c>
      <c r="D410" s="1" t="s">
        <v>27</v>
      </c>
      <c r="E410" s="1" t="s">
        <v>137</v>
      </c>
      <c r="F410" s="1" t="s">
        <v>120</v>
      </c>
      <c r="G410" s="1" t="s">
        <v>22</v>
      </c>
      <c r="H410" s="1" t="s">
        <v>23</v>
      </c>
      <c r="I410" s="1" t="s">
        <v>62</v>
      </c>
      <c r="J410" s="2">
        <v>45685</v>
      </c>
      <c r="K410" s="2">
        <v>45690</v>
      </c>
      <c r="L410" s="1">
        <v>5</v>
      </c>
      <c r="M410" s="1" t="s">
        <v>48</v>
      </c>
      <c r="N410" s="1" t="s">
        <v>39</v>
      </c>
      <c r="O410" s="4">
        <v>75287.56</v>
      </c>
      <c r="P410" s="1">
        <v>5</v>
      </c>
      <c r="Q410" s="10" t="s">
        <v>29</v>
      </c>
      <c r="R410" s="14" t="str" cm="1">
        <f t="array" ref="R410">_xlfn.IFS(C410&lt;18,"Under 18",C410&lt;36,"18-35",C410&lt;51,"36-50",C410&lt;66,"51-65",C410&gt;=66,"66+")</f>
        <v>18-35</v>
      </c>
      <c r="S410" s="18">
        <v>45658</v>
      </c>
    </row>
    <row r="411" spans="1:19">
      <c r="A411" s="21" t="s">
        <v>923</v>
      </c>
      <c r="B411" s="1" t="s">
        <v>670</v>
      </c>
      <c r="C411" s="1">
        <v>39</v>
      </c>
      <c r="D411" s="1" t="s">
        <v>19</v>
      </c>
      <c r="E411" s="1" t="s">
        <v>137</v>
      </c>
      <c r="F411" s="1" t="s">
        <v>120</v>
      </c>
      <c r="G411" s="1" t="s">
        <v>36</v>
      </c>
      <c r="H411" s="1" t="s">
        <v>99</v>
      </c>
      <c r="I411" s="1" t="s">
        <v>24</v>
      </c>
      <c r="J411" s="2">
        <v>45456</v>
      </c>
      <c r="K411" s="2">
        <v>45461</v>
      </c>
      <c r="L411" s="1">
        <v>5</v>
      </c>
      <c r="M411" s="1" t="s">
        <v>97</v>
      </c>
      <c r="N411" s="1" t="s">
        <v>39</v>
      </c>
      <c r="O411" s="4">
        <v>32004.67</v>
      </c>
      <c r="P411" s="1">
        <v>2</v>
      </c>
      <c r="Q411" s="10" t="s">
        <v>72</v>
      </c>
      <c r="R411" s="14" t="str" cm="1">
        <f t="array" ref="R411">_xlfn.IFS(C411&lt;18,"Under 18",C411&lt;36,"18-35",C411&lt;51,"36-50",C411&lt;66,"51-65",C411&gt;=66,"66+")</f>
        <v>36-50</v>
      </c>
      <c r="S411" s="18">
        <v>45444</v>
      </c>
    </row>
    <row r="412" spans="1:19">
      <c r="A412" s="21" t="s">
        <v>924</v>
      </c>
      <c r="B412" s="1" t="s">
        <v>162</v>
      </c>
      <c r="C412" s="1">
        <v>21</v>
      </c>
      <c r="D412" s="1" t="s">
        <v>27</v>
      </c>
      <c r="E412" s="1" t="s">
        <v>66</v>
      </c>
      <c r="F412" s="1" t="s">
        <v>75</v>
      </c>
      <c r="G412" s="1" t="s">
        <v>53</v>
      </c>
      <c r="H412" s="1" t="s">
        <v>93</v>
      </c>
      <c r="I412" s="1" t="s">
        <v>62</v>
      </c>
      <c r="J412" s="2">
        <v>45559</v>
      </c>
      <c r="K412" s="2">
        <v>45560</v>
      </c>
      <c r="L412" s="1">
        <v>1</v>
      </c>
      <c r="M412" s="1" t="s">
        <v>56</v>
      </c>
      <c r="N412" s="1" t="s">
        <v>63</v>
      </c>
      <c r="O412" s="4">
        <v>118333.2</v>
      </c>
      <c r="P412" s="1">
        <v>4</v>
      </c>
      <c r="Q412" s="10" t="s">
        <v>40</v>
      </c>
      <c r="R412" s="14" t="str" cm="1">
        <f t="array" ref="R412">_xlfn.IFS(C412&lt;18,"Under 18",C412&lt;36,"18-35",C412&lt;51,"36-50",C412&lt;66,"51-65",C412&gt;=66,"66+")</f>
        <v>18-35</v>
      </c>
      <c r="S412" s="18">
        <v>45536</v>
      </c>
    </row>
    <row r="413" spans="1:19">
      <c r="A413" s="21" t="s">
        <v>925</v>
      </c>
      <c r="B413" s="1" t="s">
        <v>613</v>
      </c>
      <c r="C413" s="1">
        <v>41</v>
      </c>
      <c r="D413" s="1" t="s">
        <v>27</v>
      </c>
      <c r="E413" s="1" t="s">
        <v>117</v>
      </c>
      <c r="F413" s="1" t="s">
        <v>21</v>
      </c>
      <c r="G413" s="1" t="s">
        <v>110</v>
      </c>
      <c r="H413" s="1" t="s">
        <v>69</v>
      </c>
      <c r="I413" s="1" t="s">
        <v>24</v>
      </c>
      <c r="J413" s="2">
        <v>45376</v>
      </c>
      <c r="K413" s="2">
        <v>45377</v>
      </c>
      <c r="L413" s="1">
        <v>1</v>
      </c>
      <c r="M413" s="1" t="s">
        <v>27</v>
      </c>
      <c r="N413" s="1" t="s">
        <v>39</v>
      </c>
      <c r="O413" s="4">
        <v>118744.24</v>
      </c>
      <c r="P413" s="1">
        <v>3</v>
      </c>
      <c r="Q413" s="10" t="s">
        <v>40</v>
      </c>
      <c r="R413" s="14" t="str" cm="1">
        <f t="array" ref="R413">_xlfn.IFS(C413&lt;18,"Under 18",C413&lt;36,"18-35",C413&lt;51,"36-50",C413&lt;66,"51-65",C413&gt;=66,"66+")</f>
        <v>36-50</v>
      </c>
      <c r="S413" s="18">
        <v>45352</v>
      </c>
    </row>
    <row r="414" spans="1:19">
      <c r="A414" s="21" t="s">
        <v>928</v>
      </c>
      <c r="B414" s="1" t="s">
        <v>423</v>
      </c>
      <c r="C414" s="1">
        <v>37</v>
      </c>
      <c r="D414" s="1" t="s">
        <v>19</v>
      </c>
      <c r="E414" s="1" t="s">
        <v>32</v>
      </c>
      <c r="F414" s="1" t="s">
        <v>33</v>
      </c>
      <c r="G414" s="1" t="s">
        <v>36</v>
      </c>
      <c r="H414" s="1" t="s">
        <v>69</v>
      </c>
      <c r="I414" s="1" t="s">
        <v>36</v>
      </c>
      <c r="J414" s="2">
        <v>45378</v>
      </c>
      <c r="K414" s="2">
        <v>45381</v>
      </c>
      <c r="L414" s="1">
        <v>3</v>
      </c>
      <c r="M414" s="1" t="s">
        <v>38</v>
      </c>
      <c r="N414" s="1" t="s">
        <v>63</v>
      </c>
      <c r="O414" s="4">
        <v>28387.56</v>
      </c>
      <c r="P414" s="1">
        <v>5</v>
      </c>
      <c r="Q414" s="10" t="s">
        <v>29</v>
      </c>
      <c r="R414" s="14" t="str" cm="1">
        <f t="array" ref="R414">_xlfn.IFS(C414&lt;18,"Under 18",C414&lt;36,"18-35",C414&lt;51,"36-50",C414&lt;66,"51-65",C414&gt;=66,"66+")</f>
        <v>36-50</v>
      </c>
      <c r="S414" s="18">
        <v>45352</v>
      </c>
    </row>
    <row r="415" spans="1:19">
      <c r="A415" s="21" t="s">
        <v>931</v>
      </c>
      <c r="B415" s="1" t="s">
        <v>806</v>
      </c>
      <c r="C415" s="1">
        <v>7</v>
      </c>
      <c r="D415" s="1" t="s">
        <v>43</v>
      </c>
      <c r="E415" s="1" t="s">
        <v>159</v>
      </c>
      <c r="F415" s="1" t="s">
        <v>75</v>
      </c>
      <c r="G415" s="1" t="s">
        <v>53</v>
      </c>
      <c r="H415" s="1" t="s">
        <v>35</v>
      </c>
      <c r="I415" s="1" t="s">
        <v>36</v>
      </c>
      <c r="J415" s="2">
        <v>45924</v>
      </c>
      <c r="K415" s="2">
        <v>45929</v>
      </c>
      <c r="L415" s="1">
        <v>5</v>
      </c>
      <c r="M415" s="1" t="s">
        <v>56</v>
      </c>
      <c r="N415" s="1" t="s">
        <v>85</v>
      </c>
      <c r="O415" s="4">
        <v>105949.1</v>
      </c>
      <c r="P415" s="1">
        <v>5</v>
      </c>
      <c r="Q415" s="10" t="s">
        <v>40</v>
      </c>
      <c r="R415" s="14" t="str" cm="1">
        <f t="array" ref="R415">_xlfn.IFS(C415&lt;18,"Under 18",C415&lt;36,"18-35",C415&lt;51,"36-50",C415&lt;66,"51-65",C415&gt;=66,"66+")</f>
        <v>Under 18</v>
      </c>
      <c r="S415" s="18">
        <v>45901</v>
      </c>
    </row>
    <row r="416" spans="1:19">
      <c r="A416" s="21" t="s">
        <v>933</v>
      </c>
      <c r="B416" s="1" t="s">
        <v>553</v>
      </c>
      <c r="C416" s="1">
        <v>37</v>
      </c>
      <c r="D416" s="1" t="s">
        <v>27</v>
      </c>
      <c r="E416" s="1" t="s">
        <v>66</v>
      </c>
      <c r="F416" s="1" t="s">
        <v>75</v>
      </c>
      <c r="G416" s="1" t="s">
        <v>132</v>
      </c>
      <c r="H416" s="1" t="s">
        <v>105</v>
      </c>
      <c r="I416" s="1" t="s">
        <v>62</v>
      </c>
      <c r="J416" s="2">
        <v>45798</v>
      </c>
      <c r="K416" s="2">
        <v>45799</v>
      </c>
      <c r="L416" s="1">
        <v>1</v>
      </c>
      <c r="M416" s="1" t="s">
        <v>38</v>
      </c>
      <c r="N416" s="1" t="s">
        <v>85</v>
      </c>
      <c r="O416" s="4">
        <v>65049.69</v>
      </c>
      <c r="P416" s="1">
        <v>3</v>
      </c>
      <c r="Q416" s="10" t="s">
        <v>58</v>
      </c>
      <c r="R416" s="14" t="str" cm="1">
        <f t="array" ref="R416">_xlfn.IFS(C416&lt;18,"Under 18",C416&lt;36,"18-35",C416&lt;51,"36-50",C416&lt;66,"51-65",C416&gt;=66,"66+")</f>
        <v>36-50</v>
      </c>
      <c r="S416" s="18">
        <v>45778</v>
      </c>
    </row>
    <row r="417" spans="1:19">
      <c r="A417" s="21" t="s">
        <v>935</v>
      </c>
      <c r="B417" s="1" t="s">
        <v>172</v>
      </c>
      <c r="C417" s="1">
        <v>32</v>
      </c>
      <c r="D417" s="1" t="s">
        <v>43</v>
      </c>
      <c r="E417" s="1" t="s">
        <v>137</v>
      </c>
      <c r="F417" s="1" t="s">
        <v>52</v>
      </c>
      <c r="G417" s="1" t="s">
        <v>104</v>
      </c>
      <c r="H417" s="1" t="s">
        <v>35</v>
      </c>
      <c r="I417" s="1" t="s">
        <v>62</v>
      </c>
      <c r="J417" s="2">
        <v>45888</v>
      </c>
      <c r="K417" s="2">
        <v>45894</v>
      </c>
      <c r="L417" s="1">
        <v>6</v>
      </c>
      <c r="M417" s="1" t="s">
        <v>27</v>
      </c>
      <c r="N417" s="1" t="s">
        <v>82</v>
      </c>
      <c r="O417" s="4">
        <v>75615.37</v>
      </c>
      <c r="P417" s="1">
        <v>5</v>
      </c>
      <c r="Q417" s="10" t="s">
        <v>72</v>
      </c>
      <c r="R417" s="14" t="str" cm="1">
        <f t="array" ref="R417">_xlfn.IFS(C417&lt;18,"Under 18",C417&lt;36,"18-35",C417&lt;51,"36-50",C417&lt;66,"51-65",C417&gt;=66,"66+")</f>
        <v>18-35</v>
      </c>
      <c r="S417" s="18">
        <v>45870</v>
      </c>
    </row>
    <row r="418" spans="1:19">
      <c r="A418" s="21" t="s">
        <v>936</v>
      </c>
      <c r="B418" s="1" t="s">
        <v>253</v>
      </c>
      <c r="C418" s="1">
        <v>13</v>
      </c>
      <c r="D418" s="1" t="s">
        <v>27</v>
      </c>
      <c r="E418" s="1" t="s">
        <v>117</v>
      </c>
      <c r="F418" s="1" t="s">
        <v>67</v>
      </c>
      <c r="G418" s="1" t="s">
        <v>53</v>
      </c>
      <c r="H418" s="1" t="s">
        <v>69</v>
      </c>
      <c r="I418" s="1" t="s">
        <v>24</v>
      </c>
      <c r="J418" s="2">
        <v>45294</v>
      </c>
      <c r="K418" s="2">
        <v>45385</v>
      </c>
      <c r="L418" s="1">
        <v>3</v>
      </c>
      <c r="M418" s="1" t="s">
        <v>97</v>
      </c>
      <c r="N418" s="1" t="s">
        <v>82</v>
      </c>
      <c r="O418" s="4">
        <v>166820.32999999999</v>
      </c>
      <c r="P418" s="1">
        <v>4</v>
      </c>
      <c r="Q418" s="10" t="s">
        <v>58</v>
      </c>
      <c r="R418" s="14" t="str" cm="1">
        <f t="array" ref="R418">_xlfn.IFS(C418&lt;18,"Under 18",C418&lt;36,"18-35",C418&lt;51,"36-50",C418&lt;66,"51-65",C418&gt;=66,"66+")</f>
        <v>Under 18</v>
      </c>
      <c r="S418" s="18">
        <v>45292</v>
      </c>
    </row>
    <row r="419" spans="1:19">
      <c r="A419" s="21" t="s">
        <v>937</v>
      </c>
      <c r="B419" s="1" t="s">
        <v>557</v>
      </c>
      <c r="C419" s="1">
        <v>86</v>
      </c>
      <c r="D419" s="1" t="s">
        <v>43</v>
      </c>
      <c r="E419" s="1" t="s">
        <v>51</v>
      </c>
      <c r="F419" s="1" t="s">
        <v>33</v>
      </c>
      <c r="G419" s="1" t="s">
        <v>110</v>
      </c>
      <c r="H419" s="1" t="s">
        <v>23</v>
      </c>
      <c r="I419" s="1" t="s">
        <v>36</v>
      </c>
      <c r="J419" s="2">
        <v>45427</v>
      </c>
      <c r="K419" s="2">
        <v>45428</v>
      </c>
      <c r="L419" s="1">
        <v>1</v>
      </c>
      <c r="M419" s="1" t="s">
        <v>38</v>
      </c>
      <c r="N419" s="1" t="s">
        <v>28</v>
      </c>
      <c r="O419" s="4">
        <v>72218.28</v>
      </c>
      <c r="P419" s="1">
        <v>4</v>
      </c>
      <c r="Q419" s="10" t="s">
        <v>40</v>
      </c>
      <c r="R419" s="14" t="str" cm="1">
        <f t="array" ref="R419">_xlfn.IFS(C419&lt;18,"Under 18",C419&lt;36,"18-35",C419&lt;51,"36-50",C419&lt;66,"51-65",C419&gt;=66,"66+")</f>
        <v>66+</v>
      </c>
      <c r="S419" s="18">
        <v>45413</v>
      </c>
    </row>
    <row r="420" spans="1:19">
      <c r="A420" s="21" t="s">
        <v>939</v>
      </c>
      <c r="B420" s="1" t="s">
        <v>176</v>
      </c>
      <c r="C420" s="1">
        <v>6</v>
      </c>
      <c r="D420" s="1" t="s">
        <v>19</v>
      </c>
      <c r="E420" s="1" t="s">
        <v>137</v>
      </c>
      <c r="F420" s="1" t="s">
        <v>21</v>
      </c>
      <c r="G420" s="1" t="s">
        <v>68</v>
      </c>
      <c r="H420" s="1" t="s">
        <v>105</v>
      </c>
      <c r="I420" s="1" t="s">
        <v>62</v>
      </c>
      <c r="J420" s="2">
        <v>45803</v>
      </c>
      <c r="K420" s="2">
        <v>45694</v>
      </c>
      <c r="L420" s="1">
        <v>7</v>
      </c>
      <c r="M420" s="1" t="s">
        <v>97</v>
      </c>
      <c r="N420" s="1" t="s">
        <v>39</v>
      </c>
      <c r="O420" s="4">
        <v>56744</v>
      </c>
      <c r="P420" s="1">
        <v>5</v>
      </c>
      <c r="Q420" s="10" t="s">
        <v>29</v>
      </c>
      <c r="R420" s="14" t="str" cm="1">
        <f t="array" ref="R420">_xlfn.IFS(C420&lt;18,"Under 18",C420&lt;36,"18-35",C420&lt;51,"36-50",C420&lt;66,"51-65",C420&gt;=66,"66+")</f>
        <v>Under 18</v>
      </c>
      <c r="S420" s="18">
        <v>45778</v>
      </c>
    </row>
    <row r="421" spans="1:19">
      <c r="A421" s="21" t="s">
        <v>940</v>
      </c>
      <c r="B421" s="1" t="s">
        <v>335</v>
      </c>
      <c r="C421" s="1">
        <v>72</v>
      </c>
      <c r="D421" s="1" t="s">
        <v>27</v>
      </c>
      <c r="E421" s="1" t="s">
        <v>32</v>
      </c>
      <c r="F421" s="1" t="s">
        <v>33</v>
      </c>
      <c r="G421" s="1" t="s">
        <v>132</v>
      </c>
      <c r="H421" s="1" t="s">
        <v>35</v>
      </c>
      <c r="I421" s="1" t="s">
        <v>36</v>
      </c>
      <c r="J421" s="2">
        <v>45943</v>
      </c>
      <c r="K421" s="2">
        <v>45944</v>
      </c>
      <c r="L421" s="1">
        <v>1</v>
      </c>
      <c r="M421" s="1" t="s">
        <v>97</v>
      </c>
      <c r="N421" s="1" t="s">
        <v>82</v>
      </c>
      <c r="O421" s="4">
        <v>14617.94</v>
      </c>
      <c r="P421" s="1">
        <v>3</v>
      </c>
      <c r="Q421" s="10" t="s">
        <v>58</v>
      </c>
      <c r="R421" s="14" t="str" cm="1">
        <f t="array" ref="R421">_xlfn.IFS(C421&lt;18,"Under 18",C421&lt;36,"18-35",C421&lt;51,"36-50",C421&lt;66,"51-65",C421&gt;=66,"66+")</f>
        <v>66+</v>
      </c>
      <c r="S421" s="18">
        <v>45931</v>
      </c>
    </row>
    <row r="422" spans="1:19">
      <c r="A422" s="21" t="s">
        <v>941</v>
      </c>
      <c r="B422" s="1" t="s">
        <v>204</v>
      </c>
      <c r="C422" s="1">
        <v>59</v>
      </c>
      <c r="D422" s="1" t="s">
        <v>43</v>
      </c>
      <c r="E422" s="1" t="s">
        <v>44</v>
      </c>
      <c r="F422" s="1" t="s">
        <v>75</v>
      </c>
      <c r="G422" s="1" t="s">
        <v>110</v>
      </c>
      <c r="H422" s="1" t="s">
        <v>35</v>
      </c>
      <c r="I422" s="1" t="s">
        <v>24</v>
      </c>
      <c r="J422" s="2">
        <v>45407</v>
      </c>
      <c r="K422" s="2">
        <v>45408</v>
      </c>
      <c r="L422" s="1">
        <v>1</v>
      </c>
      <c r="M422" s="1" t="s">
        <v>27</v>
      </c>
      <c r="N422" s="1" t="s">
        <v>85</v>
      </c>
      <c r="O422" s="4">
        <v>129507.03</v>
      </c>
      <c r="P422" s="1">
        <v>4</v>
      </c>
      <c r="Q422" s="10" t="s">
        <v>58</v>
      </c>
      <c r="R422" s="14" t="str" cm="1">
        <f t="array" ref="R422">_xlfn.IFS(C422&lt;18,"Under 18",C422&lt;36,"18-35",C422&lt;51,"36-50",C422&lt;66,"51-65",C422&gt;=66,"66+")</f>
        <v>51-65</v>
      </c>
      <c r="S422" s="18">
        <v>45383</v>
      </c>
    </row>
    <row r="423" spans="1:19">
      <c r="A423" s="21" t="s">
        <v>943</v>
      </c>
      <c r="B423" s="1" t="s">
        <v>749</v>
      </c>
      <c r="C423" s="1">
        <v>10</v>
      </c>
      <c r="D423" s="1" t="s">
        <v>19</v>
      </c>
      <c r="E423" s="1" t="s">
        <v>66</v>
      </c>
      <c r="F423" s="1" t="s">
        <v>75</v>
      </c>
      <c r="G423" s="1" t="s">
        <v>68</v>
      </c>
      <c r="H423" s="1" t="s">
        <v>45</v>
      </c>
      <c r="I423" s="1" t="s">
        <v>36</v>
      </c>
      <c r="J423" s="2">
        <v>45802</v>
      </c>
      <c r="K423" s="2">
        <v>45803</v>
      </c>
      <c r="L423" s="1">
        <v>1</v>
      </c>
      <c r="M423" s="1" t="s">
        <v>97</v>
      </c>
      <c r="N423" s="1" t="s">
        <v>39</v>
      </c>
      <c r="O423" s="4">
        <v>40774.400000000001</v>
      </c>
      <c r="P423" s="1">
        <v>4</v>
      </c>
      <c r="Q423" s="10" t="s">
        <v>58</v>
      </c>
      <c r="R423" s="14" t="str" cm="1">
        <f t="array" ref="R423">_xlfn.IFS(C423&lt;18,"Under 18",C423&lt;36,"18-35",C423&lt;51,"36-50",C423&lt;66,"51-65",C423&gt;=66,"66+")</f>
        <v>Under 18</v>
      </c>
      <c r="S423" s="18">
        <v>45778</v>
      </c>
    </row>
    <row r="424" spans="1:19">
      <c r="A424" s="21" t="s">
        <v>944</v>
      </c>
      <c r="B424" s="1" t="s">
        <v>453</v>
      </c>
      <c r="C424" s="1">
        <v>59</v>
      </c>
      <c r="D424" s="1" t="s">
        <v>27</v>
      </c>
      <c r="E424" s="1" t="s">
        <v>20</v>
      </c>
      <c r="F424" s="1" t="s">
        <v>75</v>
      </c>
      <c r="G424" s="1" t="s">
        <v>34</v>
      </c>
      <c r="H424" s="1" t="s">
        <v>69</v>
      </c>
      <c r="I424" s="1" t="s">
        <v>24</v>
      </c>
      <c r="J424" s="2">
        <v>45332</v>
      </c>
      <c r="K424" s="2">
        <v>45514</v>
      </c>
      <c r="L424" s="1">
        <v>6</v>
      </c>
      <c r="M424" s="1" t="s">
        <v>38</v>
      </c>
      <c r="N424" s="1" t="s">
        <v>82</v>
      </c>
      <c r="O424" s="4">
        <v>121506.3</v>
      </c>
      <c r="P424" s="1">
        <v>5</v>
      </c>
      <c r="Q424" s="10" t="s">
        <v>72</v>
      </c>
      <c r="R424" s="14" t="str" cm="1">
        <f t="array" ref="R424">_xlfn.IFS(C424&lt;18,"Under 18",C424&lt;36,"18-35",C424&lt;51,"36-50",C424&lt;66,"51-65",C424&gt;=66,"66+")</f>
        <v>51-65</v>
      </c>
      <c r="S424" s="18">
        <v>45323</v>
      </c>
    </row>
    <row r="425" spans="1:19">
      <c r="A425" s="21" t="s">
        <v>945</v>
      </c>
      <c r="B425" s="1" t="s">
        <v>553</v>
      </c>
      <c r="C425" s="1">
        <v>10</v>
      </c>
      <c r="D425" s="1" t="s">
        <v>27</v>
      </c>
      <c r="E425" s="1" t="s">
        <v>137</v>
      </c>
      <c r="F425" s="1" t="s">
        <v>120</v>
      </c>
      <c r="G425" s="1" t="s">
        <v>132</v>
      </c>
      <c r="H425" s="1" t="s">
        <v>76</v>
      </c>
      <c r="I425" s="1" t="s">
        <v>24</v>
      </c>
      <c r="J425" s="2">
        <v>45878</v>
      </c>
      <c r="K425" s="2">
        <v>45909</v>
      </c>
      <c r="L425" s="1">
        <v>1</v>
      </c>
      <c r="M425" s="1" t="s">
        <v>56</v>
      </c>
      <c r="N425" s="1" t="s">
        <v>28</v>
      </c>
      <c r="O425" s="4">
        <v>18510.75</v>
      </c>
      <c r="P425" s="1">
        <v>5</v>
      </c>
      <c r="Q425" s="10" t="s">
        <v>40</v>
      </c>
      <c r="R425" s="14" t="str" cm="1">
        <f t="array" ref="R425">_xlfn.IFS(C425&lt;18,"Under 18",C425&lt;36,"18-35",C425&lt;51,"36-50",C425&lt;66,"51-65",C425&gt;=66,"66+")</f>
        <v>Under 18</v>
      </c>
      <c r="S425" s="18">
        <v>45870</v>
      </c>
    </row>
    <row r="426" spans="1:19">
      <c r="A426" s="21" t="s">
        <v>946</v>
      </c>
      <c r="B426" s="1" t="s">
        <v>538</v>
      </c>
      <c r="C426" s="1">
        <v>63</v>
      </c>
      <c r="D426" s="1" t="s">
        <v>43</v>
      </c>
      <c r="E426" s="1" t="s">
        <v>117</v>
      </c>
      <c r="F426" s="1" t="s">
        <v>67</v>
      </c>
      <c r="G426" s="1" t="s">
        <v>22</v>
      </c>
      <c r="H426" s="1" t="s">
        <v>88</v>
      </c>
      <c r="I426" s="1" t="s">
        <v>24</v>
      </c>
      <c r="J426" s="2">
        <v>45609</v>
      </c>
      <c r="K426" s="2">
        <v>45614</v>
      </c>
      <c r="L426" s="1">
        <v>5</v>
      </c>
      <c r="M426" s="1" t="s">
        <v>97</v>
      </c>
      <c r="N426" s="1" t="s">
        <v>28</v>
      </c>
      <c r="O426" s="4">
        <v>49423.69</v>
      </c>
      <c r="P426" s="1">
        <v>4</v>
      </c>
      <c r="Q426" s="10" t="s">
        <v>58</v>
      </c>
      <c r="R426" s="14" t="str" cm="1">
        <f t="array" ref="R426">_xlfn.IFS(C426&lt;18,"Under 18",C426&lt;36,"18-35",C426&lt;51,"36-50",C426&lt;66,"51-65",C426&gt;=66,"66+")</f>
        <v>51-65</v>
      </c>
      <c r="S426" s="18">
        <v>45597</v>
      </c>
    </row>
    <row r="427" spans="1:19">
      <c r="A427" s="21" t="s">
        <v>947</v>
      </c>
      <c r="B427" s="1" t="s">
        <v>194</v>
      </c>
      <c r="C427" s="1">
        <v>48</v>
      </c>
      <c r="D427" s="1" t="s">
        <v>27</v>
      </c>
      <c r="E427" s="1" t="s">
        <v>117</v>
      </c>
      <c r="F427" s="1" t="s">
        <v>33</v>
      </c>
      <c r="G427" s="1" t="s">
        <v>53</v>
      </c>
      <c r="H427" s="1" t="s">
        <v>93</v>
      </c>
      <c r="I427" s="1" t="s">
        <v>62</v>
      </c>
      <c r="J427" s="2">
        <v>45542</v>
      </c>
      <c r="K427" s="2">
        <v>45487</v>
      </c>
      <c r="L427" s="1">
        <v>5</v>
      </c>
      <c r="M427" s="1" t="s">
        <v>48</v>
      </c>
      <c r="N427" s="1" t="s">
        <v>39</v>
      </c>
      <c r="O427" s="4">
        <v>109431.52</v>
      </c>
      <c r="P427" s="1">
        <v>5</v>
      </c>
      <c r="Q427" s="10" t="s">
        <v>58</v>
      </c>
      <c r="R427" s="14" t="str" cm="1">
        <f t="array" ref="R427">_xlfn.IFS(C427&lt;18,"Under 18",C427&lt;36,"18-35",C427&lt;51,"36-50",C427&lt;66,"51-65",C427&gt;=66,"66+")</f>
        <v>36-50</v>
      </c>
      <c r="S427" s="18">
        <v>45536</v>
      </c>
    </row>
    <row r="428" spans="1:19">
      <c r="A428" s="21" t="s">
        <v>948</v>
      </c>
      <c r="B428" s="1" t="s">
        <v>542</v>
      </c>
      <c r="C428" s="1">
        <v>39</v>
      </c>
      <c r="D428" s="1" t="s">
        <v>19</v>
      </c>
      <c r="E428" s="1" t="s">
        <v>51</v>
      </c>
      <c r="F428" s="1" t="s">
        <v>33</v>
      </c>
      <c r="G428" s="1" t="s">
        <v>36</v>
      </c>
      <c r="H428" s="1" t="s">
        <v>105</v>
      </c>
      <c r="I428" s="1" t="s">
        <v>62</v>
      </c>
      <c r="J428" s="2">
        <v>45570</v>
      </c>
      <c r="K428" s="2">
        <v>45436</v>
      </c>
      <c r="L428" s="1">
        <v>14</v>
      </c>
      <c r="M428" s="1" t="s">
        <v>48</v>
      </c>
      <c r="N428" s="1" t="s">
        <v>57</v>
      </c>
      <c r="O428" s="4">
        <v>66878.880000000005</v>
      </c>
      <c r="P428" s="1">
        <v>4</v>
      </c>
      <c r="Q428" s="10" t="s">
        <v>40</v>
      </c>
      <c r="R428" s="14" t="str" cm="1">
        <f t="array" ref="R428">_xlfn.IFS(C428&lt;18,"Under 18",C428&lt;36,"18-35",C428&lt;51,"36-50",C428&lt;66,"51-65",C428&gt;=66,"66+")</f>
        <v>36-50</v>
      </c>
      <c r="S428" s="18">
        <v>45566</v>
      </c>
    </row>
    <row r="429" spans="1:19">
      <c r="A429" s="21" t="s">
        <v>949</v>
      </c>
      <c r="B429" s="1" t="s">
        <v>656</v>
      </c>
      <c r="C429" s="1">
        <v>46</v>
      </c>
      <c r="D429" s="1" t="s">
        <v>43</v>
      </c>
      <c r="E429" s="1" t="s">
        <v>159</v>
      </c>
      <c r="F429" s="1" t="s">
        <v>67</v>
      </c>
      <c r="G429" s="1" t="s">
        <v>110</v>
      </c>
      <c r="H429" s="1" t="s">
        <v>76</v>
      </c>
      <c r="I429" s="1" t="s">
        <v>62</v>
      </c>
      <c r="J429" s="2">
        <v>45891</v>
      </c>
      <c r="K429" s="2">
        <v>45898</v>
      </c>
      <c r="L429" s="1">
        <v>7</v>
      </c>
      <c r="M429" s="1" t="s">
        <v>38</v>
      </c>
      <c r="N429" s="1" t="s">
        <v>39</v>
      </c>
      <c r="O429" s="4">
        <v>24097.9</v>
      </c>
      <c r="P429" s="1">
        <v>5</v>
      </c>
      <c r="Q429" s="10" t="s">
        <v>29</v>
      </c>
      <c r="R429" s="14" t="str" cm="1">
        <f t="array" ref="R429">_xlfn.IFS(C429&lt;18,"Under 18",C429&lt;36,"18-35",C429&lt;51,"36-50",C429&lt;66,"51-65",C429&gt;=66,"66+")</f>
        <v>36-50</v>
      </c>
      <c r="S429" s="18">
        <v>45870</v>
      </c>
    </row>
    <row r="430" spans="1:19">
      <c r="A430" s="21" t="s">
        <v>951</v>
      </c>
      <c r="B430" s="1" t="s">
        <v>335</v>
      </c>
      <c r="C430" s="1">
        <v>28</v>
      </c>
      <c r="D430" s="1" t="s">
        <v>19</v>
      </c>
      <c r="E430" s="1" t="s">
        <v>44</v>
      </c>
      <c r="F430" s="1" t="s">
        <v>52</v>
      </c>
      <c r="G430" s="1" t="s">
        <v>34</v>
      </c>
      <c r="H430" s="1" t="s">
        <v>99</v>
      </c>
      <c r="I430" s="1" t="s">
        <v>62</v>
      </c>
      <c r="J430" s="2">
        <v>45372</v>
      </c>
      <c r="K430" s="2">
        <v>45378</v>
      </c>
      <c r="L430" s="1">
        <v>6</v>
      </c>
      <c r="M430" s="1" t="s">
        <v>38</v>
      </c>
      <c r="N430" s="1" t="s">
        <v>90</v>
      </c>
      <c r="O430" s="4">
        <v>49485.11</v>
      </c>
      <c r="P430" s="1">
        <v>4</v>
      </c>
      <c r="Q430" s="10" t="s">
        <v>40</v>
      </c>
      <c r="R430" s="14" t="str" cm="1">
        <f t="array" ref="R430">_xlfn.IFS(C430&lt;18,"Under 18",C430&lt;36,"18-35",C430&lt;51,"36-50",C430&lt;66,"51-65",C430&gt;=66,"66+")</f>
        <v>18-35</v>
      </c>
      <c r="S430" s="18">
        <v>45352</v>
      </c>
    </row>
    <row r="431" spans="1:19">
      <c r="A431" s="21" t="s">
        <v>953</v>
      </c>
      <c r="B431" s="1" t="s">
        <v>954</v>
      </c>
      <c r="C431" s="1">
        <v>89</v>
      </c>
      <c r="D431" s="1" t="s">
        <v>27</v>
      </c>
      <c r="E431" s="1" t="s">
        <v>20</v>
      </c>
      <c r="F431" s="1" t="s">
        <v>33</v>
      </c>
      <c r="G431" s="1" t="s">
        <v>110</v>
      </c>
      <c r="H431" s="1" t="s">
        <v>35</v>
      </c>
      <c r="I431" s="1" t="s">
        <v>24</v>
      </c>
      <c r="J431" s="2">
        <v>45850</v>
      </c>
      <c r="K431" s="2">
        <v>45942</v>
      </c>
      <c r="L431" s="1">
        <v>3</v>
      </c>
      <c r="M431" s="1" t="s">
        <v>56</v>
      </c>
      <c r="N431" s="1" t="s">
        <v>63</v>
      </c>
      <c r="O431" s="4">
        <v>16926.21</v>
      </c>
      <c r="P431" s="1">
        <v>1</v>
      </c>
      <c r="Q431" s="10" t="s">
        <v>29</v>
      </c>
      <c r="R431" s="14" t="str" cm="1">
        <f t="array" ref="R431">_xlfn.IFS(C431&lt;18,"Under 18",C431&lt;36,"18-35",C431&lt;51,"36-50",C431&lt;66,"51-65",C431&gt;=66,"66+")</f>
        <v>66+</v>
      </c>
      <c r="S431" s="18">
        <v>45839</v>
      </c>
    </row>
    <row r="432" spans="1:19">
      <c r="A432" s="21" t="s">
        <v>955</v>
      </c>
      <c r="B432" s="1" t="s">
        <v>295</v>
      </c>
      <c r="C432" s="1">
        <v>56</v>
      </c>
      <c r="D432" s="1" t="s">
        <v>27</v>
      </c>
      <c r="E432" s="1" t="s">
        <v>159</v>
      </c>
      <c r="F432" s="1" t="s">
        <v>75</v>
      </c>
      <c r="G432" s="1" t="s">
        <v>110</v>
      </c>
      <c r="H432" s="1" t="s">
        <v>93</v>
      </c>
      <c r="I432" s="1" t="s">
        <v>62</v>
      </c>
      <c r="J432" s="2">
        <v>45784</v>
      </c>
      <c r="K432" s="2">
        <v>45815</v>
      </c>
      <c r="L432" s="1">
        <v>1</v>
      </c>
      <c r="M432" s="1" t="s">
        <v>27</v>
      </c>
      <c r="N432" s="1" t="s">
        <v>85</v>
      </c>
      <c r="O432" s="4">
        <v>55842.32</v>
      </c>
      <c r="P432" s="1">
        <v>5</v>
      </c>
      <c r="Q432" s="10" t="s">
        <v>29</v>
      </c>
      <c r="R432" s="14" t="str" cm="1">
        <f t="array" ref="R432">_xlfn.IFS(C432&lt;18,"Under 18",C432&lt;36,"18-35",C432&lt;51,"36-50",C432&lt;66,"51-65",C432&gt;=66,"66+")</f>
        <v>51-65</v>
      </c>
      <c r="S432" s="18">
        <v>45778</v>
      </c>
    </row>
    <row r="433" spans="1:19">
      <c r="A433" s="21" t="s">
        <v>956</v>
      </c>
      <c r="B433" s="1" t="s">
        <v>437</v>
      </c>
      <c r="C433" s="1">
        <v>38</v>
      </c>
      <c r="D433" s="1" t="s">
        <v>27</v>
      </c>
      <c r="E433" s="1" t="s">
        <v>202</v>
      </c>
      <c r="F433" s="1" t="s">
        <v>33</v>
      </c>
      <c r="G433" s="1" t="s">
        <v>36</v>
      </c>
      <c r="H433" s="1" t="s">
        <v>76</v>
      </c>
      <c r="I433" s="1" t="s">
        <v>62</v>
      </c>
      <c r="J433" s="2">
        <v>45779</v>
      </c>
      <c r="K433" s="2">
        <v>45871</v>
      </c>
      <c r="L433" s="1">
        <v>3</v>
      </c>
      <c r="M433" s="1" t="s">
        <v>97</v>
      </c>
      <c r="N433" s="1" t="s">
        <v>90</v>
      </c>
      <c r="O433" s="4">
        <v>73948.990000000005</v>
      </c>
      <c r="P433" s="1">
        <v>5</v>
      </c>
      <c r="Q433" s="10" t="s">
        <v>58</v>
      </c>
      <c r="R433" s="14" t="str" cm="1">
        <f t="array" ref="R433">_xlfn.IFS(C433&lt;18,"Under 18",C433&lt;36,"18-35",C433&lt;51,"36-50",C433&lt;66,"51-65",C433&gt;=66,"66+")</f>
        <v>36-50</v>
      </c>
      <c r="S433" s="18">
        <v>45778</v>
      </c>
    </row>
    <row r="434" spans="1:19">
      <c r="A434" s="21" t="s">
        <v>957</v>
      </c>
      <c r="B434" s="1" t="s">
        <v>194</v>
      </c>
      <c r="C434" s="1">
        <v>30</v>
      </c>
      <c r="D434" s="1" t="s">
        <v>27</v>
      </c>
      <c r="E434" s="1" t="s">
        <v>159</v>
      </c>
      <c r="F434" s="1" t="s">
        <v>67</v>
      </c>
      <c r="G434" s="1" t="s">
        <v>22</v>
      </c>
      <c r="H434" s="1" t="s">
        <v>105</v>
      </c>
      <c r="I434" s="1" t="s">
        <v>24</v>
      </c>
      <c r="J434" s="2">
        <v>45354</v>
      </c>
      <c r="K434" s="2">
        <v>45385</v>
      </c>
      <c r="L434" s="1">
        <v>1</v>
      </c>
      <c r="M434" s="1" t="s">
        <v>38</v>
      </c>
      <c r="N434" s="1" t="s">
        <v>57</v>
      </c>
      <c r="O434" s="4">
        <v>77180.039999999994</v>
      </c>
      <c r="P434" s="1">
        <v>4</v>
      </c>
      <c r="Q434" s="10" t="s">
        <v>58</v>
      </c>
      <c r="R434" s="14" t="str" cm="1">
        <f t="array" ref="R434">_xlfn.IFS(C434&lt;18,"Under 18",C434&lt;36,"18-35",C434&lt;51,"36-50",C434&lt;66,"51-65",C434&gt;=66,"66+")</f>
        <v>18-35</v>
      </c>
      <c r="S434" s="18">
        <v>45352</v>
      </c>
    </row>
    <row r="435" spans="1:19">
      <c r="A435" s="21" t="s">
        <v>958</v>
      </c>
      <c r="B435" s="1" t="s">
        <v>656</v>
      </c>
      <c r="C435" s="1">
        <v>3</v>
      </c>
      <c r="D435" s="1" t="s">
        <v>19</v>
      </c>
      <c r="E435" s="1" t="s">
        <v>66</v>
      </c>
      <c r="F435" s="1" t="s">
        <v>120</v>
      </c>
      <c r="G435" s="1" t="s">
        <v>132</v>
      </c>
      <c r="H435" s="1" t="s">
        <v>23</v>
      </c>
      <c r="I435" s="1" t="s">
        <v>24</v>
      </c>
      <c r="J435" s="2">
        <v>45586</v>
      </c>
      <c r="K435" s="2">
        <v>45588</v>
      </c>
      <c r="L435" s="1">
        <v>2</v>
      </c>
      <c r="M435" s="1" t="s">
        <v>97</v>
      </c>
      <c r="N435" s="1" t="s">
        <v>57</v>
      </c>
      <c r="O435" s="4">
        <v>28038.27</v>
      </c>
      <c r="P435" s="1">
        <v>5</v>
      </c>
      <c r="Q435" s="10" t="s">
        <v>40</v>
      </c>
      <c r="R435" s="14" t="str" cm="1">
        <f t="array" ref="R435">_xlfn.IFS(C435&lt;18,"Under 18",C435&lt;36,"18-35",C435&lt;51,"36-50",C435&lt;66,"51-65",C435&gt;=66,"66+")</f>
        <v>Under 18</v>
      </c>
      <c r="S435" s="18">
        <v>45566</v>
      </c>
    </row>
    <row r="436" spans="1:19">
      <c r="A436" s="21" t="s">
        <v>961</v>
      </c>
      <c r="B436" s="1" t="s">
        <v>194</v>
      </c>
      <c r="C436" s="1">
        <v>61</v>
      </c>
      <c r="D436" s="1" t="s">
        <v>19</v>
      </c>
      <c r="E436" s="1" t="s">
        <v>137</v>
      </c>
      <c r="F436" s="1" t="s">
        <v>33</v>
      </c>
      <c r="G436" s="1" t="s">
        <v>104</v>
      </c>
      <c r="H436" s="1" t="s">
        <v>35</v>
      </c>
      <c r="I436" s="1" t="s">
        <v>62</v>
      </c>
      <c r="J436" s="2">
        <v>45928</v>
      </c>
      <c r="K436" s="2">
        <v>45930</v>
      </c>
      <c r="L436" s="1">
        <v>2</v>
      </c>
      <c r="M436" s="1" t="s">
        <v>56</v>
      </c>
      <c r="N436" s="1" t="s">
        <v>85</v>
      </c>
      <c r="O436" s="4">
        <v>24650.25</v>
      </c>
      <c r="P436" s="1">
        <v>3</v>
      </c>
      <c r="Q436" s="10" t="s">
        <v>72</v>
      </c>
      <c r="R436" s="14" t="str" cm="1">
        <f t="array" ref="R436">_xlfn.IFS(C436&lt;18,"Under 18",C436&lt;36,"18-35",C436&lt;51,"36-50",C436&lt;66,"51-65",C436&gt;=66,"66+")</f>
        <v>51-65</v>
      </c>
      <c r="S436" s="18">
        <v>45901</v>
      </c>
    </row>
    <row r="437" spans="1:19">
      <c r="A437" s="21" t="s">
        <v>964</v>
      </c>
      <c r="B437" s="1" t="s">
        <v>423</v>
      </c>
      <c r="C437" s="1">
        <v>3</v>
      </c>
      <c r="D437" s="1" t="s">
        <v>43</v>
      </c>
      <c r="E437" s="1" t="s">
        <v>159</v>
      </c>
      <c r="F437" s="1" t="s">
        <v>120</v>
      </c>
      <c r="G437" s="1" t="s">
        <v>34</v>
      </c>
      <c r="H437" s="1" t="s">
        <v>45</v>
      </c>
      <c r="I437" s="1" t="s">
        <v>62</v>
      </c>
      <c r="J437" s="2">
        <v>45559</v>
      </c>
      <c r="K437" s="2">
        <v>45565</v>
      </c>
      <c r="L437" s="1">
        <v>6</v>
      </c>
      <c r="M437" s="1" t="s">
        <v>38</v>
      </c>
      <c r="N437" s="1" t="s">
        <v>39</v>
      </c>
      <c r="O437" s="4">
        <v>47745.32</v>
      </c>
      <c r="P437" s="1">
        <v>3</v>
      </c>
      <c r="Q437" s="10" t="s">
        <v>72</v>
      </c>
      <c r="R437" s="14" t="str" cm="1">
        <f t="array" ref="R437">_xlfn.IFS(C437&lt;18,"Under 18",C437&lt;36,"18-35",C437&lt;51,"36-50",C437&lt;66,"51-65",C437&gt;=66,"66+")</f>
        <v>Under 18</v>
      </c>
      <c r="S437" s="18">
        <v>45536</v>
      </c>
    </row>
    <row r="438" spans="1:19">
      <c r="A438" s="21" t="s">
        <v>965</v>
      </c>
      <c r="B438" s="1" t="s">
        <v>87</v>
      </c>
      <c r="C438" s="1">
        <v>72</v>
      </c>
      <c r="D438" s="1" t="s">
        <v>43</v>
      </c>
      <c r="E438" s="1" t="s">
        <v>247</v>
      </c>
      <c r="F438" s="1" t="s">
        <v>21</v>
      </c>
      <c r="G438" s="1" t="s">
        <v>22</v>
      </c>
      <c r="H438" s="1" t="s">
        <v>23</v>
      </c>
      <c r="I438" s="1" t="s">
        <v>24</v>
      </c>
      <c r="J438" s="2">
        <v>45357</v>
      </c>
      <c r="K438" s="2">
        <v>45510</v>
      </c>
      <c r="L438" s="1">
        <v>5</v>
      </c>
      <c r="M438" s="1" t="s">
        <v>38</v>
      </c>
      <c r="N438" s="1" t="s">
        <v>63</v>
      </c>
      <c r="O438" s="4">
        <v>15063.77</v>
      </c>
      <c r="P438" s="1">
        <v>2</v>
      </c>
      <c r="Q438" s="10" t="s">
        <v>58</v>
      </c>
      <c r="R438" s="14" t="str" cm="1">
        <f t="array" ref="R438">_xlfn.IFS(C438&lt;18,"Under 18",C438&lt;36,"18-35",C438&lt;51,"36-50",C438&lt;66,"51-65",C438&gt;=66,"66+")</f>
        <v>66+</v>
      </c>
      <c r="S438" s="18">
        <v>45352</v>
      </c>
    </row>
    <row r="439" spans="1:19">
      <c r="A439" s="21" t="s">
        <v>966</v>
      </c>
      <c r="B439" s="1" t="s">
        <v>524</v>
      </c>
      <c r="C439" s="1">
        <v>65</v>
      </c>
      <c r="D439" s="1" t="s">
        <v>43</v>
      </c>
      <c r="E439" s="1" t="s">
        <v>159</v>
      </c>
      <c r="F439" s="1" t="s">
        <v>120</v>
      </c>
      <c r="G439" s="1" t="s">
        <v>110</v>
      </c>
      <c r="H439" s="1" t="s">
        <v>45</v>
      </c>
      <c r="I439" s="1" t="s">
        <v>62</v>
      </c>
      <c r="J439" s="2">
        <v>45600</v>
      </c>
      <c r="K439" s="2">
        <v>45399</v>
      </c>
      <c r="L439" s="1">
        <v>6</v>
      </c>
      <c r="M439" s="1" t="s">
        <v>27</v>
      </c>
      <c r="N439" s="1" t="s">
        <v>85</v>
      </c>
      <c r="O439" s="4">
        <v>117960.78</v>
      </c>
      <c r="P439" s="1">
        <v>4</v>
      </c>
      <c r="Q439" s="10" t="s">
        <v>72</v>
      </c>
      <c r="R439" s="14" t="str" cm="1">
        <f t="array" ref="R439">_xlfn.IFS(C439&lt;18,"Under 18",C439&lt;36,"18-35",C439&lt;51,"36-50",C439&lt;66,"51-65",C439&gt;=66,"66+")</f>
        <v>51-65</v>
      </c>
      <c r="S439" s="18">
        <v>45597</v>
      </c>
    </row>
    <row r="440" spans="1:19">
      <c r="A440" s="21" t="s">
        <v>967</v>
      </c>
      <c r="B440" s="1" t="s">
        <v>806</v>
      </c>
      <c r="C440" s="1">
        <v>35</v>
      </c>
      <c r="D440" s="1" t="s">
        <v>43</v>
      </c>
      <c r="E440" s="1" t="s">
        <v>51</v>
      </c>
      <c r="F440" s="1" t="s">
        <v>52</v>
      </c>
      <c r="G440" s="1" t="s">
        <v>36</v>
      </c>
      <c r="H440" s="1" t="s">
        <v>61</v>
      </c>
      <c r="I440" s="1" t="s">
        <v>62</v>
      </c>
      <c r="J440" s="2">
        <v>45716</v>
      </c>
      <c r="K440" s="2">
        <v>45780</v>
      </c>
      <c r="L440" s="1">
        <v>5</v>
      </c>
      <c r="M440" s="1" t="s">
        <v>48</v>
      </c>
      <c r="N440" s="1" t="s">
        <v>57</v>
      </c>
      <c r="O440" s="4">
        <v>22073.59</v>
      </c>
      <c r="P440" s="1">
        <v>4</v>
      </c>
      <c r="Q440" s="10" t="s">
        <v>29</v>
      </c>
      <c r="R440" s="14" t="str" cm="1">
        <f t="array" ref="R440">_xlfn.IFS(C440&lt;18,"Under 18",C440&lt;36,"18-35",C440&lt;51,"36-50",C440&lt;66,"51-65",C440&gt;=66,"66+")</f>
        <v>18-35</v>
      </c>
      <c r="S440" s="18">
        <v>45689</v>
      </c>
    </row>
    <row r="441" spans="1:19">
      <c r="A441" s="21" t="s">
        <v>968</v>
      </c>
      <c r="B441" s="1" t="s">
        <v>636</v>
      </c>
      <c r="C441" s="1">
        <v>2</v>
      </c>
      <c r="D441" s="1" t="s">
        <v>27</v>
      </c>
      <c r="E441" s="1" t="s">
        <v>51</v>
      </c>
      <c r="F441" s="1" t="s">
        <v>120</v>
      </c>
      <c r="G441" s="1" t="s">
        <v>110</v>
      </c>
      <c r="H441" s="1" t="s">
        <v>76</v>
      </c>
      <c r="I441" s="1" t="s">
        <v>62</v>
      </c>
      <c r="J441" s="2">
        <v>45821</v>
      </c>
      <c r="K441" s="2">
        <v>45822</v>
      </c>
      <c r="L441" s="1">
        <v>1</v>
      </c>
      <c r="M441" s="1" t="s">
        <v>97</v>
      </c>
      <c r="N441" s="1" t="s">
        <v>63</v>
      </c>
      <c r="O441" s="4">
        <v>31049.88</v>
      </c>
      <c r="P441" s="1">
        <v>4</v>
      </c>
      <c r="Q441" s="10" t="s">
        <v>40</v>
      </c>
      <c r="R441" s="14" t="str" cm="1">
        <f t="array" ref="R441">_xlfn.IFS(C441&lt;18,"Under 18",C441&lt;36,"18-35",C441&lt;51,"36-50",C441&lt;66,"51-65",C441&gt;=66,"66+")</f>
        <v>Under 18</v>
      </c>
      <c r="S441" s="18">
        <v>45809</v>
      </c>
    </row>
    <row r="442" spans="1:19">
      <c r="A442" s="21" t="s">
        <v>969</v>
      </c>
      <c r="B442" s="1" t="s">
        <v>236</v>
      </c>
      <c r="C442" s="1">
        <v>41</v>
      </c>
      <c r="D442" s="1" t="s">
        <v>43</v>
      </c>
      <c r="E442" s="1" t="s">
        <v>137</v>
      </c>
      <c r="F442" s="1" t="s">
        <v>21</v>
      </c>
      <c r="G442" s="1" t="s">
        <v>132</v>
      </c>
      <c r="H442" s="1" t="s">
        <v>23</v>
      </c>
      <c r="I442" s="1" t="s">
        <v>62</v>
      </c>
      <c r="J442" s="2">
        <v>45536</v>
      </c>
      <c r="K442" s="2">
        <v>45566</v>
      </c>
      <c r="L442" s="1">
        <v>1</v>
      </c>
      <c r="M442" s="1" t="s">
        <v>48</v>
      </c>
      <c r="N442" s="1" t="s">
        <v>28</v>
      </c>
      <c r="O442" s="4">
        <v>57578.26</v>
      </c>
      <c r="P442" s="1">
        <v>4</v>
      </c>
      <c r="Q442" s="10" t="s">
        <v>40</v>
      </c>
      <c r="R442" s="14" t="str" cm="1">
        <f t="array" ref="R442">_xlfn.IFS(C442&lt;18,"Under 18",C442&lt;36,"18-35",C442&lt;51,"36-50",C442&lt;66,"51-65",C442&gt;=66,"66+")</f>
        <v>36-50</v>
      </c>
      <c r="S442" s="18">
        <v>45536</v>
      </c>
    </row>
    <row r="443" spans="1:19">
      <c r="A443" s="21" t="s">
        <v>970</v>
      </c>
      <c r="B443" s="1" t="s">
        <v>826</v>
      </c>
      <c r="C443" s="1">
        <v>50</v>
      </c>
      <c r="D443" s="1" t="s">
        <v>27</v>
      </c>
      <c r="E443" s="1" t="s">
        <v>117</v>
      </c>
      <c r="F443" s="1" t="s">
        <v>52</v>
      </c>
      <c r="G443" s="1" t="s">
        <v>53</v>
      </c>
      <c r="H443" s="1" t="s">
        <v>35</v>
      </c>
      <c r="I443" s="1" t="s">
        <v>62</v>
      </c>
      <c r="J443" s="2">
        <v>45540</v>
      </c>
      <c r="K443" s="2">
        <v>45570</v>
      </c>
      <c r="L443" s="1">
        <v>1</v>
      </c>
      <c r="M443" s="1" t="s">
        <v>27</v>
      </c>
      <c r="N443" s="1" t="s">
        <v>28</v>
      </c>
      <c r="O443" s="4">
        <v>27437.22</v>
      </c>
      <c r="P443" s="1">
        <v>4</v>
      </c>
      <c r="Q443" s="10" t="s">
        <v>72</v>
      </c>
      <c r="R443" s="14" t="str" cm="1">
        <f t="array" ref="R443">_xlfn.IFS(C443&lt;18,"Under 18",C443&lt;36,"18-35",C443&lt;51,"36-50",C443&lt;66,"51-65",C443&gt;=66,"66+")</f>
        <v>36-50</v>
      </c>
      <c r="S443" s="18">
        <v>45536</v>
      </c>
    </row>
    <row r="444" spans="1:19">
      <c r="A444" s="21" t="s">
        <v>971</v>
      </c>
      <c r="B444" s="1" t="s">
        <v>236</v>
      </c>
      <c r="C444" s="1">
        <v>48</v>
      </c>
      <c r="D444" s="1" t="s">
        <v>43</v>
      </c>
      <c r="E444" s="1" t="s">
        <v>20</v>
      </c>
      <c r="F444" s="1" t="s">
        <v>52</v>
      </c>
      <c r="G444" s="1" t="s">
        <v>22</v>
      </c>
      <c r="H444" s="1" t="s">
        <v>93</v>
      </c>
      <c r="I444" s="1" t="s">
        <v>24</v>
      </c>
      <c r="J444" s="2">
        <v>45757</v>
      </c>
      <c r="K444" s="2">
        <v>45848</v>
      </c>
      <c r="L444" s="1">
        <v>3</v>
      </c>
      <c r="M444" s="1" t="s">
        <v>27</v>
      </c>
      <c r="N444" s="1" t="s">
        <v>63</v>
      </c>
      <c r="O444" s="4">
        <v>33751.160000000003</v>
      </c>
      <c r="P444" s="1">
        <v>5</v>
      </c>
      <c r="Q444" s="10" t="s">
        <v>29</v>
      </c>
      <c r="R444" s="14" t="str" cm="1">
        <f t="array" ref="R444">_xlfn.IFS(C444&lt;18,"Under 18",C444&lt;36,"18-35",C444&lt;51,"36-50",C444&lt;66,"51-65",C444&gt;=66,"66+")</f>
        <v>36-50</v>
      </c>
      <c r="S444" s="18">
        <v>45748</v>
      </c>
    </row>
    <row r="445" spans="1:19">
      <c r="A445" s="21" t="s">
        <v>972</v>
      </c>
      <c r="B445" s="1" t="s">
        <v>204</v>
      </c>
      <c r="C445" s="1">
        <v>45</v>
      </c>
      <c r="D445" s="1" t="s">
        <v>43</v>
      </c>
      <c r="E445" s="1" t="s">
        <v>247</v>
      </c>
      <c r="F445" s="1" t="s">
        <v>33</v>
      </c>
      <c r="G445" s="1" t="s">
        <v>110</v>
      </c>
      <c r="H445" s="1" t="s">
        <v>76</v>
      </c>
      <c r="I445" s="1" t="s">
        <v>36</v>
      </c>
      <c r="J445" s="2">
        <v>45583</v>
      </c>
      <c r="K445" s="2">
        <v>45591</v>
      </c>
      <c r="L445" s="1">
        <v>8</v>
      </c>
      <c r="M445" s="1" t="s">
        <v>56</v>
      </c>
      <c r="N445" s="1" t="s">
        <v>63</v>
      </c>
      <c r="O445" s="4">
        <v>88814.95</v>
      </c>
      <c r="P445" s="1">
        <v>4</v>
      </c>
      <c r="Q445" s="10" t="s">
        <v>58</v>
      </c>
      <c r="R445" s="14" t="str" cm="1">
        <f t="array" ref="R445">_xlfn.IFS(C445&lt;18,"Under 18",C445&lt;36,"18-35",C445&lt;51,"36-50",C445&lt;66,"51-65",C445&gt;=66,"66+")</f>
        <v>36-50</v>
      </c>
      <c r="S445" s="18">
        <v>45566</v>
      </c>
    </row>
    <row r="446" spans="1:19">
      <c r="A446" s="21" t="s">
        <v>975</v>
      </c>
      <c r="B446" s="1" t="s">
        <v>412</v>
      </c>
      <c r="C446" s="1">
        <v>53</v>
      </c>
      <c r="D446" s="1" t="s">
        <v>19</v>
      </c>
      <c r="E446" s="1" t="s">
        <v>117</v>
      </c>
      <c r="F446" s="1" t="s">
        <v>67</v>
      </c>
      <c r="G446" s="1" t="s">
        <v>132</v>
      </c>
      <c r="H446" s="1" t="s">
        <v>93</v>
      </c>
      <c r="I446" s="1" t="s">
        <v>62</v>
      </c>
      <c r="J446" s="2">
        <v>45386</v>
      </c>
      <c r="K446" s="2">
        <v>45477</v>
      </c>
      <c r="L446" s="1">
        <v>3</v>
      </c>
      <c r="M446" s="1" t="s">
        <v>97</v>
      </c>
      <c r="N446" s="1" t="s">
        <v>57</v>
      </c>
      <c r="O446" s="4">
        <v>17699.310000000001</v>
      </c>
      <c r="P446" s="1">
        <v>4</v>
      </c>
      <c r="Q446" s="10" t="s">
        <v>58</v>
      </c>
      <c r="R446" s="14" t="str" cm="1">
        <f t="array" ref="R446">_xlfn.IFS(C446&lt;18,"Under 18",C446&lt;36,"18-35",C446&lt;51,"36-50",C446&lt;66,"51-65",C446&gt;=66,"66+")</f>
        <v>51-65</v>
      </c>
      <c r="S446" s="18">
        <v>45383</v>
      </c>
    </row>
    <row r="447" spans="1:19">
      <c r="A447" s="21" t="s">
        <v>976</v>
      </c>
      <c r="B447" s="1" t="s">
        <v>857</v>
      </c>
      <c r="C447" s="1">
        <v>54</v>
      </c>
      <c r="D447" s="1" t="s">
        <v>19</v>
      </c>
      <c r="E447" s="1" t="s">
        <v>66</v>
      </c>
      <c r="F447" s="1" t="s">
        <v>67</v>
      </c>
      <c r="G447" s="1" t="s">
        <v>110</v>
      </c>
      <c r="H447" s="1" t="s">
        <v>23</v>
      </c>
      <c r="I447" s="1" t="s">
        <v>62</v>
      </c>
      <c r="J447" s="2">
        <v>45439</v>
      </c>
      <c r="K447" s="2">
        <v>45440</v>
      </c>
      <c r="L447" s="1">
        <v>1</v>
      </c>
      <c r="M447" s="1" t="s">
        <v>48</v>
      </c>
      <c r="N447" s="1" t="s">
        <v>90</v>
      </c>
      <c r="O447" s="4">
        <v>97993.52</v>
      </c>
      <c r="P447" s="1">
        <v>3</v>
      </c>
      <c r="Q447" s="10" t="s">
        <v>58</v>
      </c>
      <c r="R447" s="14" t="str" cm="1">
        <f t="array" ref="R447">_xlfn.IFS(C447&lt;18,"Under 18",C447&lt;36,"18-35",C447&lt;51,"36-50",C447&lt;66,"51-65",C447&gt;=66,"66+")</f>
        <v>51-65</v>
      </c>
      <c r="S447" s="18">
        <v>45413</v>
      </c>
    </row>
    <row r="448" spans="1:19">
      <c r="A448" s="21" t="s">
        <v>978</v>
      </c>
      <c r="B448" s="1" t="s">
        <v>299</v>
      </c>
      <c r="C448" s="1">
        <v>15</v>
      </c>
      <c r="D448" s="1" t="s">
        <v>19</v>
      </c>
      <c r="E448" s="1" t="s">
        <v>202</v>
      </c>
      <c r="F448" s="1" t="s">
        <v>21</v>
      </c>
      <c r="G448" s="1" t="s">
        <v>22</v>
      </c>
      <c r="H448" s="1" t="s">
        <v>88</v>
      </c>
      <c r="I448" s="1" t="s">
        <v>36</v>
      </c>
      <c r="J448" s="2">
        <v>45670</v>
      </c>
      <c r="K448" s="2">
        <v>45672</v>
      </c>
      <c r="L448" s="1">
        <v>2</v>
      </c>
      <c r="M448" s="1" t="s">
        <v>27</v>
      </c>
      <c r="N448" s="1" t="s">
        <v>57</v>
      </c>
      <c r="O448" s="4">
        <v>34259.5</v>
      </c>
      <c r="P448" s="1">
        <v>4</v>
      </c>
      <c r="Q448" s="10" t="s">
        <v>72</v>
      </c>
      <c r="R448" s="14" t="str" cm="1">
        <f t="array" ref="R448">_xlfn.IFS(C448&lt;18,"Under 18",C448&lt;36,"18-35",C448&lt;51,"36-50",C448&lt;66,"51-65",C448&gt;=66,"66+")</f>
        <v>Under 18</v>
      </c>
      <c r="S448" s="18">
        <v>45658</v>
      </c>
    </row>
    <row r="449" spans="1:19">
      <c r="A449" s="21" t="s">
        <v>979</v>
      </c>
      <c r="B449" s="1" t="s">
        <v>806</v>
      </c>
      <c r="C449" s="1">
        <v>40</v>
      </c>
      <c r="D449" s="1" t="s">
        <v>43</v>
      </c>
      <c r="E449" s="1" t="s">
        <v>44</v>
      </c>
      <c r="F449" s="1" t="s">
        <v>120</v>
      </c>
      <c r="G449" s="1" t="s">
        <v>22</v>
      </c>
      <c r="H449" s="1" t="s">
        <v>23</v>
      </c>
      <c r="I449" s="1" t="s">
        <v>24</v>
      </c>
      <c r="J449" s="2">
        <v>45512</v>
      </c>
      <c r="K449" s="2">
        <v>45521</v>
      </c>
      <c r="L449" s="1">
        <v>9</v>
      </c>
      <c r="M449" s="1" t="s">
        <v>97</v>
      </c>
      <c r="N449" s="1" t="s">
        <v>82</v>
      </c>
      <c r="O449" s="4">
        <v>46814.22</v>
      </c>
      <c r="P449" s="1">
        <v>5</v>
      </c>
      <c r="Q449" s="10" t="s">
        <v>58</v>
      </c>
      <c r="R449" s="14" t="str" cm="1">
        <f t="array" ref="R449">_xlfn.IFS(C449&lt;18,"Under 18",C449&lt;36,"18-35",C449&lt;51,"36-50",C449&lt;66,"51-65",C449&gt;=66,"66+")</f>
        <v>36-50</v>
      </c>
      <c r="S449" s="18">
        <v>45505</v>
      </c>
    </row>
    <row r="450" spans="1:19">
      <c r="A450" s="21" t="s">
        <v>980</v>
      </c>
      <c r="B450" s="1" t="s">
        <v>31</v>
      </c>
      <c r="C450" s="1">
        <v>61</v>
      </c>
      <c r="D450" s="1" t="s">
        <v>27</v>
      </c>
      <c r="E450" s="1" t="s">
        <v>44</v>
      </c>
      <c r="F450" s="1" t="s">
        <v>52</v>
      </c>
      <c r="G450" s="1" t="s">
        <v>104</v>
      </c>
      <c r="H450" s="1" t="s">
        <v>93</v>
      </c>
      <c r="I450" s="1" t="s">
        <v>24</v>
      </c>
      <c r="J450" s="2">
        <v>46000</v>
      </c>
      <c r="K450" s="2">
        <v>45920</v>
      </c>
      <c r="L450" s="1">
        <v>8</v>
      </c>
      <c r="M450" s="1" t="s">
        <v>97</v>
      </c>
      <c r="N450" s="1" t="s">
        <v>57</v>
      </c>
      <c r="O450" s="4">
        <v>75883.89</v>
      </c>
      <c r="P450" s="1">
        <v>3</v>
      </c>
      <c r="Q450" s="10" t="s">
        <v>29</v>
      </c>
      <c r="R450" s="14" t="str" cm="1">
        <f t="array" ref="R450">_xlfn.IFS(C450&lt;18,"Under 18",C450&lt;36,"18-35",C450&lt;51,"36-50",C450&lt;66,"51-65",C450&gt;=66,"66+")</f>
        <v>51-65</v>
      </c>
      <c r="S450" s="18">
        <v>45992</v>
      </c>
    </row>
    <row r="451" spans="1:19">
      <c r="A451" s="21" t="s">
        <v>981</v>
      </c>
      <c r="B451" s="1" t="s">
        <v>154</v>
      </c>
      <c r="C451" s="1">
        <v>51</v>
      </c>
      <c r="D451" s="1" t="s">
        <v>43</v>
      </c>
      <c r="E451" s="1" t="s">
        <v>51</v>
      </c>
      <c r="F451" s="1" t="s">
        <v>75</v>
      </c>
      <c r="G451" s="1" t="s">
        <v>110</v>
      </c>
      <c r="H451" s="1" t="s">
        <v>99</v>
      </c>
      <c r="I451" s="1" t="s">
        <v>36</v>
      </c>
      <c r="J451" s="2">
        <v>45845</v>
      </c>
      <c r="K451" s="2">
        <v>45852</v>
      </c>
      <c r="L451" s="1">
        <v>7</v>
      </c>
      <c r="M451" s="1" t="s">
        <v>27</v>
      </c>
      <c r="N451" s="1" t="s">
        <v>90</v>
      </c>
      <c r="O451" s="4">
        <v>103024.95</v>
      </c>
      <c r="P451" s="1">
        <v>5</v>
      </c>
      <c r="Q451" s="10" t="s">
        <v>72</v>
      </c>
      <c r="R451" s="14" t="str" cm="1">
        <f t="array" ref="R451">_xlfn.IFS(C451&lt;18,"Under 18",C451&lt;36,"18-35",C451&lt;51,"36-50",C451&lt;66,"51-65",C451&gt;=66,"66+")</f>
        <v>51-65</v>
      </c>
      <c r="S451" s="18">
        <v>45839</v>
      </c>
    </row>
    <row r="452" spans="1:19">
      <c r="A452" s="21" t="s">
        <v>982</v>
      </c>
      <c r="B452" s="1" t="s">
        <v>92</v>
      </c>
      <c r="C452" s="1">
        <v>73</v>
      </c>
      <c r="D452" s="1" t="s">
        <v>27</v>
      </c>
      <c r="E452" s="1" t="s">
        <v>32</v>
      </c>
      <c r="F452" s="1" t="s">
        <v>67</v>
      </c>
      <c r="G452" s="1" t="s">
        <v>110</v>
      </c>
      <c r="H452" s="1" t="s">
        <v>99</v>
      </c>
      <c r="I452" s="1" t="s">
        <v>24</v>
      </c>
      <c r="J452" s="2">
        <v>45633</v>
      </c>
      <c r="K452" s="2">
        <v>45489</v>
      </c>
      <c r="L452" s="1">
        <v>4</v>
      </c>
      <c r="M452" s="1" t="s">
        <v>38</v>
      </c>
      <c r="N452" s="1" t="s">
        <v>57</v>
      </c>
      <c r="O452" s="4">
        <v>44427.29</v>
      </c>
      <c r="P452" s="1">
        <v>5</v>
      </c>
      <c r="Q452" s="10" t="s">
        <v>72</v>
      </c>
      <c r="R452" s="14" t="str" cm="1">
        <f t="array" ref="R452">_xlfn.IFS(C452&lt;18,"Under 18",C452&lt;36,"18-35",C452&lt;51,"36-50",C452&lt;66,"51-65",C452&gt;=66,"66+")</f>
        <v>66+</v>
      </c>
      <c r="S452" s="18">
        <v>45627</v>
      </c>
    </row>
    <row r="453" spans="1:19">
      <c r="A453" s="21" t="s">
        <v>983</v>
      </c>
      <c r="B453" s="1" t="s">
        <v>310</v>
      </c>
      <c r="C453" s="1">
        <v>63</v>
      </c>
      <c r="D453" s="1" t="s">
        <v>19</v>
      </c>
      <c r="E453" s="1" t="s">
        <v>66</v>
      </c>
      <c r="F453" s="1" t="s">
        <v>120</v>
      </c>
      <c r="G453" s="1" t="s">
        <v>22</v>
      </c>
      <c r="H453" s="1" t="s">
        <v>45</v>
      </c>
      <c r="I453" s="1" t="s">
        <v>36</v>
      </c>
      <c r="J453" s="2">
        <v>45640</v>
      </c>
      <c r="K453" s="2">
        <v>45644</v>
      </c>
      <c r="L453" s="1">
        <v>4</v>
      </c>
      <c r="M453" s="1" t="s">
        <v>56</v>
      </c>
      <c r="N453" s="1" t="s">
        <v>82</v>
      </c>
      <c r="O453" s="4">
        <v>83524.39</v>
      </c>
      <c r="P453" s="1">
        <v>4</v>
      </c>
      <c r="Q453" s="10" t="s">
        <v>58</v>
      </c>
      <c r="R453" s="14" t="str" cm="1">
        <f t="array" ref="R453">_xlfn.IFS(C453&lt;18,"Under 18",C453&lt;36,"18-35",C453&lt;51,"36-50",C453&lt;66,"51-65",C453&gt;=66,"66+")</f>
        <v>51-65</v>
      </c>
      <c r="S453" s="18">
        <v>45627</v>
      </c>
    </row>
    <row r="454" spans="1:19">
      <c r="A454" s="21" t="s">
        <v>985</v>
      </c>
      <c r="B454" s="1" t="s">
        <v>114</v>
      </c>
      <c r="C454" s="1">
        <v>87</v>
      </c>
      <c r="D454" s="1" t="s">
        <v>19</v>
      </c>
      <c r="E454" s="1" t="s">
        <v>32</v>
      </c>
      <c r="F454" s="1" t="s">
        <v>75</v>
      </c>
      <c r="G454" s="1" t="s">
        <v>22</v>
      </c>
      <c r="H454" s="1" t="s">
        <v>88</v>
      </c>
      <c r="I454" s="1" t="s">
        <v>36</v>
      </c>
      <c r="J454" s="2">
        <v>45294</v>
      </c>
      <c r="K454" s="2">
        <v>45507</v>
      </c>
      <c r="L454" s="1">
        <v>7</v>
      </c>
      <c r="M454" s="1" t="s">
        <v>56</v>
      </c>
      <c r="N454" s="1" t="s">
        <v>39</v>
      </c>
      <c r="O454" s="4">
        <v>22399.62</v>
      </c>
      <c r="P454" s="1">
        <v>5</v>
      </c>
      <c r="Q454" s="10" t="s">
        <v>29</v>
      </c>
      <c r="R454" s="14" t="str" cm="1">
        <f t="array" ref="R454">_xlfn.IFS(C454&lt;18,"Under 18",C454&lt;36,"18-35",C454&lt;51,"36-50",C454&lt;66,"51-65",C454&gt;=66,"66+")</f>
        <v>66+</v>
      </c>
      <c r="S454" s="18">
        <v>45292</v>
      </c>
    </row>
    <row r="455" spans="1:19">
      <c r="A455" s="21" t="s">
        <v>986</v>
      </c>
      <c r="B455" s="1" t="s">
        <v>324</v>
      </c>
      <c r="C455" s="1">
        <v>64</v>
      </c>
      <c r="D455" s="1" t="s">
        <v>27</v>
      </c>
      <c r="E455" s="1" t="s">
        <v>51</v>
      </c>
      <c r="F455" s="1" t="s">
        <v>67</v>
      </c>
      <c r="G455" s="1" t="s">
        <v>22</v>
      </c>
      <c r="H455" s="1" t="s">
        <v>93</v>
      </c>
      <c r="I455" s="1" t="s">
        <v>24</v>
      </c>
      <c r="J455" s="2">
        <v>45808</v>
      </c>
      <c r="K455" s="2">
        <v>45694</v>
      </c>
      <c r="L455" s="1">
        <v>2</v>
      </c>
      <c r="M455" s="1" t="s">
        <v>48</v>
      </c>
      <c r="N455" s="1" t="s">
        <v>85</v>
      </c>
      <c r="O455" s="4">
        <v>14110.17</v>
      </c>
      <c r="P455" s="1">
        <v>4</v>
      </c>
      <c r="Q455" s="10" t="s">
        <v>29</v>
      </c>
      <c r="R455" s="14" t="str" cm="1">
        <f t="array" ref="R455">_xlfn.IFS(C455&lt;18,"Under 18",C455&lt;36,"18-35",C455&lt;51,"36-50",C455&lt;66,"51-65",C455&gt;=66,"66+")</f>
        <v>51-65</v>
      </c>
      <c r="S455" s="18">
        <v>45778</v>
      </c>
    </row>
    <row r="456" spans="1:19">
      <c r="A456" s="21" t="s">
        <v>988</v>
      </c>
      <c r="B456" s="1" t="s">
        <v>183</v>
      </c>
      <c r="C456" s="1">
        <v>39</v>
      </c>
      <c r="D456" s="1" t="s">
        <v>27</v>
      </c>
      <c r="E456" s="1" t="s">
        <v>51</v>
      </c>
      <c r="F456" s="1" t="s">
        <v>33</v>
      </c>
      <c r="G456" s="1" t="s">
        <v>132</v>
      </c>
      <c r="H456" s="1" t="s">
        <v>35</v>
      </c>
      <c r="I456" s="1" t="s">
        <v>36</v>
      </c>
      <c r="J456" s="2">
        <v>45708</v>
      </c>
      <c r="K456" s="2">
        <v>45709</v>
      </c>
      <c r="L456" s="1">
        <v>1</v>
      </c>
      <c r="M456" s="1" t="s">
        <v>48</v>
      </c>
      <c r="N456" s="1" t="s">
        <v>39</v>
      </c>
      <c r="O456" s="4">
        <v>39251.279999999999</v>
      </c>
      <c r="P456" s="1">
        <v>5</v>
      </c>
      <c r="Q456" s="10" t="s">
        <v>58</v>
      </c>
      <c r="R456" s="14" t="str" cm="1">
        <f t="array" ref="R456">_xlfn.IFS(C456&lt;18,"Under 18",C456&lt;36,"18-35",C456&lt;51,"36-50",C456&lt;66,"51-65",C456&gt;=66,"66+")</f>
        <v>36-50</v>
      </c>
      <c r="S456" s="18">
        <v>45689</v>
      </c>
    </row>
    <row r="457" spans="1:19">
      <c r="A457" s="21" t="s">
        <v>991</v>
      </c>
      <c r="B457" s="1" t="s">
        <v>992</v>
      </c>
      <c r="C457" s="1">
        <v>80</v>
      </c>
      <c r="D457" s="1" t="s">
        <v>43</v>
      </c>
      <c r="E457" s="1" t="s">
        <v>20</v>
      </c>
      <c r="F457" s="1" t="s">
        <v>67</v>
      </c>
      <c r="G457" s="1" t="s">
        <v>104</v>
      </c>
      <c r="H457" s="1" t="s">
        <v>105</v>
      </c>
      <c r="I457" s="1" t="s">
        <v>24</v>
      </c>
      <c r="J457" s="2">
        <v>45960</v>
      </c>
      <c r="K457" s="2">
        <v>45961</v>
      </c>
      <c r="L457" s="1">
        <v>1</v>
      </c>
      <c r="M457" s="1" t="s">
        <v>38</v>
      </c>
      <c r="N457" s="1" t="s">
        <v>28</v>
      </c>
      <c r="O457" s="4">
        <v>55644.35</v>
      </c>
      <c r="P457" s="1">
        <v>5</v>
      </c>
      <c r="Q457" s="10" t="s">
        <v>29</v>
      </c>
      <c r="R457" s="14" t="str" cm="1">
        <f t="array" ref="R457">_xlfn.IFS(C457&lt;18,"Under 18",C457&lt;36,"18-35",C457&lt;51,"36-50",C457&lt;66,"51-65",C457&gt;=66,"66+")</f>
        <v>66+</v>
      </c>
      <c r="S457" s="18">
        <v>45931</v>
      </c>
    </row>
    <row r="458" spans="1:19">
      <c r="A458" s="21" t="s">
        <v>993</v>
      </c>
      <c r="B458" s="1" t="s">
        <v>644</v>
      </c>
      <c r="C458" s="1">
        <v>69</v>
      </c>
      <c r="D458" s="1" t="s">
        <v>27</v>
      </c>
      <c r="E458" s="1" t="s">
        <v>247</v>
      </c>
      <c r="F458" s="1" t="s">
        <v>52</v>
      </c>
      <c r="G458" s="1" t="s">
        <v>110</v>
      </c>
      <c r="H458" s="1" t="s">
        <v>23</v>
      </c>
      <c r="I458" s="1" t="s">
        <v>62</v>
      </c>
      <c r="J458" s="2">
        <v>45629</v>
      </c>
      <c r="K458" s="2">
        <v>45364</v>
      </c>
      <c r="L458" s="1">
        <v>1</v>
      </c>
      <c r="M458" s="1" t="s">
        <v>97</v>
      </c>
      <c r="N458" s="1" t="s">
        <v>82</v>
      </c>
      <c r="O458" s="4">
        <v>169017.09</v>
      </c>
      <c r="P458" s="1">
        <v>3</v>
      </c>
      <c r="Q458" s="10" t="s">
        <v>29</v>
      </c>
      <c r="R458" s="14" t="str" cm="1">
        <f t="array" ref="R458">_xlfn.IFS(C458&lt;18,"Under 18",C458&lt;36,"18-35",C458&lt;51,"36-50",C458&lt;66,"51-65",C458&gt;=66,"66+")</f>
        <v>66+</v>
      </c>
      <c r="S458" s="18">
        <v>45627</v>
      </c>
    </row>
    <row r="459" spans="1:19">
      <c r="A459" s="21" t="s">
        <v>994</v>
      </c>
      <c r="B459" s="1" t="s">
        <v>190</v>
      </c>
      <c r="C459" s="1">
        <v>85</v>
      </c>
      <c r="D459" s="1" t="s">
        <v>43</v>
      </c>
      <c r="E459" s="1" t="s">
        <v>137</v>
      </c>
      <c r="F459" s="1" t="s">
        <v>67</v>
      </c>
      <c r="G459" s="1" t="s">
        <v>34</v>
      </c>
      <c r="H459" s="1" t="s">
        <v>35</v>
      </c>
      <c r="I459" s="1" t="s">
        <v>24</v>
      </c>
      <c r="J459" s="2">
        <v>45641</v>
      </c>
      <c r="K459" s="2">
        <v>45645</v>
      </c>
      <c r="L459" s="1">
        <v>4</v>
      </c>
      <c r="M459" s="1" t="s">
        <v>97</v>
      </c>
      <c r="N459" s="1" t="s">
        <v>39</v>
      </c>
      <c r="O459" s="4">
        <v>71137.509999999995</v>
      </c>
      <c r="P459" s="1">
        <v>4</v>
      </c>
      <c r="Q459" s="10" t="s">
        <v>58</v>
      </c>
      <c r="R459" s="14" t="str" cm="1">
        <f t="array" ref="R459">_xlfn.IFS(C459&lt;18,"Under 18",C459&lt;36,"18-35",C459&lt;51,"36-50",C459&lt;66,"51-65",C459&gt;=66,"66+")</f>
        <v>66+</v>
      </c>
      <c r="S459" s="18">
        <v>45627</v>
      </c>
    </row>
    <row r="460" spans="1:19">
      <c r="A460" s="21" t="s">
        <v>996</v>
      </c>
      <c r="B460" s="1" t="s">
        <v>42</v>
      </c>
      <c r="C460" s="1">
        <v>69</v>
      </c>
      <c r="D460" s="1" t="s">
        <v>19</v>
      </c>
      <c r="E460" s="1" t="s">
        <v>137</v>
      </c>
      <c r="F460" s="1" t="s">
        <v>21</v>
      </c>
      <c r="G460" s="1" t="s">
        <v>22</v>
      </c>
      <c r="H460" s="1" t="s">
        <v>88</v>
      </c>
      <c r="I460" s="1" t="s">
        <v>24</v>
      </c>
      <c r="J460" s="2">
        <v>45956</v>
      </c>
      <c r="K460" s="2">
        <v>45788</v>
      </c>
      <c r="L460" s="1">
        <v>10</v>
      </c>
      <c r="M460" s="1" t="s">
        <v>48</v>
      </c>
      <c r="N460" s="1" t="s">
        <v>28</v>
      </c>
      <c r="O460" s="4">
        <v>103698.56</v>
      </c>
      <c r="P460" s="1">
        <v>4</v>
      </c>
      <c r="Q460" s="10" t="s">
        <v>58</v>
      </c>
      <c r="R460" s="14" t="str" cm="1">
        <f t="array" ref="R460">_xlfn.IFS(C460&lt;18,"Under 18",C460&lt;36,"18-35",C460&lt;51,"36-50",C460&lt;66,"51-65",C460&gt;=66,"66+")</f>
        <v>66+</v>
      </c>
      <c r="S460" s="18">
        <v>45931</v>
      </c>
    </row>
    <row r="461" spans="1:19">
      <c r="A461" s="21" t="s">
        <v>997</v>
      </c>
      <c r="B461" s="1" t="s">
        <v>391</v>
      </c>
      <c r="C461" s="1">
        <v>48</v>
      </c>
      <c r="D461" s="1" t="s">
        <v>19</v>
      </c>
      <c r="E461" s="1" t="s">
        <v>159</v>
      </c>
      <c r="F461" s="1" t="s">
        <v>120</v>
      </c>
      <c r="G461" s="1" t="s">
        <v>53</v>
      </c>
      <c r="H461" s="1" t="s">
        <v>61</v>
      </c>
      <c r="I461" s="1" t="s">
        <v>36</v>
      </c>
      <c r="J461" s="2">
        <v>45747</v>
      </c>
      <c r="K461" s="2">
        <v>45692</v>
      </c>
      <c r="L461" s="1">
        <v>2</v>
      </c>
      <c r="M461" s="1" t="s">
        <v>38</v>
      </c>
      <c r="N461" s="1" t="s">
        <v>57</v>
      </c>
      <c r="O461" s="4">
        <v>32532.19</v>
      </c>
      <c r="P461" s="1">
        <v>3</v>
      </c>
      <c r="Q461" s="10" t="s">
        <v>29</v>
      </c>
      <c r="R461" s="14" t="str" cm="1">
        <f t="array" ref="R461">_xlfn.IFS(C461&lt;18,"Under 18",C461&lt;36,"18-35",C461&lt;51,"36-50",C461&lt;66,"51-65",C461&gt;=66,"66+")</f>
        <v>36-50</v>
      </c>
      <c r="S461" s="18">
        <v>45717</v>
      </c>
    </row>
    <row r="462" spans="1:19">
      <c r="A462" s="21" t="s">
        <v>999</v>
      </c>
      <c r="B462" s="1" t="s">
        <v>453</v>
      </c>
      <c r="C462" s="1">
        <v>1</v>
      </c>
      <c r="D462" s="1" t="s">
        <v>19</v>
      </c>
      <c r="E462" s="1" t="s">
        <v>32</v>
      </c>
      <c r="F462" s="1" t="s">
        <v>67</v>
      </c>
      <c r="G462" s="1" t="s">
        <v>104</v>
      </c>
      <c r="H462" s="1" t="s">
        <v>35</v>
      </c>
      <c r="I462" s="1" t="s">
        <v>36</v>
      </c>
      <c r="J462" s="2">
        <v>45945</v>
      </c>
      <c r="K462" s="2">
        <v>45946</v>
      </c>
      <c r="L462" s="1">
        <v>1</v>
      </c>
      <c r="M462" s="1" t="s">
        <v>48</v>
      </c>
      <c r="N462" s="1" t="s">
        <v>85</v>
      </c>
      <c r="O462" s="4">
        <v>52280.32</v>
      </c>
      <c r="P462" s="1">
        <v>4</v>
      </c>
      <c r="Q462" s="10" t="s">
        <v>40</v>
      </c>
      <c r="R462" s="14" t="str" cm="1">
        <f t="array" ref="R462">_xlfn.IFS(C462&lt;18,"Under 18",C462&lt;36,"18-35",C462&lt;51,"36-50",C462&lt;66,"51-65",C462&gt;=66,"66+")</f>
        <v>Under 18</v>
      </c>
      <c r="S462" s="18">
        <v>45931</v>
      </c>
    </row>
    <row r="463" spans="1:19">
      <c r="A463" s="21" t="s">
        <v>1000</v>
      </c>
      <c r="B463" s="1" t="s">
        <v>428</v>
      </c>
      <c r="C463" s="1">
        <v>73</v>
      </c>
      <c r="D463" s="1" t="s">
        <v>19</v>
      </c>
      <c r="E463" s="1" t="s">
        <v>247</v>
      </c>
      <c r="F463" s="1" t="s">
        <v>33</v>
      </c>
      <c r="G463" s="1" t="s">
        <v>68</v>
      </c>
      <c r="H463" s="1" t="s">
        <v>23</v>
      </c>
      <c r="I463" s="1" t="s">
        <v>62</v>
      </c>
      <c r="J463" s="2">
        <v>45827</v>
      </c>
      <c r="K463" s="2">
        <v>45833</v>
      </c>
      <c r="L463" s="1">
        <v>6</v>
      </c>
      <c r="M463" s="1" t="s">
        <v>38</v>
      </c>
      <c r="N463" s="1" t="s">
        <v>28</v>
      </c>
      <c r="O463" s="4">
        <v>76466.44</v>
      </c>
      <c r="P463" s="1">
        <v>1</v>
      </c>
      <c r="Q463" s="10" t="s">
        <v>58</v>
      </c>
      <c r="R463" s="14" t="str" cm="1">
        <f t="array" ref="R463">_xlfn.IFS(C463&lt;18,"Under 18",C463&lt;36,"18-35",C463&lt;51,"36-50",C463&lt;66,"51-65",C463&gt;=66,"66+")</f>
        <v>66+</v>
      </c>
      <c r="S463" s="18">
        <v>45809</v>
      </c>
    </row>
    <row r="464" spans="1:19">
      <c r="A464" s="21" t="s">
        <v>1001</v>
      </c>
      <c r="B464" s="1" t="s">
        <v>409</v>
      </c>
      <c r="C464" s="1">
        <v>64</v>
      </c>
      <c r="D464" s="1" t="s">
        <v>43</v>
      </c>
      <c r="E464" s="1" t="s">
        <v>20</v>
      </c>
      <c r="F464" s="1" t="s">
        <v>52</v>
      </c>
      <c r="G464" s="1" t="s">
        <v>104</v>
      </c>
      <c r="H464" s="1" t="s">
        <v>88</v>
      </c>
      <c r="I464" s="1" t="s">
        <v>62</v>
      </c>
      <c r="J464" s="2">
        <v>45821</v>
      </c>
      <c r="K464" s="2">
        <v>45823</v>
      </c>
      <c r="L464" s="1">
        <v>2</v>
      </c>
      <c r="M464" s="1" t="s">
        <v>48</v>
      </c>
      <c r="N464" s="1" t="s">
        <v>85</v>
      </c>
      <c r="O464" s="4">
        <v>12376.63</v>
      </c>
      <c r="P464" s="1">
        <v>3</v>
      </c>
      <c r="Q464" s="10" t="s">
        <v>29</v>
      </c>
      <c r="R464" s="14" t="str" cm="1">
        <f t="array" ref="R464">_xlfn.IFS(C464&lt;18,"Under 18",C464&lt;36,"18-35",C464&lt;51,"36-50",C464&lt;66,"51-65",C464&gt;=66,"66+")</f>
        <v>51-65</v>
      </c>
      <c r="S464" s="18">
        <v>45809</v>
      </c>
    </row>
    <row r="465" spans="1:19">
      <c r="A465" s="21" t="s">
        <v>1002</v>
      </c>
      <c r="B465" s="1" t="s">
        <v>131</v>
      </c>
      <c r="C465" s="1">
        <v>22</v>
      </c>
      <c r="D465" s="1" t="s">
        <v>43</v>
      </c>
      <c r="E465" s="1" t="s">
        <v>20</v>
      </c>
      <c r="F465" s="1" t="s">
        <v>75</v>
      </c>
      <c r="G465" s="1" t="s">
        <v>104</v>
      </c>
      <c r="H465" s="1" t="s">
        <v>76</v>
      </c>
      <c r="I465" s="1" t="s">
        <v>62</v>
      </c>
      <c r="J465" s="2">
        <v>45610</v>
      </c>
      <c r="K465" s="2">
        <v>45615</v>
      </c>
      <c r="L465" s="1">
        <v>5</v>
      </c>
      <c r="M465" s="1" t="s">
        <v>56</v>
      </c>
      <c r="N465" s="1" t="s">
        <v>82</v>
      </c>
      <c r="O465" s="4">
        <v>70988.31</v>
      </c>
      <c r="P465" s="1">
        <v>4</v>
      </c>
      <c r="Q465" s="10" t="s">
        <v>72</v>
      </c>
      <c r="R465" s="14" t="str" cm="1">
        <f t="array" ref="R465">_xlfn.IFS(C465&lt;18,"Under 18",C465&lt;36,"18-35",C465&lt;51,"36-50",C465&lt;66,"51-65",C465&gt;=66,"66+")</f>
        <v>18-35</v>
      </c>
      <c r="S465" s="18">
        <v>45597</v>
      </c>
    </row>
    <row r="466" spans="1:19">
      <c r="A466" s="21" t="s">
        <v>1004</v>
      </c>
      <c r="B466" s="1" t="s">
        <v>253</v>
      </c>
      <c r="C466" s="1">
        <v>43</v>
      </c>
      <c r="D466" s="1" t="s">
        <v>27</v>
      </c>
      <c r="E466" s="1" t="s">
        <v>137</v>
      </c>
      <c r="F466" s="1" t="s">
        <v>120</v>
      </c>
      <c r="G466" s="1" t="s">
        <v>22</v>
      </c>
      <c r="H466" s="1" t="s">
        <v>93</v>
      </c>
      <c r="I466" s="1" t="s">
        <v>24</v>
      </c>
      <c r="J466" s="2">
        <v>45534</v>
      </c>
      <c r="K466" s="2">
        <v>45482</v>
      </c>
      <c r="L466" s="1">
        <v>8</v>
      </c>
      <c r="M466" s="1" t="s">
        <v>48</v>
      </c>
      <c r="N466" s="1" t="s">
        <v>39</v>
      </c>
      <c r="O466" s="4">
        <v>67827.77</v>
      </c>
      <c r="P466" s="1">
        <v>2</v>
      </c>
      <c r="Q466" s="10" t="s">
        <v>29</v>
      </c>
      <c r="R466" s="14" t="str" cm="1">
        <f t="array" ref="R466">_xlfn.IFS(C466&lt;18,"Under 18",C466&lt;36,"18-35",C466&lt;51,"36-50",C466&lt;66,"51-65",C466&gt;=66,"66+")</f>
        <v>36-50</v>
      </c>
      <c r="S466" s="18">
        <v>45505</v>
      </c>
    </row>
    <row r="467" spans="1:19">
      <c r="A467" s="21" t="s">
        <v>1006</v>
      </c>
      <c r="B467" s="1" t="s">
        <v>412</v>
      </c>
      <c r="C467" s="1">
        <v>8</v>
      </c>
      <c r="D467" s="1" t="s">
        <v>43</v>
      </c>
      <c r="E467" s="1" t="s">
        <v>32</v>
      </c>
      <c r="F467" s="1" t="s">
        <v>67</v>
      </c>
      <c r="G467" s="1" t="s">
        <v>22</v>
      </c>
      <c r="H467" s="1" t="s">
        <v>99</v>
      </c>
      <c r="I467" s="1" t="s">
        <v>62</v>
      </c>
      <c r="J467" s="2">
        <v>45348</v>
      </c>
      <c r="K467" s="2">
        <v>45325</v>
      </c>
      <c r="L467" s="1">
        <v>5</v>
      </c>
      <c r="M467" s="1" t="s">
        <v>56</v>
      </c>
      <c r="N467" s="1" t="s">
        <v>39</v>
      </c>
      <c r="O467" s="4">
        <v>52825.84</v>
      </c>
      <c r="P467" s="1">
        <v>3</v>
      </c>
      <c r="Q467" s="10" t="s">
        <v>72</v>
      </c>
      <c r="R467" s="14" t="str" cm="1">
        <f t="array" ref="R467">_xlfn.IFS(C467&lt;18,"Under 18",C467&lt;36,"18-35",C467&lt;51,"36-50",C467&lt;66,"51-65",C467&gt;=66,"66+")</f>
        <v>Under 18</v>
      </c>
      <c r="S467" s="18">
        <v>45323</v>
      </c>
    </row>
    <row r="468" spans="1:19">
      <c r="A468" s="21" t="s">
        <v>1008</v>
      </c>
      <c r="B468" s="1" t="s">
        <v>18</v>
      </c>
      <c r="C468" s="1">
        <v>59</v>
      </c>
      <c r="D468" s="1" t="s">
        <v>43</v>
      </c>
      <c r="E468" s="1" t="s">
        <v>44</v>
      </c>
      <c r="F468" s="1" t="s">
        <v>21</v>
      </c>
      <c r="G468" s="1" t="s">
        <v>34</v>
      </c>
      <c r="H468" s="1" t="s">
        <v>93</v>
      </c>
      <c r="I468" s="1" t="s">
        <v>24</v>
      </c>
      <c r="J468" s="2">
        <v>45767</v>
      </c>
      <c r="K468" s="2">
        <v>45770</v>
      </c>
      <c r="L468" s="1">
        <v>3</v>
      </c>
      <c r="M468" s="1" t="s">
        <v>56</v>
      </c>
      <c r="N468" s="1" t="s">
        <v>63</v>
      </c>
      <c r="O468" s="4">
        <v>86030.65</v>
      </c>
      <c r="P468" s="1">
        <v>2</v>
      </c>
      <c r="Q468" s="10" t="s">
        <v>40</v>
      </c>
      <c r="R468" s="14" t="str" cm="1">
        <f t="array" ref="R468">_xlfn.IFS(C468&lt;18,"Under 18",C468&lt;36,"18-35",C468&lt;51,"36-50",C468&lt;66,"51-65",C468&gt;=66,"66+")</f>
        <v>51-65</v>
      </c>
      <c r="S468" s="18">
        <v>45748</v>
      </c>
    </row>
    <row r="469" spans="1:19">
      <c r="A469" s="21" t="s">
        <v>1011</v>
      </c>
      <c r="B469" s="1" t="s">
        <v>304</v>
      </c>
      <c r="C469" s="1">
        <v>46</v>
      </c>
      <c r="D469" s="1" t="s">
        <v>43</v>
      </c>
      <c r="E469" s="1" t="s">
        <v>44</v>
      </c>
      <c r="F469" s="1" t="s">
        <v>67</v>
      </c>
      <c r="G469" s="1" t="s">
        <v>110</v>
      </c>
      <c r="H469" s="1" t="s">
        <v>99</v>
      </c>
      <c r="I469" s="1" t="s">
        <v>36</v>
      </c>
      <c r="J469" s="2">
        <v>45843</v>
      </c>
      <c r="K469" s="2">
        <v>45996</v>
      </c>
      <c r="L469" s="1">
        <v>5</v>
      </c>
      <c r="M469" s="1" t="s">
        <v>56</v>
      </c>
      <c r="N469" s="1" t="s">
        <v>57</v>
      </c>
      <c r="O469" s="4">
        <v>24303.68</v>
      </c>
      <c r="P469" s="1">
        <v>4</v>
      </c>
      <c r="Q469" s="10" t="s">
        <v>40</v>
      </c>
      <c r="R469" s="14" t="str" cm="1">
        <f t="array" ref="R469">_xlfn.IFS(C469&lt;18,"Under 18",C469&lt;36,"18-35",C469&lt;51,"36-50",C469&lt;66,"51-65",C469&gt;=66,"66+")</f>
        <v>36-50</v>
      </c>
      <c r="S469" s="18">
        <v>45839</v>
      </c>
    </row>
    <row r="470" spans="1:19">
      <c r="A470" s="21" t="s">
        <v>1012</v>
      </c>
      <c r="B470" s="1" t="s">
        <v>585</v>
      </c>
      <c r="C470" s="1">
        <v>78</v>
      </c>
      <c r="D470" s="1" t="s">
        <v>43</v>
      </c>
      <c r="E470" s="1" t="s">
        <v>247</v>
      </c>
      <c r="F470" s="1" t="s">
        <v>21</v>
      </c>
      <c r="G470" s="1" t="s">
        <v>132</v>
      </c>
      <c r="H470" s="1" t="s">
        <v>23</v>
      </c>
      <c r="I470" s="1" t="s">
        <v>36</v>
      </c>
      <c r="J470" s="2">
        <v>45590</v>
      </c>
      <c r="K470" s="2">
        <v>45596</v>
      </c>
      <c r="L470" s="1">
        <v>6</v>
      </c>
      <c r="M470" s="1" t="s">
        <v>56</v>
      </c>
      <c r="N470" s="1" t="s">
        <v>39</v>
      </c>
      <c r="O470" s="4">
        <v>71800.42</v>
      </c>
      <c r="P470" s="1">
        <v>4</v>
      </c>
      <c r="Q470" s="10" t="s">
        <v>72</v>
      </c>
      <c r="R470" s="14" t="str" cm="1">
        <f t="array" ref="R470">_xlfn.IFS(C470&lt;18,"Under 18",C470&lt;36,"18-35",C470&lt;51,"36-50",C470&lt;66,"51-65",C470&gt;=66,"66+")</f>
        <v>66+</v>
      </c>
      <c r="S470" s="18">
        <v>45566</v>
      </c>
    </row>
    <row r="471" spans="1:19">
      <c r="A471" s="21" t="s">
        <v>1013</v>
      </c>
      <c r="B471" s="1" t="s">
        <v>123</v>
      </c>
      <c r="C471" s="1">
        <v>44</v>
      </c>
      <c r="D471" s="1" t="s">
        <v>19</v>
      </c>
      <c r="E471" s="1" t="s">
        <v>32</v>
      </c>
      <c r="F471" s="1" t="s">
        <v>33</v>
      </c>
      <c r="G471" s="1" t="s">
        <v>53</v>
      </c>
      <c r="H471" s="1" t="s">
        <v>69</v>
      </c>
      <c r="I471" s="1" t="s">
        <v>36</v>
      </c>
      <c r="J471" s="2">
        <v>45975</v>
      </c>
      <c r="K471" s="2">
        <v>45981</v>
      </c>
      <c r="L471" s="1">
        <v>6</v>
      </c>
      <c r="M471" s="1" t="s">
        <v>97</v>
      </c>
      <c r="N471" s="1" t="s">
        <v>85</v>
      </c>
      <c r="O471" s="4">
        <v>80099.3</v>
      </c>
      <c r="P471" s="1">
        <v>3</v>
      </c>
      <c r="Q471" s="10" t="s">
        <v>72</v>
      </c>
      <c r="R471" s="14" t="str" cm="1">
        <f t="array" ref="R471">_xlfn.IFS(C471&lt;18,"Under 18",C471&lt;36,"18-35",C471&lt;51,"36-50",C471&lt;66,"51-65",C471&gt;=66,"66+")</f>
        <v>36-50</v>
      </c>
      <c r="S471" s="18">
        <v>45962</v>
      </c>
    </row>
    <row r="472" spans="1:19">
      <c r="A472" s="21" t="s">
        <v>1015</v>
      </c>
      <c r="B472" s="1" t="s">
        <v>381</v>
      </c>
      <c r="C472" s="1">
        <v>82</v>
      </c>
      <c r="D472" s="1" t="s">
        <v>19</v>
      </c>
      <c r="E472" s="1" t="s">
        <v>202</v>
      </c>
      <c r="F472" s="1" t="s">
        <v>120</v>
      </c>
      <c r="G472" s="1" t="s">
        <v>104</v>
      </c>
      <c r="H472" s="1" t="s">
        <v>88</v>
      </c>
      <c r="I472" s="1" t="s">
        <v>36</v>
      </c>
      <c r="J472" s="2">
        <v>45942</v>
      </c>
      <c r="K472" s="2">
        <v>46005</v>
      </c>
      <c r="L472" s="1">
        <v>4</v>
      </c>
      <c r="M472" s="1" t="s">
        <v>48</v>
      </c>
      <c r="N472" s="1" t="s">
        <v>82</v>
      </c>
      <c r="O472" s="4">
        <v>70930.81</v>
      </c>
      <c r="P472" s="1">
        <v>4</v>
      </c>
      <c r="Q472" s="10" t="s">
        <v>72</v>
      </c>
      <c r="R472" s="14" t="str" cm="1">
        <f t="array" ref="R472">_xlfn.IFS(C472&lt;18,"Under 18",C472&lt;36,"18-35",C472&lt;51,"36-50",C472&lt;66,"51-65",C472&gt;=66,"66+")</f>
        <v>66+</v>
      </c>
      <c r="S472" s="18">
        <v>45931</v>
      </c>
    </row>
    <row r="473" spans="1:19">
      <c r="A473" s="21" t="s">
        <v>1016</v>
      </c>
      <c r="B473" s="1" t="s">
        <v>712</v>
      </c>
      <c r="C473" s="1">
        <v>72</v>
      </c>
      <c r="D473" s="1" t="s">
        <v>19</v>
      </c>
      <c r="E473" s="1" t="s">
        <v>66</v>
      </c>
      <c r="F473" s="1" t="s">
        <v>120</v>
      </c>
      <c r="G473" s="1" t="s">
        <v>53</v>
      </c>
      <c r="H473" s="1" t="s">
        <v>99</v>
      </c>
      <c r="I473" s="1" t="s">
        <v>24</v>
      </c>
      <c r="J473" s="2">
        <v>45437</v>
      </c>
      <c r="K473" s="2">
        <v>45440</v>
      </c>
      <c r="L473" s="1">
        <v>3</v>
      </c>
      <c r="M473" s="1" t="s">
        <v>56</v>
      </c>
      <c r="N473" s="1" t="s">
        <v>85</v>
      </c>
      <c r="O473" s="4">
        <v>114746.98</v>
      </c>
      <c r="P473" s="1">
        <v>3</v>
      </c>
      <c r="Q473" s="10" t="s">
        <v>29</v>
      </c>
      <c r="R473" s="14" t="str" cm="1">
        <f t="array" ref="R473">_xlfn.IFS(C473&lt;18,"Under 18",C473&lt;36,"18-35",C473&lt;51,"36-50",C473&lt;66,"51-65",C473&gt;=66,"66+")</f>
        <v>66+</v>
      </c>
      <c r="S473" s="18">
        <v>45413</v>
      </c>
    </row>
    <row r="474" spans="1:19">
      <c r="A474" s="21" t="s">
        <v>1017</v>
      </c>
      <c r="B474" s="1" t="s">
        <v>369</v>
      </c>
      <c r="C474" s="1">
        <v>3</v>
      </c>
      <c r="D474" s="1" t="s">
        <v>19</v>
      </c>
      <c r="E474" s="1" t="s">
        <v>247</v>
      </c>
      <c r="F474" s="1" t="s">
        <v>120</v>
      </c>
      <c r="G474" s="1" t="s">
        <v>36</v>
      </c>
      <c r="H474" s="1" t="s">
        <v>45</v>
      </c>
      <c r="I474" s="1" t="s">
        <v>24</v>
      </c>
      <c r="J474" s="2">
        <v>45560</v>
      </c>
      <c r="K474" s="2">
        <v>45561</v>
      </c>
      <c r="L474" s="1">
        <v>1</v>
      </c>
      <c r="M474" s="1" t="s">
        <v>56</v>
      </c>
      <c r="N474" s="1" t="s">
        <v>90</v>
      </c>
      <c r="O474" s="4">
        <v>36701.980000000003</v>
      </c>
      <c r="P474" s="1">
        <v>3</v>
      </c>
      <c r="Q474" s="10" t="s">
        <v>58</v>
      </c>
      <c r="R474" s="14" t="str" cm="1">
        <f t="array" ref="R474">_xlfn.IFS(C474&lt;18,"Under 18",C474&lt;36,"18-35",C474&lt;51,"36-50",C474&lt;66,"51-65",C474&gt;=66,"66+")</f>
        <v>Under 18</v>
      </c>
      <c r="S474" s="18">
        <v>45536</v>
      </c>
    </row>
    <row r="475" spans="1:19">
      <c r="A475" s="21" t="s">
        <v>1018</v>
      </c>
      <c r="B475" s="1" t="s">
        <v>204</v>
      </c>
      <c r="C475" s="1">
        <v>9</v>
      </c>
      <c r="D475" s="1" t="s">
        <v>19</v>
      </c>
      <c r="E475" s="1" t="s">
        <v>51</v>
      </c>
      <c r="F475" s="1" t="s">
        <v>120</v>
      </c>
      <c r="G475" s="1" t="s">
        <v>36</v>
      </c>
      <c r="H475" s="1" t="s">
        <v>61</v>
      </c>
      <c r="I475" s="1" t="s">
        <v>36</v>
      </c>
      <c r="J475" s="2">
        <v>45439</v>
      </c>
      <c r="K475" s="2">
        <v>45442</v>
      </c>
      <c r="L475" s="1">
        <v>3</v>
      </c>
      <c r="M475" s="1" t="s">
        <v>38</v>
      </c>
      <c r="N475" s="1" t="s">
        <v>85</v>
      </c>
      <c r="O475" s="4">
        <v>79233.990000000005</v>
      </c>
      <c r="P475" s="1">
        <v>5</v>
      </c>
      <c r="Q475" s="10" t="s">
        <v>72</v>
      </c>
      <c r="R475" s="14" t="str" cm="1">
        <f t="array" ref="R475">_xlfn.IFS(C475&lt;18,"Under 18",C475&lt;36,"18-35",C475&lt;51,"36-50",C475&lt;66,"51-65",C475&gt;=66,"66+")</f>
        <v>Under 18</v>
      </c>
      <c r="S475" s="18">
        <v>45413</v>
      </c>
    </row>
    <row r="476" spans="1:19">
      <c r="A476" s="21" t="s">
        <v>1020</v>
      </c>
      <c r="B476" s="1" t="s">
        <v>644</v>
      </c>
      <c r="C476" s="1">
        <v>81</v>
      </c>
      <c r="D476" s="1" t="s">
        <v>43</v>
      </c>
      <c r="E476" s="1" t="s">
        <v>159</v>
      </c>
      <c r="F476" s="1" t="s">
        <v>67</v>
      </c>
      <c r="G476" s="1" t="s">
        <v>104</v>
      </c>
      <c r="H476" s="1" t="s">
        <v>69</v>
      </c>
      <c r="I476" s="1" t="s">
        <v>62</v>
      </c>
      <c r="J476" s="2">
        <v>45540</v>
      </c>
      <c r="K476" s="2">
        <v>45601</v>
      </c>
      <c r="L476" s="1">
        <v>2</v>
      </c>
      <c r="M476" s="1" t="s">
        <v>56</v>
      </c>
      <c r="N476" s="1" t="s">
        <v>82</v>
      </c>
      <c r="O476" s="4">
        <v>16735.73</v>
      </c>
      <c r="P476" s="1">
        <v>4</v>
      </c>
      <c r="Q476" s="10" t="s">
        <v>40</v>
      </c>
      <c r="R476" s="14" t="str" cm="1">
        <f t="array" ref="R476">_xlfn.IFS(C476&lt;18,"Under 18",C476&lt;36,"18-35",C476&lt;51,"36-50",C476&lt;66,"51-65",C476&gt;=66,"66+")</f>
        <v>66+</v>
      </c>
      <c r="S476" s="18">
        <v>45536</v>
      </c>
    </row>
    <row r="477" spans="1:19">
      <c r="A477" s="21" t="s">
        <v>1021</v>
      </c>
      <c r="B477" s="1" t="s">
        <v>172</v>
      </c>
      <c r="C477" s="1">
        <v>68</v>
      </c>
      <c r="D477" s="1" t="s">
        <v>27</v>
      </c>
      <c r="E477" s="1" t="s">
        <v>117</v>
      </c>
      <c r="F477" s="1" t="s">
        <v>33</v>
      </c>
      <c r="G477" s="1" t="s">
        <v>34</v>
      </c>
      <c r="H477" s="1" t="s">
        <v>61</v>
      </c>
      <c r="I477" s="1" t="s">
        <v>62</v>
      </c>
      <c r="J477" s="2">
        <v>45905</v>
      </c>
      <c r="K477" s="2">
        <v>45791</v>
      </c>
      <c r="L477" s="1">
        <v>5</v>
      </c>
      <c r="M477" s="1" t="s">
        <v>27</v>
      </c>
      <c r="N477" s="1" t="s">
        <v>85</v>
      </c>
      <c r="O477" s="4">
        <v>38750.76</v>
      </c>
      <c r="P477" s="1">
        <v>5</v>
      </c>
      <c r="Q477" s="10" t="s">
        <v>40</v>
      </c>
      <c r="R477" s="14" t="str" cm="1">
        <f t="array" ref="R477">_xlfn.IFS(C477&lt;18,"Under 18",C477&lt;36,"18-35",C477&lt;51,"36-50",C477&lt;66,"51-65",C477&gt;=66,"66+")</f>
        <v>66+</v>
      </c>
      <c r="S477" s="18">
        <v>45901</v>
      </c>
    </row>
    <row r="478" spans="1:19">
      <c r="A478" s="21" t="s">
        <v>1022</v>
      </c>
      <c r="B478" s="1" t="s">
        <v>806</v>
      </c>
      <c r="C478" s="1">
        <v>33</v>
      </c>
      <c r="D478" s="1" t="s">
        <v>27</v>
      </c>
      <c r="E478" s="1" t="s">
        <v>159</v>
      </c>
      <c r="F478" s="1" t="s">
        <v>33</v>
      </c>
      <c r="G478" s="1" t="s">
        <v>53</v>
      </c>
      <c r="H478" s="1" t="s">
        <v>61</v>
      </c>
      <c r="I478" s="1" t="s">
        <v>62</v>
      </c>
      <c r="J478" s="2">
        <v>45378</v>
      </c>
      <c r="K478" s="2">
        <v>45386</v>
      </c>
      <c r="L478" s="1">
        <v>8</v>
      </c>
      <c r="M478" s="1" t="s">
        <v>38</v>
      </c>
      <c r="N478" s="1" t="s">
        <v>39</v>
      </c>
      <c r="O478" s="4">
        <v>110537.34</v>
      </c>
      <c r="P478" s="1">
        <v>4</v>
      </c>
      <c r="Q478" s="10" t="s">
        <v>58</v>
      </c>
      <c r="R478" s="14" t="str" cm="1">
        <f t="array" ref="R478">_xlfn.IFS(C478&lt;18,"Under 18",C478&lt;36,"18-35",C478&lt;51,"36-50",C478&lt;66,"51-65",C478&gt;=66,"66+")</f>
        <v>18-35</v>
      </c>
      <c r="S478" s="18">
        <v>45352</v>
      </c>
    </row>
    <row r="479" spans="1:19">
      <c r="A479" s="21" t="s">
        <v>1023</v>
      </c>
      <c r="B479" s="1" t="s">
        <v>492</v>
      </c>
      <c r="C479" s="1">
        <v>41</v>
      </c>
      <c r="D479" s="1" t="s">
        <v>43</v>
      </c>
      <c r="E479" s="1" t="s">
        <v>117</v>
      </c>
      <c r="F479" s="1" t="s">
        <v>21</v>
      </c>
      <c r="G479" s="1" t="s">
        <v>22</v>
      </c>
      <c r="H479" s="1" t="s">
        <v>88</v>
      </c>
      <c r="I479" s="1" t="s">
        <v>36</v>
      </c>
      <c r="J479" s="2">
        <v>45683</v>
      </c>
      <c r="K479" s="2">
        <v>45684</v>
      </c>
      <c r="L479" s="1">
        <v>1</v>
      </c>
      <c r="M479" s="1" t="s">
        <v>48</v>
      </c>
      <c r="N479" s="1" t="s">
        <v>28</v>
      </c>
      <c r="O479" s="4">
        <v>77807.740000000005</v>
      </c>
      <c r="P479" s="1">
        <v>3</v>
      </c>
      <c r="Q479" s="10" t="s">
        <v>40</v>
      </c>
      <c r="R479" s="14" t="str" cm="1">
        <f t="array" ref="R479">_xlfn.IFS(C479&lt;18,"Under 18",C479&lt;36,"18-35",C479&lt;51,"36-50",C479&lt;66,"51-65",C479&gt;=66,"66+")</f>
        <v>36-50</v>
      </c>
      <c r="S479" s="18">
        <v>45658</v>
      </c>
    </row>
    <row r="480" spans="1:19">
      <c r="A480" s="21" t="s">
        <v>1024</v>
      </c>
      <c r="B480" s="1" t="s">
        <v>388</v>
      </c>
      <c r="C480" s="1">
        <v>5</v>
      </c>
      <c r="D480" s="1" t="s">
        <v>27</v>
      </c>
      <c r="E480" s="1" t="s">
        <v>202</v>
      </c>
      <c r="F480" s="1" t="s">
        <v>120</v>
      </c>
      <c r="G480" s="1" t="s">
        <v>68</v>
      </c>
      <c r="H480" s="1" t="s">
        <v>105</v>
      </c>
      <c r="I480" s="1" t="s">
        <v>62</v>
      </c>
      <c r="J480" s="2">
        <v>45497</v>
      </c>
      <c r="K480" s="2">
        <v>45499</v>
      </c>
      <c r="L480" s="1">
        <v>2</v>
      </c>
      <c r="M480" s="1" t="s">
        <v>38</v>
      </c>
      <c r="N480" s="1" t="s">
        <v>39</v>
      </c>
      <c r="O480" s="4">
        <v>25916.9</v>
      </c>
      <c r="P480" s="1">
        <v>4</v>
      </c>
      <c r="Q480" s="10" t="s">
        <v>58</v>
      </c>
      <c r="R480" s="14" t="str" cm="1">
        <f t="array" ref="R480">_xlfn.IFS(C480&lt;18,"Under 18",C480&lt;36,"18-35",C480&lt;51,"36-50",C480&lt;66,"51-65",C480&gt;=66,"66+")</f>
        <v>Under 18</v>
      </c>
      <c r="S480" s="18">
        <v>45474</v>
      </c>
    </row>
    <row r="481" spans="1:19">
      <c r="A481" s="21" t="s">
        <v>1026</v>
      </c>
      <c r="B481" s="1" t="s">
        <v>816</v>
      </c>
      <c r="C481" s="1">
        <v>52</v>
      </c>
      <c r="D481" s="1" t="s">
        <v>27</v>
      </c>
      <c r="E481" s="1" t="s">
        <v>159</v>
      </c>
      <c r="F481" s="1" t="s">
        <v>120</v>
      </c>
      <c r="G481" s="1" t="s">
        <v>110</v>
      </c>
      <c r="H481" s="1" t="s">
        <v>76</v>
      </c>
      <c r="I481" s="1" t="s">
        <v>36</v>
      </c>
      <c r="J481" s="2">
        <v>45699</v>
      </c>
      <c r="K481" s="2">
        <v>45819</v>
      </c>
      <c r="L481" s="1">
        <v>4</v>
      </c>
      <c r="M481" s="1" t="s">
        <v>38</v>
      </c>
      <c r="N481" s="1" t="s">
        <v>39</v>
      </c>
      <c r="O481" s="4">
        <v>52963.15</v>
      </c>
      <c r="P481" s="1">
        <v>3</v>
      </c>
      <c r="Q481" s="10" t="s">
        <v>29</v>
      </c>
      <c r="R481" s="14" t="str" cm="1">
        <f t="array" ref="R481">_xlfn.IFS(C481&lt;18,"Under 18",C481&lt;36,"18-35",C481&lt;51,"36-50",C481&lt;66,"51-65",C481&gt;=66,"66+")</f>
        <v>51-65</v>
      </c>
      <c r="S481" s="18">
        <v>45689</v>
      </c>
    </row>
    <row r="482" spans="1:19">
      <c r="A482" s="21" t="s">
        <v>1027</v>
      </c>
      <c r="B482" s="1" t="s">
        <v>361</v>
      </c>
      <c r="C482" s="1">
        <v>55</v>
      </c>
      <c r="D482" s="1" t="s">
        <v>27</v>
      </c>
      <c r="E482" s="1" t="s">
        <v>247</v>
      </c>
      <c r="F482" s="1" t="s">
        <v>120</v>
      </c>
      <c r="G482" s="1" t="s">
        <v>34</v>
      </c>
      <c r="H482" s="1" t="s">
        <v>88</v>
      </c>
      <c r="I482" s="1" t="s">
        <v>36</v>
      </c>
      <c r="J482" s="2">
        <v>45719</v>
      </c>
      <c r="K482" s="2">
        <v>45811</v>
      </c>
      <c r="L482" s="1">
        <v>3</v>
      </c>
      <c r="M482" s="1" t="s">
        <v>97</v>
      </c>
      <c r="N482" s="1" t="s">
        <v>57</v>
      </c>
      <c r="O482" s="4">
        <v>43985.03</v>
      </c>
      <c r="P482" s="1">
        <v>3</v>
      </c>
      <c r="Q482" s="10" t="s">
        <v>58</v>
      </c>
      <c r="R482" s="14" t="str" cm="1">
        <f t="array" ref="R482">_xlfn.IFS(C482&lt;18,"Under 18",C482&lt;36,"18-35",C482&lt;51,"36-50",C482&lt;66,"51-65",C482&gt;=66,"66+")</f>
        <v>51-65</v>
      </c>
      <c r="S482" s="18">
        <v>45717</v>
      </c>
    </row>
    <row r="483" spans="1:19">
      <c r="A483" s="21" t="s">
        <v>1028</v>
      </c>
      <c r="B483" s="1" t="s">
        <v>229</v>
      </c>
      <c r="C483" s="1">
        <v>89</v>
      </c>
      <c r="D483" s="1" t="s">
        <v>27</v>
      </c>
      <c r="E483" s="1" t="s">
        <v>137</v>
      </c>
      <c r="F483" s="1" t="s">
        <v>21</v>
      </c>
      <c r="G483" s="1" t="s">
        <v>34</v>
      </c>
      <c r="H483" s="1" t="s">
        <v>35</v>
      </c>
      <c r="I483" s="1" t="s">
        <v>62</v>
      </c>
      <c r="J483" s="2">
        <v>45333</v>
      </c>
      <c r="K483" s="2">
        <v>45484</v>
      </c>
      <c r="L483" s="1">
        <v>5</v>
      </c>
      <c r="M483" s="1" t="s">
        <v>48</v>
      </c>
      <c r="N483" s="1" t="s">
        <v>90</v>
      </c>
      <c r="O483" s="4">
        <v>47771.11</v>
      </c>
      <c r="P483" s="1">
        <v>4</v>
      </c>
      <c r="Q483" s="10" t="s">
        <v>58</v>
      </c>
      <c r="R483" s="14" t="str" cm="1">
        <f t="array" ref="R483">_xlfn.IFS(C483&lt;18,"Under 18",C483&lt;36,"18-35",C483&lt;51,"36-50",C483&lt;66,"51-65",C483&gt;=66,"66+")</f>
        <v>66+</v>
      </c>
      <c r="S483" s="18">
        <v>45323</v>
      </c>
    </row>
    <row r="484" spans="1:19">
      <c r="A484" s="21" t="s">
        <v>1029</v>
      </c>
      <c r="B484" s="1" t="s">
        <v>909</v>
      </c>
      <c r="C484" s="1">
        <v>25</v>
      </c>
      <c r="D484" s="1" t="s">
        <v>43</v>
      </c>
      <c r="E484" s="1" t="s">
        <v>44</v>
      </c>
      <c r="F484" s="1" t="s">
        <v>33</v>
      </c>
      <c r="G484" s="1" t="s">
        <v>68</v>
      </c>
      <c r="H484" s="1" t="s">
        <v>45</v>
      </c>
      <c r="I484" s="1" t="s">
        <v>36</v>
      </c>
      <c r="J484" s="2">
        <v>45403</v>
      </c>
      <c r="K484" s="2">
        <v>45408</v>
      </c>
      <c r="L484" s="1">
        <v>5</v>
      </c>
      <c r="M484" s="1" t="s">
        <v>56</v>
      </c>
      <c r="N484" s="1" t="s">
        <v>85</v>
      </c>
      <c r="O484" s="4">
        <v>24513.93</v>
      </c>
      <c r="P484" s="1">
        <v>4</v>
      </c>
      <c r="Q484" s="10" t="s">
        <v>72</v>
      </c>
      <c r="R484" s="14" t="str" cm="1">
        <f t="array" ref="R484">_xlfn.IFS(C484&lt;18,"Under 18",C484&lt;36,"18-35",C484&lt;51,"36-50",C484&lt;66,"51-65",C484&gt;=66,"66+")</f>
        <v>18-35</v>
      </c>
      <c r="S484" s="18">
        <v>45383</v>
      </c>
    </row>
    <row r="485" spans="1:19">
      <c r="A485" s="21" t="s">
        <v>1030</v>
      </c>
      <c r="B485" s="1" t="s">
        <v>419</v>
      </c>
      <c r="C485" s="1">
        <v>50</v>
      </c>
      <c r="D485" s="1" t="s">
        <v>43</v>
      </c>
      <c r="E485" s="1" t="s">
        <v>137</v>
      </c>
      <c r="F485" s="1" t="s">
        <v>21</v>
      </c>
      <c r="G485" s="1" t="s">
        <v>104</v>
      </c>
      <c r="H485" s="1" t="s">
        <v>99</v>
      </c>
      <c r="I485" s="1" t="s">
        <v>36</v>
      </c>
      <c r="J485" s="2">
        <v>45502</v>
      </c>
      <c r="K485" s="2">
        <v>45504</v>
      </c>
      <c r="L485" s="1">
        <v>2</v>
      </c>
      <c r="M485" s="1" t="s">
        <v>56</v>
      </c>
      <c r="N485" s="1" t="s">
        <v>90</v>
      </c>
      <c r="O485" s="4">
        <v>38911.620000000003</v>
      </c>
      <c r="P485" s="1">
        <v>1</v>
      </c>
      <c r="Q485" s="10" t="s">
        <v>58</v>
      </c>
      <c r="R485" s="14" t="str" cm="1">
        <f t="array" ref="R485">_xlfn.IFS(C485&lt;18,"Under 18",C485&lt;36,"18-35",C485&lt;51,"36-50",C485&lt;66,"51-65",C485&gt;=66,"66+")</f>
        <v>36-50</v>
      </c>
      <c r="S485" s="18">
        <v>45474</v>
      </c>
    </row>
    <row r="486" spans="1:19">
      <c r="A486" s="21" t="s">
        <v>1032</v>
      </c>
      <c r="B486" s="1" t="s">
        <v>507</v>
      </c>
      <c r="C486" s="1">
        <v>62</v>
      </c>
      <c r="D486" s="1" t="s">
        <v>27</v>
      </c>
      <c r="E486" s="1" t="s">
        <v>51</v>
      </c>
      <c r="F486" s="1" t="s">
        <v>52</v>
      </c>
      <c r="G486" s="1" t="s">
        <v>36</v>
      </c>
      <c r="H486" s="1" t="s">
        <v>93</v>
      </c>
      <c r="I486" s="1" t="s">
        <v>24</v>
      </c>
      <c r="J486" s="2">
        <v>45599</v>
      </c>
      <c r="K486" s="2">
        <v>45629</v>
      </c>
      <c r="L486" s="1">
        <v>1</v>
      </c>
      <c r="M486" s="1" t="s">
        <v>97</v>
      </c>
      <c r="N486" s="1" t="s">
        <v>82</v>
      </c>
      <c r="O486" s="4">
        <v>23591.03</v>
      </c>
      <c r="P486" s="1">
        <v>4</v>
      </c>
      <c r="Q486" s="10" t="s">
        <v>29</v>
      </c>
      <c r="R486" s="14" t="str" cm="1">
        <f t="array" ref="R486">_xlfn.IFS(C486&lt;18,"Under 18",C486&lt;36,"18-35",C486&lt;51,"36-50",C486&lt;66,"51-65",C486&gt;=66,"66+")</f>
        <v>51-65</v>
      </c>
      <c r="S486" s="18">
        <v>45597</v>
      </c>
    </row>
    <row r="487" spans="1:19">
      <c r="A487" s="21" t="s">
        <v>1033</v>
      </c>
      <c r="B487" s="1" t="s">
        <v>670</v>
      </c>
      <c r="C487" s="1">
        <v>1</v>
      </c>
      <c r="D487" s="1" t="s">
        <v>19</v>
      </c>
      <c r="E487" s="1" t="s">
        <v>159</v>
      </c>
      <c r="F487" s="1" t="s">
        <v>67</v>
      </c>
      <c r="G487" s="1" t="s">
        <v>132</v>
      </c>
      <c r="H487" s="1" t="s">
        <v>23</v>
      </c>
      <c r="I487" s="1" t="s">
        <v>36</v>
      </c>
      <c r="J487" s="2">
        <v>45661</v>
      </c>
      <c r="K487" s="2">
        <v>45965</v>
      </c>
      <c r="L487" s="1">
        <v>10</v>
      </c>
      <c r="M487" s="1" t="s">
        <v>48</v>
      </c>
      <c r="N487" s="1" t="s">
        <v>82</v>
      </c>
      <c r="O487" s="4">
        <v>45011.35</v>
      </c>
      <c r="P487" s="1">
        <v>4</v>
      </c>
      <c r="Q487" s="10" t="s">
        <v>58</v>
      </c>
      <c r="R487" s="14" t="str" cm="1">
        <f t="array" ref="R487">_xlfn.IFS(C487&lt;18,"Under 18",C487&lt;36,"18-35",C487&lt;51,"36-50",C487&lt;66,"51-65",C487&gt;=66,"66+")</f>
        <v>Under 18</v>
      </c>
      <c r="S487" s="18">
        <v>45658</v>
      </c>
    </row>
    <row r="488" spans="1:19">
      <c r="A488" s="21" t="s">
        <v>1034</v>
      </c>
      <c r="B488" s="1" t="s">
        <v>335</v>
      </c>
      <c r="C488" s="1">
        <v>45</v>
      </c>
      <c r="D488" s="1" t="s">
        <v>27</v>
      </c>
      <c r="E488" s="1" t="s">
        <v>66</v>
      </c>
      <c r="F488" s="1" t="s">
        <v>52</v>
      </c>
      <c r="G488" s="1" t="s">
        <v>110</v>
      </c>
      <c r="H488" s="1" t="s">
        <v>76</v>
      </c>
      <c r="I488" s="1" t="s">
        <v>24</v>
      </c>
      <c r="J488" s="2">
        <v>46020</v>
      </c>
      <c r="K488" s="2">
        <v>46023</v>
      </c>
      <c r="L488" s="1">
        <v>3</v>
      </c>
      <c r="M488" s="1" t="s">
        <v>48</v>
      </c>
      <c r="N488" s="1" t="s">
        <v>57</v>
      </c>
      <c r="O488" s="4">
        <v>60674.59</v>
      </c>
      <c r="P488" s="1">
        <v>5</v>
      </c>
      <c r="Q488" s="10" t="s">
        <v>72</v>
      </c>
      <c r="R488" s="14" t="str" cm="1">
        <f t="array" ref="R488">_xlfn.IFS(C488&lt;18,"Under 18",C488&lt;36,"18-35",C488&lt;51,"36-50",C488&lt;66,"51-65",C488&gt;=66,"66+")</f>
        <v>36-50</v>
      </c>
      <c r="S488" s="18">
        <v>45992</v>
      </c>
    </row>
    <row r="489" spans="1:19">
      <c r="A489" s="21" t="s">
        <v>1035</v>
      </c>
      <c r="B489" s="1" t="s">
        <v>154</v>
      </c>
      <c r="C489" s="1">
        <v>31</v>
      </c>
      <c r="D489" s="1" t="s">
        <v>19</v>
      </c>
      <c r="E489" s="1" t="s">
        <v>247</v>
      </c>
      <c r="F489" s="1" t="s">
        <v>75</v>
      </c>
      <c r="G489" s="1" t="s">
        <v>22</v>
      </c>
      <c r="H489" s="1" t="s">
        <v>61</v>
      </c>
      <c r="I489" s="1" t="s">
        <v>36</v>
      </c>
      <c r="J489" s="2">
        <v>45483</v>
      </c>
      <c r="K489" s="2">
        <v>45606</v>
      </c>
      <c r="L489" s="1">
        <v>4</v>
      </c>
      <c r="M489" s="1" t="s">
        <v>27</v>
      </c>
      <c r="N489" s="1" t="s">
        <v>39</v>
      </c>
      <c r="O489" s="4">
        <v>78337.759999999995</v>
      </c>
      <c r="P489" s="1">
        <v>4</v>
      </c>
      <c r="Q489" s="10" t="s">
        <v>40</v>
      </c>
      <c r="R489" s="14" t="str" cm="1">
        <f t="array" ref="R489">_xlfn.IFS(C489&lt;18,"Under 18",C489&lt;36,"18-35",C489&lt;51,"36-50",C489&lt;66,"51-65",C489&gt;=66,"66+")</f>
        <v>18-35</v>
      </c>
      <c r="S489" s="18">
        <v>45474</v>
      </c>
    </row>
    <row r="490" spans="1:19">
      <c r="A490" s="21" t="s">
        <v>1036</v>
      </c>
      <c r="B490" s="1" t="s">
        <v>419</v>
      </c>
      <c r="C490" s="1">
        <v>53</v>
      </c>
      <c r="D490" s="1" t="s">
        <v>43</v>
      </c>
      <c r="E490" s="1" t="s">
        <v>20</v>
      </c>
      <c r="F490" s="1" t="s">
        <v>33</v>
      </c>
      <c r="G490" s="1" t="s">
        <v>34</v>
      </c>
      <c r="H490" s="1" t="s">
        <v>45</v>
      </c>
      <c r="I490" s="1" t="s">
        <v>36</v>
      </c>
      <c r="J490" s="2">
        <v>45460</v>
      </c>
      <c r="K490" s="2">
        <v>45462</v>
      </c>
      <c r="L490" s="1">
        <v>2</v>
      </c>
      <c r="M490" s="1" t="s">
        <v>48</v>
      </c>
      <c r="N490" s="1" t="s">
        <v>82</v>
      </c>
      <c r="O490" s="4">
        <v>106019.68</v>
      </c>
      <c r="P490" s="1">
        <v>4</v>
      </c>
      <c r="Q490" s="10" t="s">
        <v>72</v>
      </c>
      <c r="R490" s="14" t="str" cm="1">
        <f t="array" ref="R490">_xlfn.IFS(C490&lt;18,"Under 18",C490&lt;36,"18-35",C490&lt;51,"36-50",C490&lt;66,"51-65",C490&gt;=66,"66+")</f>
        <v>51-65</v>
      </c>
      <c r="S490" s="18">
        <v>45444</v>
      </c>
    </row>
    <row r="491" spans="1:19">
      <c r="A491" s="21" t="s">
        <v>1037</v>
      </c>
      <c r="B491" s="1" t="s">
        <v>1038</v>
      </c>
      <c r="C491" s="1">
        <v>18</v>
      </c>
      <c r="D491" s="1" t="s">
        <v>43</v>
      </c>
      <c r="E491" s="1" t="s">
        <v>159</v>
      </c>
      <c r="F491" s="1" t="s">
        <v>120</v>
      </c>
      <c r="G491" s="1" t="s">
        <v>22</v>
      </c>
      <c r="H491" s="1" t="s">
        <v>23</v>
      </c>
      <c r="I491" s="1" t="s">
        <v>36</v>
      </c>
      <c r="J491" s="2">
        <v>45978</v>
      </c>
      <c r="K491" s="2">
        <v>45982</v>
      </c>
      <c r="L491" s="1">
        <v>4</v>
      </c>
      <c r="M491" s="1" t="s">
        <v>56</v>
      </c>
      <c r="N491" s="1" t="s">
        <v>39</v>
      </c>
      <c r="O491" s="4">
        <v>59962.65</v>
      </c>
      <c r="P491" s="1">
        <v>5</v>
      </c>
      <c r="Q491" s="10" t="s">
        <v>72</v>
      </c>
      <c r="R491" s="14" t="str" cm="1">
        <f t="array" ref="R491">_xlfn.IFS(C491&lt;18,"Under 18",C491&lt;36,"18-35",C491&lt;51,"36-50",C491&lt;66,"51-65",C491&gt;=66,"66+")</f>
        <v>18-35</v>
      </c>
      <c r="S491" s="18">
        <v>45962</v>
      </c>
    </row>
    <row r="492" spans="1:19">
      <c r="A492" s="21" t="s">
        <v>1039</v>
      </c>
      <c r="B492" s="1" t="s">
        <v>236</v>
      </c>
      <c r="C492" s="1">
        <v>78</v>
      </c>
      <c r="D492" s="1" t="s">
        <v>19</v>
      </c>
      <c r="E492" s="1" t="s">
        <v>66</v>
      </c>
      <c r="F492" s="1" t="s">
        <v>21</v>
      </c>
      <c r="G492" s="1" t="s">
        <v>110</v>
      </c>
      <c r="H492" s="1" t="s">
        <v>45</v>
      </c>
      <c r="I492" s="1" t="s">
        <v>24</v>
      </c>
      <c r="J492" s="2">
        <v>45473</v>
      </c>
      <c r="K492" s="2">
        <v>45298</v>
      </c>
      <c r="L492" s="1">
        <v>1</v>
      </c>
      <c r="M492" s="1" t="s">
        <v>48</v>
      </c>
      <c r="N492" s="1" t="s">
        <v>63</v>
      </c>
      <c r="O492" s="4">
        <v>73829.53</v>
      </c>
      <c r="P492" s="1">
        <v>3</v>
      </c>
      <c r="Q492" s="10" t="s">
        <v>29</v>
      </c>
      <c r="R492" s="14" t="str" cm="1">
        <f t="array" ref="R492">_xlfn.IFS(C492&lt;18,"Under 18",C492&lt;36,"18-35",C492&lt;51,"36-50",C492&lt;66,"51-65",C492&gt;=66,"66+")</f>
        <v>66+</v>
      </c>
      <c r="S492" s="18">
        <v>45444</v>
      </c>
    </row>
    <row r="493" spans="1:19">
      <c r="A493" s="21" t="s">
        <v>1041</v>
      </c>
      <c r="B493" s="1" t="s">
        <v>259</v>
      </c>
      <c r="C493" s="1">
        <v>57</v>
      </c>
      <c r="D493" s="1" t="s">
        <v>27</v>
      </c>
      <c r="E493" s="1" t="s">
        <v>202</v>
      </c>
      <c r="F493" s="1" t="s">
        <v>33</v>
      </c>
      <c r="G493" s="1" t="s">
        <v>22</v>
      </c>
      <c r="H493" s="1" t="s">
        <v>76</v>
      </c>
      <c r="I493" s="1" t="s">
        <v>36</v>
      </c>
      <c r="J493" s="2">
        <v>45340</v>
      </c>
      <c r="K493" s="2">
        <v>45349</v>
      </c>
      <c r="L493" s="1">
        <v>9</v>
      </c>
      <c r="M493" s="1" t="s">
        <v>56</v>
      </c>
      <c r="N493" s="1" t="s">
        <v>82</v>
      </c>
      <c r="O493" s="4">
        <v>77994.14</v>
      </c>
      <c r="P493" s="1">
        <v>4</v>
      </c>
      <c r="Q493" s="10" t="s">
        <v>29</v>
      </c>
      <c r="R493" s="14" t="str" cm="1">
        <f t="array" ref="R493">_xlfn.IFS(C493&lt;18,"Under 18",C493&lt;36,"18-35",C493&lt;51,"36-50",C493&lt;66,"51-65",C493&gt;=66,"66+")</f>
        <v>51-65</v>
      </c>
      <c r="S493" s="18">
        <v>45323</v>
      </c>
    </row>
    <row r="494" spans="1:19">
      <c r="A494" s="21" t="s">
        <v>1042</v>
      </c>
      <c r="B494" s="1" t="s">
        <v>762</v>
      </c>
      <c r="C494" s="1">
        <v>26</v>
      </c>
      <c r="D494" s="1" t="s">
        <v>19</v>
      </c>
      <c r="E494" s="1" t="s">
        <v>202</v>
      </c>
      <c r="F494" s="1" t="s">
        <v>33</v>
      </c>
      <c r="G494" s="1" t="s">
        <v>22</v>
      </c>
      <c r="H494" s="1" t="s">
        <v>61</v>
      </c>
      <c r="I494" s="1" t="s">
        <v>24</v>
      </c>
      <c r="J494" s="2">
        <v>45308</v>
      </c>
      <c r="K494" s="2">
        <v>45318</v>
      </c>
      <c r="L494" s="1">
        <v>10</v>
      </c>
      <c r="M494" s="1" t="s">
        <v>48</v>
      </c>
      <c r="N494" s="1" t="s">
        <v>39</v>
      </c>
      <c r="O494" s="4">
        <v>102485.5</v>
      </c>
      <c r="P494" s="1">
        <v>2</v>
      </c>
      <c r="Q494" s="10" t="s">
        <v>40</v>
      </c>
      <c r="R494" s="14" t="str" cm="1">
        <f t="array" ref="R494">_xlfn.IFS(C494&lt;18,"Under 18",C494&lt;36,"18-35",C494&lt;51,"36-50",C494&lt;66,"51-65",C494&gt;=66,"66+")</f>
        <v>18-35</v>
      </c>
      <c r="S494" s="18">
        <v>45292</v>
      </c>
    </row>
    <row r="495" spans="1:19">
      <c r="A495" s="21" t="s">
        <v>1043</v>
      </c>
      <c r="B495" s="1" t="s">
        <v>693</v>
      </c>
      <c r="C495" s="1">
        <v>42</v>
      </c>
      <c r="D495" s="1" t="s">
        <v>27</v>
      </c>
      <c r="E495" s="1" t="s">
        <v>66</v>
      </c>
      <c r="F495" s="1" t="s">
        <v>75</v>
      </c>
      <c r="G495" s="1" t="s">
        <v>36</v>
      </c>
      <c r="H495" s="1" t="s">
        <v>76</v>
      </c>
      <c r="I495" s="1" t="s">
        <v>62</v>
      </c>
      <c r="J495" s="2">
        <v>45726</v>
      </c>
      <c r="K495" s="2">
        <v>45879</v>
      </c>
      <c r="L495" s="1">
        <v>5</v>
      </c>
      <c r="M495" s="1" t="s">
        <v>38</v>
      </c>
      <c r="N495" s="1" t="s">
        <v>28</v>
      </c>
      <c r="O495" s="4">
        <v>20818.689999999999</v>
      </c>
      <c r="P495" s="1">
        <v>3</v>
      </c>
      <c r="Q495" s="10" t="s">
        <v>58</v>
      </c>
      <c r="R495" s="14" t="str" cm="1">
        <f t="array" ref="R495">_xlfn.IFS(C495&lt;18,"Under 18",C495&lt;36,"18-35",C495&lt;51,"36-50",C495&lt;66,"51-65",C495&gt;=66,"66+")</f>
        <v>36-50</v>
      </c>
      <c r="S495" s="18">
        <v>45717</v>
      </c>
    </row>
    <row r="496" spans="1:19">
      <c r="A496" s="21" t="s">
        <v>1044</v>
      </c>
      <c r="B496" s="1" t="s">
        <v>302</v>
      </c>
      <c r="C496" s="1">
        <v>28</v>
      </c>
      <c r="D496" s="1" t="s">
        <v>43</v>
      </c>
      <c r="E496" s="1" t="s">
        <v>32</v>
      </c>
      <c r="F496" s="1" t="s">
        <v>52</v>
      </c>
      <c r="G496" s="1" t="s">
        <v>53</v>
      </c>
      <c r="H496" s="1" t="s">
        <v>99</v>
      </c>
      <c r="I496" s="1" t="s">
        <v>24</v>
      </c>
      <c r="J496" s="2">
        <v>45517</v>
      </c>
      <c r="K496" s="2">
        <v>45523</v>
      </c>
      <c r="L496" s="1">
        <v>6</v>
      </c>
      <c r="M496" s="1" t="s">
        <v>27</v>
      </c>
      <c r="N496" s="1" t="s">
        <v>85</v>
      </c>
      <c r="O496" s="4">
        <v>23625.52</v>
      </c>
      <c r="P496" s="1">
        <v>3</v>
      </c>
      <c r="Q496" s="10" t="s">
        <v>40</v>
      </c>
      <c r="R496" s="14" t="str" cm="1">
        <f t="array" ref="R496">_xlfn.IFS(C496&lt;18,"Under 18",C496&lt;36,"18-35",C496&lt;51,"36-50",C496&lt;66,"51-65",C496&gt;=66,"66+")</f>
        <v>18-35</v>
      </c>
      <c r="S496" s="18">
        <v>45505</v>
      </c>
    </row>
    <row r="497" spans="1:19">
      <c r="A497" s="21" t="s">
        <v>1045</v>
      </c>
      <c r="B497" s="1" t="s">
        <v>194</v>
      </c>
      <c r="C497" s="1">
        <v>13</v>
      </c>
      <c r="D497" s="1" t="s">
        <v>27</v>
      </c>
      <c r="E497" s="1" t="s">
        <v>247</v>
      </c>
      <c r="F497" s="1" t="s">
        <v>75</v>
      </c>
      <c r="G497" s="1" t="s">
        <v>110</v>
      </c>
      <c r="H497" s="1" t="s">
        <v>88</v>
      </c>
      <c r="I497" s="1" t="s">
        <v>24</v>
      </c>
      <c r="J497" s="2">
        <v>45624</v>
      </c>
      <c r="K497" s="2">
        <v>45394</v>
      </c>
      <c r="L497" s="1">
        <v>6</v>
      </c>
      <c r="M497" s="1" t="s">
        <v>27</v>
      </c>
      <c r="N497" s="1" t="s">
        <v>57</v>
      </c>
      <c r="O497" s="4">
        <v>46759.94</v>
      </c>
      <c r="P497" s="1">
        <v>4</v>
      </c>
      <c r="Q497" s="10" t="s">
        <v>58</v>
      </c>
      <c r="R497" s="14" t="str" cm="1">
        <f t="array" ref="R497">_xlfn.IFS(C497&lt;18,"Under 18",C497&lt;36,"18-35",C497&lt;51,"36-50",C497&lt;66,"51-65",C497&gt;=66,"66+")</f>
        <v>Under 18</v>
      </c>
      <c r="S497" s="18">
        <v>45597</v>
      </c>
    </row>
    <row r="498" spans="1:19">
      <c r="A498" s="21" t="s">
        <v>1046</v>
      </c>
      <c r="B498" s="1" t="s">
        <v>507</v>
      </c>
      <c r="C498" s="1">
        <v>66</v>
      </c>
      <c r="D498" s="1" t="s">
        <v>27</v>
      </c>
      <c r="E498" s="1" t="s">
        <v>137</v>
      </c>
      <c r="F498" s="1" t="s">
        <v>21</v>
      </c>
      <c r="G498" s="1" t="s">
        <v>132</v>
      </c>
      <c r="H498" s="1" t="s">
        <v>99</v>
      </c>
      <c r="I498" s="1" t="s">
        <v>24</v>
      </c>
      <c r="J498" s="2">
        <v>45530</v>
      </c>
      <c r="K498" s="2">
        <v>45535</v>
      </c>
      <c r="L498" s="1">
        <v>5</v>
      </c>
      <c r="M498" s="1" t="s">
        <v>48</v>
      </c>
      <c r="N498" s="1" t="s">
        <v>28</v>
      </c>
      <c r="O498" s="4">
        <v>56993.45</v>
      </c>
      <c r="P498" s="1">
        <v>5</v>
      </c>
      <c r="Q498" s="10" t="s">
        <v>29</v>
      </c>
      <c r="R498" s="14" t="str" cm="1">
        <f t="array" ref="R498">_xlfn.IFS(C498&lt;18,"Under 18",C498&lt;36,"18-35",C498&lt;51,"36-50",C498&lt;66,"51-65",C498&gt;=66,"66+")</f>
        <v>66+</v>
      </c>
      <c r="S498" s="18">
        <v>45505</v>
      </c>
    </row>
    <row r="499" spans="1:19">
      <c r="A499" s="21" t="s">
        <v>1047</v>
      </c>
      <c r="B499" s="1" t="s">
        <v>123</v>
      </c>
      <c r="C499" s="1">
        <v>48</v>
      </c>
      <c r="D499" s="1" t="s">
        <v>43</v>
      </c>
      <c r="E499" s="1" t="s">
        <v>117</v>
      </c>
      <c r="F499" s="1" t="s">
        <v>120</v>
      </c>
      <c r="G499" s="1" t="s">
        <v>34</v>
      </c>
      <c r="H499" s="1" t="s">
        <v>61</v>
      </c>
      <c r="I499" s="1" t="s">
        <v>24</v>
      </c>
      <c r="J499" s="2">
        <v>45595</v>
      </c>
      <c r="K499" s="2">
        <v>45596</v>
      </c>
      <c r="L499" s="1">
        <v>1</v>
      </c>
      <c r="M499" s="1" t="s">
        <v>48</v>
      </c>
      <c r="N499" s="1" t="s">
        <v>90</v>
      </c>
      <c r="O499" s="4">
        <v>138033.87</v>
      </c>
      <c r="P499" s="1">
        <v>5</v>
      </c>
      <c r="Q499" s="10" t="s">
        <v>58</v>
      </c>
      <c r="R499" s="14" t="str" cm="1">
        <f t="array" ref="R499">_xlfn.IFS(C499&lt;18,"Under 18",C499&lt;36,"18-35",C499&lt;51,"36-50",C499&lt;66,"51-65",C499&gt;=66,"66+")</f>
        <v>36-50</v>
      </c>
      <c r="S499" s="18">
        <v>45566</v>
      </c>
    </row>
    <row r="500" spans="1:19">
      <c r="A500" s="21" t="s">
        <v>1048</v>
      </c>
      <c r="B500" s="1" t="s">
        <v>123</v>
      </c>
      <c r="C500" s="1">
        <v>83</v>
      </c>
      <c r="D500" s="1" t="s">
        <v>43</v>
      </c>
      <c r="E500" s="1" t="s">
        <v>159</v>
      </c>
      <c r="F500" s="1" t="s">
        <v>52</v>
      </c>
      <c r="G500" s="1" t="s">
        <v>132</v>
      </c>
      <c r="H500" s="1" t="s">
        <v>61</v>
      </c>
      <c r="I500" s="1" t="s">
        <v>36</v>
      </c>
      <c r="J500" s="2">
        <v>45316</v>
      </c>
      <c r="K500" s="2">
        <v>45318</v>
      </c>
      <c r="L500" s="1">
        <v>2</v>
      </c>
      <c r="M500" s="1" t="s">
        <v>48</v>
      </c>
      <c r="N500" s="1" t="s">
        <v>39</v>
      </c>
      <c r="O500" s="4">
        <v>56388.61</v>
      </c>
      <c r="P500" s="1">
        <v>4</v>
      </c>
      <c r="Q500" s="10" t="s">
        <v>58</v>
      </c>
      <c r="R500" s="14" t="str" cm="1">
        <f t="array" ref="R500">_xlfn.IFS(C500&lt;18,"Under 18",C500&lt;36,"18-35",C500&lt;51,"36-50",C500&lt;66,"51-65",C500&gt;=66,"66+")</f>
        <v>66+</v>
      </c>
      <c r="S500" s="18">
        <v>45292</v>
      </c>
    </row>
    <row r="501" spans="1:19">
      <c r="A501" s="21" t="s">
        <v>1049</v>
      </c>
      <c r="B501" s="1" t="s">
        <v>1050</v>
      </c>
      <c r="C501" s="1">
        <v>9</v>
      </c>
      <c r="D501" s="1" t="s">
        <v>19</v>
      </c>
      <c r="E501" s="1" t="s">
        <v>66</v>
      </c>
      <c r="F501" s="1" t="s">
        <v>52</v>
      </c>
      <c r="G501" s="1" t="s">
        <v>132</v>
      </c>
      <c r="H501" s="1" t="s">
        <v>61</v>
      </c>
      <c r="I501" s="1" t="s">
        <v>36</v>
      </c>
      <c r="J501" s="2">
        <v>45345</v>
      </c>
      <c r="K501" s="2">
        <v>45346</v>
      </c>
      <c r="L501" s="1">
        <v>1</v>
      </c>
      <c r="M501" s="1" t="s">
        <v>56</v>
      </c>
      <c r="N501" s="1" t="s">
        <v>57</v>
      </c>
      <c r="O501" s="4">
        <v>49041.99</v>
      </c>
      <c r="P501" s="1">
        <v>4</v>
      </c>
      <c r="Q501" s="10" t="s">
        <v>29</v>
      </c>
      <c r="R501" s="14" t="str" cm="1">
        <f t="array" ref="R501">_xlfn.IFS(C501&lt;18,"Under 18",C501&lt;36,"18-35",C501&lt;51,"36-50",C501&lt;66,"51-65",C501&gt;=66,"66+")</f>
        <v>Under 18</v>
      </c>
      <c r="S501" s="18">
        <v>45323</v>
      </c>
    </row>
    <row r="502" spans="1:19">
      <c r="A502" s="21" t="s">
        <v>1051</v>
      </c>
      <c r="B502" s="1" t="s">
        <v>344</v>
      </c>
      <c r="C502" s="1">
        <v>78</v>
      </c>
      <c r="D502" s="1" t="s">
        <v>19</v>
      </c>
      <c r="E502" s="1" t="s">
        <v>137</v>
      </c>
      <c r="F502" s="1" t="s">
        <v>21</v>
      </c>
      <c r="G502" s="1" t="s">
        <v>132</v>
      </c>
      <c r="H502" s="1" t="s">
        <v>105</v>
      </c>
      <c r="I502" s="1" t="s">
        <v>62</v>
      </c>
      <c r="J502" s="2">
        <v>45454</v>
      </c>
      <c r="K502" s="2">
        <v>45607</v>
      </c>
      <c r="L502" s="1">
        <v>5</v>
      </c>
      <c r="M502" s="1" t="s">
        <v>97</v>
      </c>
      <c r="N502" s="1" t="s">
        <v>57</v>
      </c>
      <c r="O502" s="4">
        <v>74957.06</v>
      </c>
      <c r="P502" s="1">
        <v>4</v>
      </c>
      <c r="Q502" s="10" t="s">
        <v>58</v>
      </c>
      <c r="R502" s="14" t="str" cm="1">
        <f t="array" ref="R502">_xlfn.IFS(C502&lt;18,"Under 18",C502&lt;36,"18-35",C502&lt;51,"36-50",C502&lt;66,"51-65",C502&gt;=66,"66+")</f>
        <v>66+</v>
      </c>
      <c r="S502" s="18">
        <v>45444</v>
      </c>
    </row>
    <row r="503" spans="1:19">
      <c r="A503" s="21" t="s">
        <v>1052</v>
      </c>
      <c r="B503" s="1" t="s">
        <v>699</v>
      </c>
      <c r="C503" s="1">
        <v>20</v>
      </c>
      <c r="D503" s="1" t="s">
        <v>43</v>
      </c>
      <c r="E503" s="1" t="s">
        <v>137</v>
      </c>
      <c r="F503" s="1" t="s">
        <v>33</v>
      </c>
      <c r="G503" s="1" t="s">
        <v>68</v>
      </c>
      <c r="H503" s="1" t="s">
        <v>69</v>
      </c>
      <c r="I503" s="1" t="s">
        <v>62</v>
      </c>
      <c r="J503" s="2">
        <v>45312</v>
      </c>
      <c r="K503" s="2">
        <v>45315</v>
      </c>
      <c r="L503" s="1">
        <v>3</v>
      </c>
      <c r="M503" s="1" t="s">
        <v>97</v>
      </c>
      <c r="N503" s="1" t="s">
        <v>82</v>
      </c>
      <c r="O503" s="4">
        <v>51215.43</v>
      </c>
      <c r="P503" s="1">
        <v>4</v>
      </c>
      <c r="Q503" s="10" t="s">
        <v>58</v>
      </c>
      <c r="R503" s="14" t="str" cm="1">
        <f t="array" ref="R503">_xlfn.IFS(C503&lt;18,"Under 18",C503&lt;36,"18-35",C503&lt;51,"36-50",C503&lt;66,"51-65",C503&gt;=66,"66+")</f>
        <v>18-35</v>
      </c>
      <c r="S503" s="18">
        <v>45292</v>
      </c>
    </row>
    <row r="504" spans="1:19">
      <c r="A504" s="21" t="s">
        <v>1054</v>
      </c>
      <c r="B504" s="1" t="s">
        <v>644</v>
      </c>
      <c r="C504" s="1">
        <v>72</v>
      </c>
      <c r="D504" s="1" t="s">
        <v>27</v>
      </c>
      <c r="E504" s="1" t="s">
        <v>159</v>
      </c>
      <c r="F504" s="1" t="s">
        <v>33</v>
      </c>
      <c r="G504" s="1" t="s">
        <v>132</v>
      </c>
      <c r="H504" s="1" t="s">
        <v>35</v>
      </c>
      <c r="I504" s="1" t="s">
        <v>62</v>
      </c>
      <c r="J504" s="2">
        <v>45843</v>
      </c>
      <c r="K504" s="2">
        <v>45935</v>
      </c>
      <c r="L504" s="1">
        <v>3</v>
      </c>
      <c r="M504" s="1" t="s">
        <v>97</v>
      </c>
      <c r="N504" s="1" t="s">
        <v>63</v>
      </c>
      <c r="O504" s="4">
        <v>78877.63</v>
      </c>
      <c r="P504" s="1">
        <v>1</v>
      </c>
      <c r="Q504" s="10" t="s">
        <v>40</v>
      </c>
      <c r="R504" s="14" t="str" cm="1">
        <f t="array" ref="R504">_xlfn.IFS(C504&lt;18,"Under 18",C504&lt;36,"18-35",C504&lt;51,"36-50",C504&lt;66,"51-65",C504&gt;=66,"66+")</f>
        <v>66+</v>
      </c>
      <c r="S504" s="18">
        <v>45839</v>
      </c>
    </row>
    <row r="505" spans="1:19">
      <c r="A505" s="21" t="s">
        <v>1055</v>
      </c>
      <c r="B505" s="1" t="s">
        <v>709</v>
      </c>
      <c r="C505" s="1">
        <v>50</v>
      </c>
      <c r="D505" s="1" t="s">
        <v>43</v>
      </c>
      <c r="E505" s="1" t="s">
        <v>247</v>
      </c>
      <c r="F505" s="1" t="s">
        <v>67</v>
      </c>
      <c r="G505" s="1" t="s">
        <v>22</v>
      </c>
      <c r="H505" s="1" t="s">
        <v>76</v>
      </c>
      <c r="I505" s="1" t="s">
        <v>24</v>
      </c>
      <c r="J505" s="2">
        <v>45607</v>
      </c>
      <c r="K505" s="2">
        <v>45620</v>
      </c>
      <c r="L505" s="1">
        <v>13</v>
      </c>
      <c r="M505" s="1" t="s">
        <v>97</v>
      </c>
      <c r="N505" s="1" t="s">
        <v>63</v>
      </c>
      <c r="O505" s="4">
        <v>100056.82</v>
      </c>
      <c r="P505" s="1">
        <v>3</v>
      </c>
      <c r="Q505" s="10" t="s">
        <v>40</v>
      </c>
      <c r="R505" s="14" t="str" cm="1">
        <f t="array" ref="R505">_xlfn.IFS(C505&lt;18,"Under 18",C505&lt;36,"18-35",C505&lt;51,"36-50",C505&lt;66,"51-65",C505&gt;=66,"66+")</f>
        <v>36-50</v>
      </c>
      <c r="S505" s="18">
        <v>45597</v>
      </c>
    </row>
    <row r="506" spans="1:19">
      <c r="A506" s="21" t="s">
        <v>1056</v>
      </c>
      <c r="B506" s="1" t="s">
        <v>826</v>
      </c>
      <c r="C506" s="1">
        <v>90</v>
      </c>
      <c r="D506" s="1" t="s">
        <v>19</v>
      </c>
      <c r="E506" s="1" t="s">
        <v>44</v>
      </c>
      <c r="F506" s="1" t="s">
        <v>67</v>
      </c>
      <c r="G506" s="1" t="s">
        <v>34</v>
      </c>
      <c r="H506" s="1" t="s">
        <v>35</v>
      </c>
      <c r="I506" s="1" t="s">
        <v>24</v>
      </c>
      <c r="J506" s="2">
        <v>45958</v>
      </c>
      <c r="K506" s="2">
        <v>45819</v>
      </c>
      <c r="L506" s="1">
        <v>9</v>
      </c>
      <c r="M506" s="1" t="s">
        <v>56</v>
      </c>
      <c r="N506" s="1" t="s">
        <v>28</v>
      </c>
      <c r="O506" s="4">
        <v>62539.78</v>
      </c>
      <c r="P506" s="1">
        <v>4</v>
      </c>
      <c r="Q506" s="10" t="s">
        <v>72</v>
      </c>
      <c r="R506" s="14" t="str" cm="1">
        <f t="array" ref="R506">_xlfn.IFS(C506&lt;18,"Under 18",C506&lt;36,"18-35",C506&lt;51,"36-50",C506&lt;66,"51-65",C506&gt;=66,"66+")</f>
        <v>66+</v>
      </c>
      <c r="S506" s="18">
        <v>45931</v>
      </c>
    </row>
    <row r="507" spans="1:19">
      <c r="A507" s="21" t="s">
        <v>1057</v>
      </c>
      <c r="B507" s="1" t="s">
        <v>553</v>
      </c>
      <c r="C507" s="1">
        <v>12</v>
      </c>
      <c r="D507" s="1" t="s">
        <v>27</v>
      </c>
      <c r="E507" s="1" t="s">
        <v>117</v>
      </c>
      <c r="F507" s="1" t="s">
        <v>52</v>
      </c>
      <c r="G507" s="1" t="s">
        <v>22</v>
      </c>
      <c r="H507" s="1" t="s">
        <v>23</v>
      </c>
      <c r="I507" s="1" t="s">
        <v>62</v>
      </c>
      <c r="J507" s="2">
        <v>46020</v>
      </c>
      <c r="K507" s="2">
        <v>46023</v>
      </c>
      <c r="L507" s="1">
        <v>3</v>
      </c>
      <c r="M507" s="1" t="s">
        <v>27</v>
      </c>
      <c r="N507" s="1" t="s">
        <v>90</v>
      </c>
      <c r="O507" s="4">
        <v>78426.289999999994</v>
      </c>
      <c r="P507" s="1">
        <v>5</v>
      </c>
      <c r="Q507" s="10" t="s">
        <v>58</v>
      </c>
      <c r="R507" s="14" t="str" cm="1">
        <f t="array" ref="R507">_xlfn.IFS(C507&lt;18,"Under 18",C507&lt;36,"18-35",C507&lt;51,"36-50",C507&lt;66,"51-65",C507&gt;=66,"66+")</f>
        <v>Under 18</v>
      </c>
      <c r="S507" s="18">
        <v>45992</v>
      </c>
    </row>
    <row r="508" spans="1:19">
      <c r="A508" s="21" t="s">
        <v>1058</v>
      </c>
      <c r="B508" s="1" t="s">
        <v>396</v>
      </c>
      <c r="C508" s="1">
        <v>76</v>
      </c>
      <c r="D508" s="1" t="s">
        <v>43</v>
      </c>
      <c r="E508" s="1" t="s">
        <v>66</v>
      </c>
      <c r="F508" s="1" t="s">
        <v>33</v>
      </c>
      <c r="G508" s="1" t="s">
        <v>110</v>
      </c>
      <c r="H508" s="1" t="s">
        <v>105</v>
      </c>
      <c r="I508" s="1" t="s">
        <v>36</v>
      </c>
      <c r="J508" s="2">
        <v>45713</v>
      </c>
      <c r="K508" s="2">
        <v>45691</v>
      </c>
      <c r="L508" s="1">
        <v>5</v>
      </c>
      <c r="M508" s="1" t="s">
        <v>48</v>
      </c>
      <c r="N508" s="1" t="s">
        <v>28</v>
      </c>
      <c r="O508" s="4">
        <v>135781.92000000001</v>
      </c>
      <c r="P508" s="1">
        <v>4</v>
      </c>
      <c r="Q508" s="10" t="s">
        <v>58</v>
      </c>
      <c r="R508" s="14" t="str" cm="1">
        <f t="array" ref="R508">_xlfn.IFS(C508&lt;18,"Under 18",C508&lt;36,"18-35",C508&lt;51,"36-50",C508&lt;66,"51-65",C508&gt;=66,"66+")</f>
        <v>66+</v>
      </c>
      <c r="S508" s="18">
        <v>45689</v>
      </c>
    </row>
    <row r="509" spans="1:19">
      <c r="A509" s="21" t="s">
        <v>1059</v>
      </c>
      <c r="B509" s="1" t="s">
        <v>221</v>
      </c>
      <c r="C509" s="1">
        <v>68</v>
      </c>
      <c r="D509" s="1" t="s">
        <v>43</v>
      </c>
      <c r="E509" s="1" t="s">
        <v>44</v>
      </c>
      <c r="F509" s="1" t="s">
        <v>21</v>
      </c>
      <c r="G509" s="1" t="s">
        <v>53</v>
      </c>
      <c r="H509" s="1" t="s">
        <v>35</v>
      </c>
      <c r="I509" s="1" t="s">
        <v>36</v>
      </c>
      <c r="J509" s="2">
        <v>45668</v>
      </c>
      <c r="K509" s="2">
        <v>45880</v>
      </c>
      <c r="L509" s="1">
        <v>7</v>
      </c>
      <c r="M509" s="1" t="s">
        <v>56</v>
      </c>
      <c r="N509" s="1" t="s">
        <v>28</v>
      </c>
      <c r="O509" s="4">
        <v>87372.77</v>
      </c>
      <c r="P509" s="1">
        <v>3</v>
      </c>
      <c r="Q509" s="10" t="s">
        <v>29</v>
      </c>
      <c r="R509" s="14" t="str" cm="1">
        <f t="array" ref="R509">_xlfn.IFS(C509&lt;18,"Under 18",C509&lt;36,"18-35",C509&lt;51,"36-50",C509&lt;66,"51-65",C509&gt;=66,"66+")</f>
        <v>66+</v>
      </c>
      <c r="S509" s="18">
        <v>45658</v>
      </c>
    </row>
    <row r="510" spans="1:19">
      <c r="A510" s="21" t="s">
        <v>1060</v>
      </c>
      <c r="B510" s="1" t="s">
        <v>551</v>
      </c>
      <c r="C510" s="1">
        <v>25</v>
      </c>
      <c r="D510" s="1" t="s">
        <v>43</v>
      </c>
      <c r="E510" s="1" t="s">
        <v>44</v>
      </c>
      <c r="F510" s="1" t="s">
        <v>21</v>
      </c>
      <c r="G510" s="1" t="s">
        <v>110</v>
      </c>
      <c r="H510" s="1" t="s">
        <v>45</v>
      </c>
      <c r="I510" s="1" t="s">
        <v>62</v>
      </c>
      <c r="J510" s="2">
        <v>45710</v>
      </c>
      <c r="K510" s="2">
        <v>45715</v>
      </c>
      <c r="L510" s="1">
        <v>5</v>
      </c>
      <c r="M510" s="1" t="s">
        <v>97</v>
      </c>
      <c r="N510" s="1" t="s">
        <v>63</v>
      </c>
      <c r="O510" s="4">
        <v>51431.7</v>
      </c>
      <c r="P510" s="1">
        <v>3</v>
      </c>
      <c r="Q510" s="10" t="s">
        <v>72</v>
      </c>
      <c r="R510" s="14" t="str" cm="1">
        <f t="array" ref="R510">_xlfn.IFS(C510&lt;18,"Under 18",C510&lt;36,"18-35",C510&lt;51,"36-50",C510&lt;66,"51-65",C510&gt;=66,"66+")</f>
        <v>18-35</v>
      </c>
      <c r="S510" s="18">
        <v>45689</v>
      </c>
    </row>
    <row r="511" spans="1:19">
      <c r="A511" s="21" t="s">
        <v>1061</v>
      </c>
      <c r="B511" s="1" t="s">
        <v>74</v>
      </c>
      <c r="C511" s="1">
        <v>2</v>
      </c>
      <c r="D511" s="1" t="s">
        <v>19</v>
      </c>
      <c r="E511" s="1" t="s">
        <v>159</v>
      </c>
      <c r="F511" s="1" t="s">
        <v>33</v>
      </c>
      <c r="G511" s="1" t="s">
        <v>34</v>
      </c>
      <c r="H511" s="1" t="s">
        <v>45</v>
      </c>
      <c r="I511" s="1" t="s">
        <v>62</v>
      </c>
      <c r="J511" s="2">
        <v>45564</v>
      </c>
      <c r="K511" s="2">
        <v>45422</v>
      </c>
      <c r="L511" s="1">
        <v>6</v>
      </c>
      <c r="M511" s="1" t="s">
        <v>27</v>
      </c>
      <c r="N511" s="1" t="s">
        <v>57</v>
      </c>
      <c r="O511" s="4">
        <v>52420.74</v>
      </c>
      <c r="P511" s="1">
        <v>4</v>
      </c>
      <c r="Q511" s="10" t="s">
        <v>40</v>
      </c>
      <c r="R511" s="14" t="str" cm="1">
        <f t="array" ref="R511">_xlfn.IFS(C511&lt;18,"Under 18",C511&lt;36,"18-35",C511&lt;51,"36-50",C511&lt;66,"51-65",C511&gt;=66,"66+")</f>
        <v>Under 18</v>
      </c>
      <c r="S511" s="18">
        <v>45536</v>
      </c>
    </row>
    <row r="512" spans="1:19">
      <c r="A512" s="21" t="s">
        <v>1062</v>
      </c>
      <c r="B512" s="1" t="s">
        <v>31</v>
      </c>
      <c r="C512" s="1">
        <v>48</v>
      </c>
      <c r="D512" s="1" t="s">
        <v>27</v>
      </c>
      <c r="E512" s="1" t="s">
        <v>202</v>
      </c>
      <c r="F512" s="1" t="s">
        <v>33</v>
      </c>
      <c r="G512" s="1" t="s">
        <v>36</v>
      </c>
      <c r="H512" s="1" t="s">
        <v>76</v>
      </c>
      <c r="I512" s="1" t="s">
        <v>24</v>
      </c>
      <c r="J512" s="2">
        <v>45643</v>
      </c>
      <c r="K512" s="2">
        <v>45652</v>
      </c>
      <c r="L512" s="1">
        <v>9</v>
      </c>
      <c r="M512" s="1" t="s">
        <v>97</v>
      </c>
      <c r="N512" s="1" t="s">
        <v>63</v>
      </c>
      <c r="O512" s="4">
        <v>70736.33</v>
      </c>
      <c r="P512" s="1">
        <v>5</v>
      </c>
      <c r="Q512" s="10" t="s">
        <v>29</v>
      </c>
      <c r="R512" s="14" t="str" cm="1">
        <f t="array" ref="R512">_xlfn.IFS(C512&lt;18,"Under 18",C512&lt;36,"18-35",C512&lt;51,"36-50",C512&lt;66,"51-65",C512&gt;=66,"66+")</f>
        <v>36-50</v>
      </c>
      <c r="S512" s="18">
        <v>45627</v>
      </c>
    </row>
    <row r="513" spans="1:19">
      <c r="A513" s="21" t="s">
        <v>1063</v>
      </c>
      <c r="B513" s="1" t="s">
        <v>266</v>
      </c>
      <c r="C513" s="1">
        <v>4</v>
      </c>
      <c r="D513" s="1" t="s">
        <v>27</v>
      </c>
      <c r="E513" s="1" t="s">
        <v>20</v>
      </c>
      <c r="F513" s="1" t="s">
        <v>75</v>
      </c>
      <c r="G513" s="1" t="s">
        <v>132</v>
      </c>
      <c r="H513" s="1" t="s">
        <v>88</v>
      </c>
      <c r="I513" s="1" t="s">
        <v>24</v>
      </c>
      <c r="J513" s="2">
        <v>45417</v>
      </c>
      <c r="K513" s="2">
        <v>45478</v>
      </c>
      <c r="L513" s="1">
        <v>2</v>
      </c>
      <c r="M513" s="1" t="s">
        <v>38</v>
      </c>
      <c r="N513" s="1" t="s">
        <v>28</v>
      </c>
      <c r="O513" s="4">
        <v>44990.02</v>
      </c>
      <c r="P513" s="1">
        <v>4</v>
      </c>
      <c r="Q513" s="10" t="s">
        <v>40</v>
      </c>
      <c r="R513" s="14" t="str" cm="1">
        <f t="array" ref="R513">_xlfn.IFS(C513&lt;18,"Under 18",C513&lt;36,"18-35",C513&lt;51,"36-50",C513&lt;66,"51-65",C513&gt;=66,"66+")</f>
        <v>Under 18</v>
      </c>
      <c r="S513" s="18">
        <v>45413</v>
      </c>
    </row>
    <row r="514" spans="1:19">
      <c r="A514" s="21" t="s">
        <v>1064</v>
      </c>
      <c r="B514" s="1" t="s">
        <v>194</v>
      </c>
      <c r="C514" s="1">
        <v>6</v>
      </c>
      <c r="D514" s="1" t="s">
        <v>27</v>
      </c>
      <c r="E514" s="1" t="s">
        <v>137</v>
      </c>
      <c r="F514" s="1" t="s">
        <v>120</v>
      </c>
      <c r="G514" s="1" t="s">
        <v>36</v>
      </c>
      <c r="H514" s="1" t="s">
        <v>69</v>
      </c>
      <c r="I514" s="1" t="s">
        <v>24</v>
      </c>
      <c r="J514" s="2">
        <v>45625</v>
      </c>
      <c r="K514" s="2">
        <v>45334</v>
      </c>
      <c r="L514" s="1">
        <v>3</v>
      </c>
      <c r="M514" s="1" t="s">
        <v>56</v>
      </c>
      <c r="N514" s="1" t="s">
        <v>63</v>
      </c>
      <c r="O514" s="4">
        <v>69959.11</v>
      </c>
      <c r="P514" s="1">
        <v>4</v>
      </c>
      <c r="Q514" s="10" t="s">
        <v>29</v>
      </c>
      <c r="R514" s="14" t="str" cm="1">
        <f t="array" ref="R514">_xlfn.IFS(C514&lt;18,"Under 18",C514&lt;36,"18-35",C514&lt;51,"36-50",C514&lt;66,"51-65",C514&gt;=66,"66+")</f>
        <v>Under 18</v>
      </c>
      <c r="S514" s="18">
        <v>45597</v>
      </c>
    </row>
    <row r="515" spans="1:19">
      <c r="A515" s="21" t="s">
        <v>1065</v>
      </c>
      <c r="B515" s="1" t="s">
        <v>615</v>
      </c>
      <c r="C515" s="1">
        <v>67</v>
      </c>
      <c r="D515" s="1" t="s">
        <v>27</v>
      </c>
      <c r="E515" s="1" t="s">
        <v>159</v>
      </c>
      <c r="F515" s="1" t="s">
        <v>52</v>
      </c>
      <c r="G515" s="1" t="s">
        <v>68</v>
      </c>
      <c r="H515" s="1" t="s">
        <v>23</v>
      </c>
      <c r="I515" s="1" t="s">
        <v>24</v>
      </c>
      <c r="J515" s="2">
        <v>45808</v>
      </c>
      <c r="K515" s="2">
        <v>45663</v>
      </c>
      <c r="L515" s="1">
        <v>1</v>
      </c>
      <c r="M515" s="1" t="s">
        <v>56</v>
      </c>
      <c r="N515" s="1" t="s">
        <v>85</v>
      </c>
      <c r="O515" s="4">
        <v>84067.03</v>
      </c>
      <c r="P515" s="1">
        <v>4</v>
      </c>
      <c r="Q515" s="10" t="s">
        <v>29</v>
      </c>
      <c r="R515" s="14" t="str" cm="1">
        <f t="array" ref="R515">_xlfn.IFS(C515&lt;18,"Under 18",C515&lt;36,"18-35",C515&lt;51,"36-50",C515&lt;66,"51-65",C515&gt;=66,"66+")</f>
        <v>66+</v>
      </c>
      <c r="S515" s="18">
        <v>45778</v>
      </c>
    </row>
    <row r="516" spans="1:19">
      <c r="A516" s="21" t="s">
        <v>1066</v>
      </c>
      <c r="B516" s="1" t="s">
        <v>826</v>
      </c>
      <c r="C516" s="1">
        <v>22</v>
      </c>
      <c r="D516" s="1" t="s">
        <v>27</v>
      </c>
      <c r="E516" s="1" t="s">
        <v>117</v>
      </c>
      <c r="F516" s="1" t="s">
        <v>52</v>
      </c>
      <c r="G516" s="1" t="s">
        <v>34</v>
      </c>
      <c r="H516" s="1" t="s">
        <v>35</v>
      </c>
      <c r="I516" s="1" t="s">
        <v>62</v>
      </c>
      <c r="J516" s="2">
        <v>46008</v>
      </c>
      <c r="K516" s="2">
        <v>46009</v>
      </c>
      <c r="L516" s="1">
        <v>1</v>
      </c>
      <c r="M516" s="1" t="s">
        <v>48</v>
      </c>
      <c r="N516" s="1" t="s">
        <v>63</v>
      </c>
      <c r="O516" s="4">
        <v>119235.06</v>
      </c>
      <c r="P516" s="1">
        <v>4</v>
      </c>
      <c r="Q516" s="10" t="s">
        <v>29</v>
      </c>
      <c r="R516" s="14" t="str" cm="1">
        <f t="array" ref="R516">_xlfn.IFS(C516&lt;18,"Under 18",C516&lt;36,"18-35",C516&lt;51,"36-50",C516&lt;66,"51-65",C516&gt;=66,"66+")</f>
        <v>18-35</v>
      </c>
      <c r="S516" s="18">
        <v>45992</v>
      </c>
    </row>
    <row r="517" spans="1:19">
      <c r="A517" s="21" t="s">
        <v>1068</v>
      </c>
      <c r="B517" s="1" t="s">
        <v>419</v>
      </c>
      <c r="C517" s="1">
        <v>69</v>
      </c>
      <c r="D517" s="1" t="s">
        <v>27</v>
      </c>
      <c r="E517" s="1" t="s">
        <v>137</v>
      </c>
      <c r="F517" s="1" t="s">
        <v>52</v>
      </c>
      <c r="G517" s="1" t="s">
        <v>132</v>
      </c>
      <c r="H517" s="1" t="s">
        <v>69</v>
      </c>
      <c r="I517" s="1" t="s">
        <v>24</v>
      </c>
      <c r="J517" s="2">
        <v>45795</v>
      </c>
      <c r="K517" s="2">
        <v>45804</v>
      </c>
      <c r="L517" s="1">
        <v>9</v>
      </c>
      <c r="M517" s="1" t="s">
        <v>27</v>
      </c>
      <c r="N517" s="1" t="s">
        <v>39</v>
      </c>
      <c r="O517" s="4">
        <v>84928.29</v>
      </c>
      <c r="P517" s="1">
        <v>4</v>
      </c>
      <c r="Q517" s="10" t="s">
        <v>58</v>
      </c>
      <c r="R517" s="14" t="str" cm="1">
        <f t="array" ref="R517">_xlfn.IFS(C517&lt;18,"Under 18",C517&lt;36,"18-35",C517&lt;51,"36-50",C517&lt;66,"51-65",C517&gt;=66,"66+")</f>
        <v>66+</v>
      </c>
      <c r="S517" s="18">
        <v>45778</v>
      </c>
    </row>
    <row r="518" spans="1:19">
      <c r="A518" s="21" t="s">
        <v>1070</v>
      </c>
      <c r="B518" s="1" t="s">
        <v>499</v>
      </c>
      <c r="C518" s="1">
        <v>30</v>
      </c>
      <c r="D518" s="1" t="s">
        <v>19</v>
      </c>
      <c r="E518" s="1" t="s">
        <v>247</v>
      </c>
      <c r="F518" s="1" t="s">
        <v>33</v>
      </c>
      <c r="G518" s="1" t="s">
        <v>53</v>
      </c>
      <c r="H518" s="1" t="s">
        <v>69</v>
      </c>
      <c r="I518" s="1" t="s">
        <v>24</v>
      </c>
      <c r="J518" s="2">
        <v>45557</v>
      </c>
      <c r="K518" s="2">
        <v>45559</v>
      </c>
      <c r="L518" s="1">
        <v>2</v>
      </c>
      <c r="M518" s="1" t="s">
        <v>48</v>
      </c>
      <c r="N518" s="1" t="s">
        <v>82</v>
      </c>
      <c r="O518" s="4">
        <v>150391.17000000001</v>
      </c>
      <c r="P518" s="1">
        <v>2</v>
      </c>
      <c r="Q518" s="10" t="s">
        <v>72</v>
      </c>
      <c r="R518" s="14" t="str" cm="1">
        <f t="array" ref="R518">_xlfn.IFS(C518&lt;18,"Under 18",C518&lt;36,"18-35",C518&lt;51,"36-50",C518&lt;66,"51-65",C518&gt;=66,"66+")</f>
        <v>18-35</v>
      </c>
      <c r="S518" s="18">
        <v>45536</v>
      </c>
    </row>
    <row r="519" spans="1:19">
      <c r="A519" s="21" t="s">
        <v>1072</v>
      </c>
      <c r="B519" s="1" t="s">
        <v>361</v>
      </c>
      <c r="C519" s="1">
        <v>76</v>
      </c>
      <c r="D519" s="1" t="s">
        <v>27</v>
      </c>
      <c r="E519" s="1" t="s">
        <v>247</v>
      </c>
      <c r="F519" s="1" t="s">
        <v>21</v>
      </c>
      <c r="G519" s="1" t="s">
        <v>110</v>
      </c>
      <c r="H519" s="1" t="s">
        <v>23</v>
      </c>
      <c r="I519" s="1" t="s">
        <v>62</v>
      </c>
      <c r="J519" s="2">
        <v>45486</v>
      </c>
      <c r="K519" s="2">
        <v>45489</v>
      </c>
      <c r="L519" s="1">
        <v>3</v>
      </c>
      <c r="M519" s="1" t="s">
        <v>56</v>
      </c>
      <c r="N519" s="1" t="s">
        <v>57</v>
      </c>
      <c r="O519" s="4">
        <v>104686.75</v>
      </c>
      <c r="P519" s="1">
        <v>2</v>
      </c>
      <c r="Q519" s="10" t="s">
        <v>58</v>
      </c>
      <c r="R519" s="14" t="str" cm="1">
        <f t="array" ref="R519">_xlfn.IFS(C519&lt;18,"Under 18",C519&lt;36,"18-35",C519&lt;51,"36-50",C519&lt;66,"51-65",C519&gt;=66,"66+")</f>
        <v>66+</v>
      </c>
      <c r="S519" s="18">
        <v>45474</v>
      </c>
    </row>
    <row r="520" spans="1:19">
      <c r="A520" s="21" t="s">
        <v>1074</v>
      </c>
      <c r="B520" s="1" t="s">
        <v>920</v>
      </c>
      <c r="C520" s="1">
        <v>19</v>
      </c>
      <c r="D520" s="1" t="s">
        <v>27</v>
      </c>
      <c r="E520" s="1" t="s">
        <v>20</v>
      </c>
      <c r="F520" s="1" t="s">
        <v>33</v>
      </c>
      <c r="G520" s="1" t="s">
        <v>34</v>
      </c>
      <c r="H520" s="1" t="s">
        <v>69</v>
      </c>
      <c r="I520" s="1" t="s">
        <v>62</v>
      </c>
      <c r="J520" s="2">
        <v>45582</v>
      </c>
      <c r="K520" s="2">
        <v>45589</v>
      </c>
      <c r="L520" s="1">
        <v>7</v>
      </c>
      <c r="M520" s="1" t="s">
        <v>97</v>
      </c>
      <c r="N520" s="1" t="s">
        <v>28</v>
      </c>
      <c r="O520" s="4">
        <v>58436.480000000003</v>
      </c>
      <c r="P520" s="1">
        <v>4</v>
      </c>
      <c r="Q520" s="10" t="s">
        <v>40</v>
      </c>
      <c r="R520" s="14" t="str" cm="1">
        <f t="array" ref="R520">_xlfn.IFS(C520&lt;18,"Under 18",C520&lt;36,"18-35",C520&lt;51,"36-50",C520&lt;66,"51-65",C520&gt;=66,"66+")</f>
        <v>18-35</v>
      </c>
      <c r="S520" s="18">
        <v>45566</v>
      </c>
    </row>
    <row r="521" spans="1:19">
      <c r="A521" s="21" t="s">
        <v>1075</v>
      </c>
      <c r="B521" s="1" t="s">
        <v>909</v>
      </c>
      <c r="C521" s="1">
        <v>20</v>
      </c>
      <c r="D521" s="1" t="s">
        <v>27</v>
      </c>
      <c r="E521" s="1" t="s">
        <v>51</v>
      </c>
      <c r="F521" s="1" t="s">
        <v>33</v>
      </c>
      <c r="G521" s="1" t="s">
        <v>110</v>
      </c>
      <c r="H521" s="1" t="s">
        <v>93</v>
      </c>
      <c r="I521" s="1" t="s">
        <v>62</v>
      </c>
      <c r="J521" s="2">
        <v>45359</v>
      </c>
      <c r="K521" s="2">
        <v>45573</v>
      </c>
      <c r="L521" s="1">
        <v>7</v>
      </c>
      <c r="M521" s="1" t="s">
        <v>97</v>
      </c>
      <c r="N521" s="1" t="s">
        <v>63</v>
      </c>
      <c r="O521" s="4">
        <v>95644.18</v>
      </c>
      <c r="P521" s="1">
        <v>5</v>
      </c>
      <c r="Q521" s="10" t="s">
        <v>58</v>
      </c>
      <c r="R521" s="14" t="str" cm="1">
        <f t="array" ref="R521">_xlfn.IFS(C521&lt;18,"Under 18",C521&lt;36,"18-35",C521&lt;51,"36-50",C521&lt;66,"51-65",C521&gt;=66,"66+")</f>
        <v>18-35</v>
      </c>
      <c r="S521" s="18">
        <v>45352</v>
      </c>
    </row>
    <row r="522" spans="1:19">
      <c r="A522" s="21" t="s">
        <v>1076</v>
      </c>
      <c r="B522" s="1" t="s">
        <v>892</v>
      </c>
      <c r="C522" s="1">
        <v>45</v>
      </c>
      <c r="D522" s="1" t="s">
        <v>43</v>
      </c>
      <c r="E522" s="1" t="s">
        <v>117</v>
      </c>
      <c r="F522" s="1" t="s">
        <v>33</v>
      </c>
      <c r="G522" s="1" t="s">
        <v>132</v>
      </c>
      <c r="H522" s="1" t="s">
        <v>23</v>
      </c>
      <c r="I522" s="1" t="s">
        <v>24</v>
      </c>
      <c r="J522" s="2">
        <v>45749</v>
      </c>
      <c r="K522" s="2">
        <v>45871</v>
      </c>
      <c r="L522" s="1">
        <v>4</v>
      </c>
      <c r="M522" s="1" t="s">
        <v>56</v>
      </c>
      <c r="N522" s="1" t="s">
        <v>90</v>
      </c>
      <c r="O522" s="4">
        <v>40745.39</v>
      </c>
      <c r="P522" s="1">
        <v>3</v>
      </c>
      <c r="Q522" s="10" t="s">
        <v>29</v>
      </c>
      <c r="R522" s="14" t="str" cm="1">
        <f t="array" ref="R522">_xlfn.IFS(C522&lt;18,"Under 18",C522&lt;36,"18-35",C522&lt;51,"36-50",C522&lt;66,"51-65",C522&gt;=66,"66+")</f>
        <v>36-50</v>
      </c>
      <c r="S522" s="18">
        <v>45748</v>
      </c>
    </row>
    <row r="523" spans="1:19">
      <c r="A523" s="21" t="s">
        <v>1077</v>
      </c>
      <c r="B523" s="1" t="s">
        <v>909</v>
      </c>
      <c r="C523" s="1">
        <v>57</v>
      </c>
      <c r="D523" s="1" t="s">
        <v>27</v>
      </c>
      <c r="E523" s="1" t="s">
        <v>32</v>
      </c>
      <c r="F523" s="1" t="s">
        <v>120</v>
      </c>
      <c r="G523" s="1" t="s">
        <v>22</v>
      </c>
      <c r="H523" s="1" t="s">
        <v>35</v>
      </c>
      <c r="I523" s="1" t="s">
        <v>62</v>
      </c>
      <c r="J523" s="2">
        <v>45905</v>
      </c>
      <c r="K523" s="2">
        <v>45792</v>
      </c>
      <c r="L523" s="1">
        <v>6</v>
      </c>
      <c r="M523" s="1" t="s">
        <v>56</v>
      </c>
      <c r="N523" s="1" t="s">
        <v>28</v>
      </c>
      <c r="O523" s="4">
        <v>39488.57</v>
      </c>
      <c r="P523" s="1">
        <v>5</v>
      </c>
      <c r="Q523" s="10" t="s">
        <v>72</v>
      </c>
      <c r="R523" s="14" t="str" cm="1">
        <f t="array" ref="R523">_xlfn.IFS(C523&lt;18,"Under 18",C523&lt;36,"18-35",C523&lt;51,"36-50",C523&lt;66,"51-65",C523&gt;=66,"66+")</f>
        <v>51-65</v>
      </c>
      <c r="S523" s="18">
        <v>45901</v>
      </c>
    </row>
    <row r="524" spans="1:19">
      <c r="A524" s="21" t="s">
        <v>1079</v>
      </c>
      <c r="B524" s="1" t="s">
        <v>246</v>
      </c>
      <c r="C524" s="1">
        <v>66</v>
      </c>
      <c r="D524" s="1" t="s">
        <v>27</v>
      </c>
      <c r="E524" s="1" t="s">
        <v>44</v>
      </c>
      <c r="F524" s="1" t="s">
        <v>21</v>
      </c>
      <c r="G524" s="1" t="s">
        <v>36</v>
      </c>
      <c r="H524" s="1" t="s">
        <v>61</v>
      </c>
      <c r="I524" s="1" t="s">
        <v>24</v>
      </c>
      <c r="J524" s="2">
        <v>45638</v>
      </c>
      <c r="K524" s="2">
        <v>45641</v>
      </c>
      <c r="L524" s="1">
        <v>3</v>
      </c>
      <c r="M524" s="1" t="s">
        <v>97</v>
      </c>
      <c r="N524" s="1" t="s">
        <v>39</v>
      </c>
      <c r="O524" s="4">
        <v>14481.48</v>
      </c>
      <c r="P524" s="1">
        <v>3</v>
      </c>
      <c r="Q524" s="10" t="s">
        <v>72</v>
      </c>
      <c r="R524" s="14" t="str" cm="1">
        <f t="array" ref="R524">_xlfn.IFS(C524&lt;18,"Under 18",C524&lt;36,"18-35",C524&lt;51,"36-50",C524&lt;66,"51-65",C524&gt;=66,"66+")</f>
        <v>66+</v>
      </c>
      <c r="S524" s="18">
        <v>45627</v>
      </c>
    </row>
    <row r="525" spans="1:19">
      <c r="A525" s="21" t="s">
        <v>1080</v>
      </c>
      <c r="B525" s="1" t="s">
        <v>603</v>
      </c>
      <c r="C525" s="1">
        <v>60</v>
      </c>
      <c r="D525" s="1" t="s">
        <v>27</v>
      </c>
      <c r="E525" s="1" t="s">
        <v>202</v>
      </c>
      <c r="F525" s="1" t="s">
        <v>67</v>
      </c>
      <c r="G525" s="1" t="s">
        <v>34</v>
      </c>
      <c r="H525" s="1" t="s">
        <v>45</v>
      </c>
      <c r="I525" s="1" t="s">
        <v>24</v>
      </c>
      <c r="J525" s="2">
        <v>45683</v>
      </c>
      <c r="K525" s="2">
        <v>45688</v>
      </c>
      <c r="L525" s="1">
        <v>5</v>
      </c>
      <c r="M525" s="1" t="s">
        <v>27</v>
      </c>
      <c r="N525" s="1" t="s">
        <v>57</v>
      </c>
      <c r="O525" s="4">
        <v>26869.95</v>
      </c>
      <c r="P525" s="1">
        <v>4</v>
      </c>
      <c r="Q525" s="10" t="s">
        <v>40</v>
      </c>
      <c r="R525" s="14" t="str" cm="1">
        <f t="array" ref="R525">_xlfn.IFS(C525&lt;18,"Under 18",C525&lt;36,"18-35",C525&lt;51,"36-50",C525&lt;66,"51-65",C525&gt;=66,"66+")</f>
        <v>51-65</v>
      </c>
      <c r="S525" s="18">
        <v>45658</v>
      </c>
    </row>
    <row r="526" spans="1:19">
      <c r="A526" s="21" t="s">
        <v>1082</v>
      </c>
      <c r="B526" s="1" t="s">
        <v>50</v>
      </c>
      <c r="C526" s="1">
        <v>89</v>
      </c>
      <c r="D526" s="1" t="s">
        <v>27</v>
      </c>
      <c r="E526" s="1" t="s">
        <v>137</v>
      </c>
      <c r="F526" s="1" t="s">
        <v>52</v>
      </c>
      <c r="G526" s="1" t="s">
        <v>36</v>
      </c>
      <c r="H526" s="1" t="s">
        <v>105</v>
      </c>
      <c r="I526" s="1" t="s">
        <v>36</v>
      </c>
      <c r="J526" s="2">
        <v>45447</v>
      </c>
      <c r="K526" s="2">
        <v>45477</v>
      </c>
      <c r="L526" s="1">
        <v>1</v>
      </c>
      <c r="M526" s="1" t="s">
        <v>97</v>
      </c>
      <c r="N526" s="1" t="s">
        <v>90</v>
      </c>
      <c r="O526" s="4">
        <v>53713.89</v>
      </c>
      <c r="P526" s="1">
        <v>2</v>
      </c>
      <c r="Q526" s="10" t="s">
        <v>58</v>
      </c>
      <c r="R526" s="14" t="str" cm="1">
        <f t="array" ref="R526">_xlfn.IFS(C526&lt;18,"Under 18",C526&lt;36,"18-35",C526&lt;51,"36-50",C526&lt;66,"51-65",C526&gt;=66,"66+")</f>
        <v>66+</v>
      </c>
      <c r="S526" s="18">
        <v>45444</v>
      </c>
    </row>
    <row r="527" spans="1:19">
      <c r="A527" s="21" t="s">
        <v>1083</v>
      </c>
      <c r="B527" s="1" t="s">
        <v>762</v>
      </c>
      <c r="C527" s="1">
        <v>9</v>
      </c>
      <c r="D527" s="1" t="s">
        <v>27</v>
      </c>
      <c r="E527" s="1" t="s">
        <v>202</v>
      </c>
      <c r="F527" s="1" t="s">
        <v>67</v>
      </c>
      <c r="G527" s="1" t="s">
        <v>22</v>
      </c>
      <c r="H527" s="1" t="s">
        <v>61</v>
      </c>
      <c r="I527" s="1" t="s">
        <v>62</v>
      </c>
      <c r="J527" s="2">
        <v>45890</v>
      </c>
      <c r="K527" s="2">
        <v>45897</v>
      </c>
      <c r="L527" s="1">
        <v>7</v>
      </c>
      <c r="M527" s="1" t="s">
        <v>38</v>
      </c>
      <c r="N527" s="1" t="s">
        <v>28</v>
      </c>
      <c r="O527" s="4">
        <v>82494.720000000001</v>
      </c>
      <c r="P527" s="1">
        <v>5</v>
      </c>
      <c r="Q527" s="10" t="s">
        <v>72</v>
      </c>
      <c r="R527" s="14" t="str" cm="1">
        <f t="array" ref="R527">_xlfn.IFS(C527&lt;18,"Under 18",C527&lt;36,"18-35",C527&lt;51,"36-50",C527&lt;66,"51-65",C527&gt;=66,"66+")</f>
        <v>Under 18</v>
      </c>
      <c r="S527" s="18">
        <v>45870</v>
      </c>
    </row>
    <row r="528" spans="1:19">
      <c r="A528" s="21" t="s">
        <v>1085</v>
      </c>
      <c r="B528" s="1" t="s">
        <v>84</v>
      </c>
      <c r="C528" s="1">
        <v>17</v>
      </c>
      <c r="D528" s="1" t="s">
        <v>27</v>
      </c>
      <c r="E528" s="1" t="s">
        <v>137</v>
      </c>
      <c r="F528" s="1" t="s">
        <v>52</v>
      </c>
      <c r="G528" s="1" t="s">
        <v>34</v>
      </c>
      <c r="H528" s="1" t="s">
        <v>45</v>
      </c>
      <c r="I528" s="1" t="s">
        <v>36</v>
      </c>
      <c r="J528" s="2">
        <v>45503</v>
      </c>
      <c r="K528" s="2">
        <v>45504</v>
      </c>
      <c r="L528" s="1">
        <v>1</v>
      </c>
      <c r="M528" s="1" t="s">
        <v>56</v>
      </c>
      <c r="N528" s="1" t="s">
        <v>82</v>
      </c>
      <c r="O528" s="4">
        <v>138294.62</v>
      </c>
      <c r="P528" s="1">
        <v>4</v>
      </c>
      <c r="Q528" s="10" t="s">
        <v>72</v>
      </c>
      <c r="R528" s="14" t="str" cm="1">
        <f t="array" ref="R528">_xlfn.IFS(C528&lt;18,"Under 18",C528&lt;36,"18-35",C528&lt;51,"36-50",C528&lt;66,"51-65",C528&gt;=66,"66+")</f>
        <v>Under 18</v>
      </c>
      <c r="S528" s="18">
        <v>45474</v>
      </c>
    </row>
    <row r="529" spans="1:19">
      <c r="A529" s="21" t="s">
        <v>1087</v>
      </c>
      <c r="B529" s="1" t="s">
        <v>603</v>
      </c>
      <c r="C529" s="1">
        <v>67</v>
      </c>
      <c r="D529" s="1" t="s">
        <v>43</v>
      </c>
      <c r="E529" s="1" t="s">
        <v>32</v>
      </c>
      <c r="F529" s="1" t="s">
        <v>52</v>
      </c>
      <c r="G529" s="1" t="s">
        <v>53</v>
      </c>
      <c r="H529" s="1" t="s">
        <v>23</v>
      </c>
      <c r="I529" s="1" t="s">
        <v>36</v>
      </c>
      <c r="J529" s="2">
        <v>45788</v>
      </c>
      <c r="K529" s="2">
        <v>45880</v>
      </c>
      <c r="L529" s="1">
        <v>3</v>
      </c>
      <c r="M529" s="1" t="s">
        <v>56</v>
      </c>
      <c r="N529" s="1" t="s">
        <v>28</v>
      </c>
      <c r="O529" s="4">
        <v>164596.81</v>
      </c>
      <c r="P529" s="1">
        <v>4</v>
      </c>
      <c r="Q529" s="10" t="s">
        <v>29</v>
      </c>
      <c r="R529" s="14" t="str" cm="1">
        <f t="array" ref="R529">_xlfn.IFS(C529&lt;18,"Under 18",C529&lt;36,"18-35",C529&lt;51,"36-50",C529&lt;66,"51-65",C529&gt;=66,"66+")</f>
        <v>66+</v>
      </c>
      <c r="S529" s="18">
        <v>45778</v>
      </c>
    </row>
    <row r="530" spans="1:19">
      <c r="A530" s="21" t="s">
        <v>1088</v>
      </c>
      <c r="B530" s="1" t="s">
        <v>179</v>
      </c>
      <c r="C530" s="1">
        <v>19</v>
      </c>
      <c r="D530" s="1" t="s">
        <v>43</v>
      </c>
      <c r="E530" s="1" t="s">
        <v>137</v>
      </c>
      <c r="F530" s="1" t="s">
        <v>52</v>
      </c>
      <c r="G530" s="1" t="s">
        <v>53</v>
      </c>
      <c r="H530" s="1" t="s">
        <v>105</v>
      </c>
      <c r="I530" s="1" t="s">
        <v>36</v>
      </c>
      <c r="J530" s="2">
        <v>45512</v>
      </c>
      <c r="K530" s="2">
        <v>45517</v>
      </c>
      <c r="L530" s="1">
        <v>5</v>
      </c>
      <c r="M530" s="1" t="s">
        <v>97</v>
      </c>
      <c r="N530" s="1" t="s">
        <v>57</v>
      </c>
      <c r="O530" s="4">
        <v>37630.410000000003</v>
      </c>
      <c r="P530" s="1">
        <v>2</v>
      </c>
      <c r="Q530" s="10" t="s">
        <v>72</v>
      </c>
      <c r="R530" s="14" t="str" cm="1">
        <f t="array" ref="R530">_xlfn.IFS(C530&lt;18,"Under 18",C530&lt;36,"18-35",C530&lt;51,"36-50",C530&lt;66,"51-65",C530&gt;=66,"66+")</f>
        <v>18-35</v>
      </c>
      <c r="S530" s="18">
        <v>45505</v>
      </c>
    </row>
    <row r="531" spans="1:19">
      <c r="A531" s="21" t="s">
        <v>1089</v>
      </c>
      <c r="B531" s="1" t="s">
        <v>378</v>
      </c>
      <c r="C531" s="1">
        <v>33</v>
      </c>
      <c r="D531" s="1" t="s">
        <v>27</v>
      </c>
      <c r="E531" s="1" t="s">
        <v>137</v>
      </c>
      <c r="F531" s="1" t="s">
        <v>21</v>
      </c>
      <c r="G531" s="1" t="s">
        <v>68</v>
      </c>
      <c r="H531" s="1" t="s">
        <v>61</v>
      </c>
      <c r="I531" s="1" t="s">
        <v>62</v>
      </c>
      <c r="J531" s="2">
        <v>45964</v>
      </c>
      <c r="K531" s="2">
        <v>45994</v>
      </c>
      <c r="L531" s="1">
        <v>1</v>
      </c>
      <c r="M531" s="1" t="s">
        <v>97</v>
      </c>
      <c r="N531" s="1" t="s">
        <v>57</v>
      </c>
      <c r="O531" s="4">
        <v>64154.48</v>
      </c>
      <c r="P531" s="1">
        <v>4</v>
      </c>
      <c r="Q531" s="10" t="s">
        <v>72</v>
      </c>
      <c r="R531" s="14" t="str" cm="1">
        <f t="array" ref="R531">_xlfn.IFS(C531&lt;18,"Under 18",C531&lt;36,"18-35",C531&lt;51,"36-50",C531&lt;66,"51-65",C531&gt;=66,"66+")</f>
        <v>18-35</v>
      </c>
      <c r="S531" s="18">
        <v>45962</v>
      </c>
    </row>
    <row r="532" spans="1:19">
      <c r="A532" s="21" t="s">
        <v>1090</v>
      </c>
      <c r="B532" s="1" t="s">
        <v>131</v>
      </c>
      <c r="C532" s="1">
        <v>78</v>
      </c>
      <c r="D532" s="1" t="s">
        <v>19</v>
      </c>
      <c r="E532" s="1" t="s">
        <v>66</v>
      </c>
      <c r="F532" s="1" t="s">
        <v>21</v>
      </c>
      <c r="G532" s="1" t="s">
        <v>36</v>
      </c>
      <c r="H532" s="1" t="s">
        <v>45</v>
      </c>
      <c r="I532" s="1" t="s">
        <v>62</v>
      </c>
      <c r="J532" s="2">
        <v>45371</v>
      </c>
      <c r="K532" s="2">
        <v>45372</v>
      </c>
      <c r="L532" s="1">
        <v>1</v>
      </c>
      <c r="M532" s="1" t="s">
        <v>48</v>
      </c>
      <c r="N532" s="1" t="s">
        <v>28</v>
      </c>
      <c r="O532" s="4">
        <v>36043.1</v>
      </c>
      <c r="P532" s="1">
        <v>2</v>
      </c>
      <c r="Q532" s="10" t="s">
        <v>58</v>
      </c>
      <c r="R532" s="14" t="str" cm="1">
        <f t="array" ref="R532">_xlfn.IFS(C532&lt;18,"Under 18",C532&lt;36,"18-35",C532&lt;51,"36-50",C532&lt;66,"51-65",C532&gt;=66,"66+")</f>
        <v>66+</v>
      </c>
      <c r="S532" s="18">
        <v>45352</v>
      </c>
    </row>
    <row r="533" spans="1:19">
      <c r="A533" s="21" t="s">
        <v>1092</v>
      </c>
      <c r="B533" s="1" t="s">
        <v>644</v>
      </c>
      <c r="C533" s="1">
        <v>29</v>
      </c>
      <c r="D533" s="1" t="s">
        <v>43</v>
      </c>
      <c r="E533" s="1" t="s">
        <v>44</v>
      </c>
      <c r="F533" s="1" t="s">
        <v>120</v>
      </c>
      <c r="G533" s="1" t="s">
        <v>68</v>
      </c>
      <c r="H533" s="1" t="s">
        <v>69</v>
      </c>
      <c r="I533" s="1" t="s">
        <v>24</v>
      </c>
      <c r="J533" s="2">
        <v>45399</v>
      </c>
      <c r="K533" s="2">
        <v>45400</v>
      </c>
      <c r="L533" s="1">
        <v>1</v>
      </c>
      <c r="M533" s="1" t="s">
        <v>38</v>
      </c>
      <c r="N533" s="1" t="s">
        <v>90</v>
      </c>
      <c r="O533" s="4">
        <v>71958.06</v>
      </c>
      <c r="P533" s="1">
        <v>4</v>
      </c>
      <c r="Q533" s="10" t="s">
        <v>72</v>
      </c>
      <c r="R533" s="14" t="str" cm="1">
        <f t="array" ref="R533">_xlfn.IFS(C533&lt;18,"Under 18",C533&lt;36,"18-35",C533&lt;51,"36-50",C533&lt;66,"51-65",C533&gt;=66,"66+")</f>
        <v>18-35</v>
      </c>
      <c r="S533" s="18">
        <v>45383</v>
      </c>
    </row>
    <row r="534" spans="1:19">
      <c r="A534" s="21" t="s">
        <v>1094</v>
      </c>
      <c r="B534" s="1" t="s">
        <v>378</v>
      </c>
      <c r="C534" s="1">
        <v>7</v>
      </c>
      <c r="D534" s="1" t="s">
        <v>19</v>
      </c>
      <c r="E534" s="1" t="s">
        <v>66</v>
      </c>
      <c r="F534" s="1" t="s">
        <v>21</v>
      </c>
      <c r="G534" s="1" t="s">
        <v>36</v>
      </c>
      <c r="H534" s="1" t="s">
        <v>93</v>
      </c>
      <c r="I534" s="1" t="s">
        <v>62</v>
      </c>
      <c r="J534" s="2">
        <v>45617</v>
      </c>
      <c r="K534" s="2">
        <v>45618</v>
      </c>
      <c r="L534" s="1">
        <v>1</v>
      </c>
      <c r="M534" s="1" t="s">
        <v>27</v>
      </c>
      <c r="N534" s="1" t="s">
        <v>63</v>
      </c>
      <c r="O534" s="4">
        <v>55238.64</v>
      </c>
      <c r="P534" s="1">
        <v>3</v>
      </c>
      <c r="Q534" s="10" t="s">
        <v>40</v>
      </c>
      <c r="R534" s="14" t="str" cm="1">
        <f t="array" ref="R534">_xlfn.IFS(C534&lt;18,"Under 18",C534&lt;36,"18-35",C534&lt;51,"36-50",C534&lt;66,"51-65",C534&gt;=66,"66+")</f>
        <v>Under 18</v>
      </c>
      <c r="S534" s="18">
        <v>45597</v>
      </c>
    </row>
    <row r="535" spans="1:19">
      <c r="A535" s="21" t="s">
        <v>1096</v>
      </c>
      <c r="B535" s="1" t="s">
        <v>1050</v>
      </c>
      <c r="C535" s="1">
        <v>7</v>
      </c>
      <c r="D535" s="1" t="s">
        <v>27</v>
      </c>
      <c r="E535" s="1" t="s">
        <v>117</v>
      </c>
      <c r="F535" s="1" t="s">
        <v>33</v>
      </c>
      <c r="G535" s="1" t="s">
        <v>36</v>
      </c>
      <c r="H535" s="1" t="s">
        <v>93</v>
      </c>
      <c r="I535" s="1" t="s">
        <v>24</v>
      </c>
      <c r="J535" s="2">
        <v>45946</v>
      </c>
      <c r="K535" s="2">
        <v>45953</v>
      </c>
      <c r="L535" s="1">
        <v>7</v>
      </c>
      <c r="M535" s="1" t="s">
        <v>56</v>
      </c>
      <c r="N535" s="1" t="s">
        <v>82</v>
      </c>
      <c r="O535" s="4">
        <v>25366.63</v>
      </c>
      <c r="P535" s="1">
        <v>5</v>
      </c>
      <c r="Q535" s="10" t="s">
        <v>72</v>
      </c>
      <c r="R535" s="14" t="str" cm="1">
        <f t="array" ref="R535">_xlfn.IFS(C535&lt;18,"Under 18",C535&lt;36,"18-35",C535&lt;51,"36-50",C535&lt;66,"51-65",C535&gt;=66,"66+")</f>
        <v>Under 18</v>
      </c>
      <c r="S535" s="18">
        <v>45931</v>
      </c>
    </row>
    <row r="536" spans="1:19">
      <c r="A536" s="21" t="s">
        <v>1097</v>
      </c>
      <c r="B536" s="1" t="s">
        <v>299</v>
      </c>
      <c r="C536" s="1">
        <v>40</v>
      </c>
      <c r="D536" s="1" t="s">
        <v>43</v>
      </c>
      <c r="E536" s="1" t="s">
        <v>202</v>
      </c>
      <c r="F536" s="1" t="s">
        <v>33</v>
      </c>
      <c r="G536" s="1" t="s">
        <v>132</v>
      </c>
      <c r="H536" s="1" t="s">
        <v>45</v>
      </c>
      <c r="I536" s="1" t="s">
        <v>24</v>
      </c>
      <c r="J536" s="2">
        <v>45612</v>
      </c>
      <c r="K536" s="2">
        <v>45617</v>
      </c>
      <c r="L536" s="1">
        <v>5</v>
      </c>
      <c r="M536" s="1" t="s">
        <v>27</v>
      </c>
      <c r="N536" s="1" t="s">
        <v>63</v>
      </c>
      <c r="O536" s="4">
        <v>24053.26</v>
      </c>
      <c r="P536" s="1">
        <v>2</v>
      </c>
      <c r="Q536" s="10" t="s">
        <v>29</v>
      </c>
      <c r="R536" s="14" t="str" cm="1">
        <f t="array" ref="R536">_xlfn.IFS(C536&lt;18,"Under 18",C536&lt;36,"18-35",C536&lt;51,"36-50",C536&lt;66,"51-65",C536&gt;=66,"66+")</f>
        <v>36-50</v>
      </c>
      <c r="S536" s="18">
        <v>45597</v>
      </c>
    </row>
    <row r="537" spans="1:19">
      <c r="A537" s="21" t="s">
        <v>1098</v>
      </c>
      <c r="B537" s="1" t="s">
        <v>65</v>
      </c>
      <c r="C537" s="1">
        <v>62</v>
      </c>
      <c r="D537" s="1" t="s">
        <v>43</v>
      </c>
      <c r="E537" s="1" t="s">
        <v>51</v>
      </c>
      <c r="F537" s="1" t="s">
        <v>52</v>
      </c>
      <c r="G537" s="1" t="s">
        <v>132</v>
      </c>
      <c r="H537" s="1" t="s">
        <v>99</v>
      </c>
      <c r="I537" s="1" t="s">
        <v>24</v>
      </c>
      <c r="J537" s="2">
        <v>45967</v>
      </c>
      <c r="K537" s="2">
        <v>45825</v>
      </c>
      <c r="L537" s="1">
        <v>6</v>
      </c>
      <c r="M537" s="1" t="s">
        <v>48</v>
      </c>
      <c r="N537" s="1" t="s">
        <v>90</v>
      </c>
      <c r="O537" s="4">
        <v>64133.69</v>
      </c>
      <c r="P537" s="1">
        <v>5</v>
      </c>
      <c r="Q537" s="10" t="s">
        <v>58</v>
      </c>
      <c r="R537" s="14" t="str" cm="1">
        <f t="array" ref="R537">_xlfn.IFS(C537&lt;18,"Under 18",C537&lt;36,"18-35",C537&lt;51,"36-50",C537&lt;66,"51-65",C537&gt;=66,"66+")</f>
        <v>51-65</v>
      </c>
      <c r="S537" s="18">
        <v>45962</v>
      </c>
    </row>
    <row r="538" spans="1:19">
      <c r="A538" s="21" t="s">
        <v>1099</v>
      </c>
      <c r="B538" s="1" t="s">
        <v>348</v>
      </c>
      <c r="C538" s="1">
        <v>22</v>
      </c>
      <c r="D538" s="1" t="s">
        <v>27</v>
      </c>
      <c r="E538" s="1" t="s">
        <v>32</v>
      </c>
      <c r="F538" s="1" t="s">
        <v>120</v>
      </c>
      <c r="G538" s="1" t="s">
        <v>110</v>
      </c>
      <c r="H538" s="1" t="s">
        <v>23</v>
      </c>
      <c r="I538" s="1" t="s">
        <v>24</v>
      </c>
      <c r="J538" s="2">
        <v>45828</v>
      </c>
      <c r="K538" s="2">
        <v>45829</v>
      </c>
      <c r="L538" s="1">
        <v>1</v>
      </c>
      <c r="M538" s="1" t="s">
        <v>56</v>
      </c>
      <c r="N538" s="1" t="s">
        <v>39</v>
      </c>
      <c r="O538" s="4">
        <v>47079.73</v>
      </c>
      <c r="P538" s="1">
        <v>4</v>
      </c>
      <c r="Q538" s="10" t="s">
        <v>72</v>
      </c>
      <c r="R538" s="14" t="str" cm="1">
        <f t="array" ref="R538">_xlfn.IFS(C538&lt;18,"Under 18",C538&lt;36,"18-35",C538&lt;51,"36-50",C538&lt;66,"51-65",C538&gt;=66,"66+")</f>
        <v>18-35</v>
      </c>
      <c r="S538" s="18">
        <v>45809</v>
      </c>
    </row>
    <row r="539" spans="1:19">
      <c r="A539" s="21" t="s">
        <v>1101</v>
      </c>
      <c r="B539" s="1" t="s">
        <v>295</v>
      </c>
      <c r="C539" s="1">
        <v>38</v>
      </c>
      <c r="D539" s="1" t="s">
        <v>43</v>
      </c>
      <c r="E539" s="1" t="s">
        <v>202</v>
      </c>
      <c r="F539" s="1" t="s">
        <v>120</v>
      </c>
      <c r="G539" s="1" t="s">
        <v>68</v>
      </c>
      <c r="H539" s="1" t="s">
        <v>23</v>
      </c>
      <c r="I539" s="1" t="s">
        <v>36</v>
      </c>
      <c r="J539" s="2">
        <v>45905</v>
      </c>
      <c r="K539" s="2">
        <v>45791</v>
      </c>
      <c r="L539" s="1">
        <v>5</v>
      </c>
      <c r="M539" s="1" t="s">
        <v>27</v>
      </c>
      <c r="N539" s="1" t="s">
        <v>57</v>
      </c>
      <c r="O539" s="4">
        <v>72278.100000000006</v>
      </c>
      <c r="P539" s="1">
        <v>1</v>
      </c>
      <c r="Q539" s="10" t="s">
        <v>40</v>
      </c>
      <c r="R539" s="14" t="str" cm="1">
        <f t="array" ref="R539">_xlfn.IFS(C539&lt;18,"Under 18",C539&lt;36,"18-35",C539&lt;51,"36-50",C539&lt;66,"51-65",C539&gt;=66,"66+")</f>
        <v>36-50</v>
      </c>
      <c r="S539" s="18">
        <v>45901</v>
      </c>
    </row>
    <row r="540" spans="1:19">
      <c r="A540" s="21" t="s">
        <v>1102</v>
      </c>
      <c r="B540" s="1" t="s">
        <v>792</v>
      </c>
      <c r="C540" s="1">
        <v>39</v>
      </c>
      <c r="D540" s="1" t="s">
        <v>43</v>
      </c>
      <c r="E540" s="1" t="s">
        <v>51</v>
      </c>
      <c r="F540" s="1" t="s">
        <v>67</v>
      </c>
      <c r="G540" s="1" t="s">
        <v>36</v>
      </c>
      <c r="H540" s="1" t="s">
        <v>88</v>
      </c>
      <c r="I540" s="1" t="s">
        <v>36</v>
      </c>
      <c r="J540" s="2">
        <v>45401</v>
      </c>
      <c r="K540" s="2">
        <v>45404</v>
      </c>
      <c r="L540" s="1">
        <v>3</v>
      </c>
      <c r="M540" s="1" t="s">
        <v>97</v>
      </c>
      <c r="N540" s="1" t="s">
        <v>28</v>
      </c>
      <c r="O540" s="4">
        <v>12647.05</v>
      </c>
      <c r="P540" s="1">
        <v>4</v>
      </c>
      <c r="Q540" s="10" t="s">
        <v>58</v>
      </c>
      <c r="R540" s="14" t="str" cm="1">
        <f t="array" ref="R540">_xlfn.IFS(C540&lt;18,"Under 18",C540&lt;36,"18-35",C540&lt;51,"36-50",C540&lt;66,"51-65",C540&gt;=66,"66+")</f>
        <v>36-50</v>
      </c>
      <c r="S540" s="18">
        <v>45383</v>
      </c>
    </row>
    <row r="541" spans="1:19">
      <c r="A541" s="21" t="s">
        <v>1103</v>
      </c>
      <c r="B541" s="1" t="s">
        <v>780</v>
      </c>
      <c r="C541" s="1">
        <v>1</v>
      </c>
      <c r="D541" s="1" t="s">
        <v>19</v>
      </c>
      <c r="E541" s="1" t="s">
        <v>159</v>
      </c>
      <c r="F541" s="1" t="s">
        <v>52</v>
      </c>
      <c r="G541" s="1" t="s">
        <v>68</v>
      </c>
      <c r="H541" s="1" t="s">
        <v>88</v>
      </c>
      <c r="I541" s="1" t="s">
        <v>62</v>
      </c>
      <c r="J541" s="2">
        <v>45727</v>
      </c>
      <c r="K541" s="2">
        <v>45788</v>
      </c>
      <c r="L541" s="1">
        <v>2</v>
      </c>
      <c r="M541" s="1" t="s">
        <v>56</v>
      </c>
      <c r="N541" s="1" t="s">
        <v>85</v>
      </c>
      <c r="O541" s="4">
        <v>43268.93</v>
      </c>
      <c r="P541" s="1">
        <v>3</v>
      </c>
      <c r="Q541" s="10" t="s">
        <v>40</v>
      </c>
      <c r="R541" s="14" t="str" cm="1">
        <f t="array" ref="R541">_xlfn.IFS(C541&lt;18,"Under 18",C541&lt;36,"18-35",C541&lt;51,"36-50",C541&lt;66,"51-65",C541&gt;=66,"66+")</f>
        <v>Under 18</v>
      </c>
      <c r="S541" s="18">
        <v>45717</v>
      </c>
    </row>
    <row r="542" spans="1:19">
      <c r="A542" s="21" t="s">
        <v>1104</v>
      </c>
      <c r="B542" s="1" t="s">
        <v>570</v>
      </c>
      <c r="C542" s="1">
        <v>56</v>
      </c>
      <c r="D542" s="1" t="s">
        <v>19</v>
      </c>
      <c r="E542" s="1" t="s">
        <v>159</v>
      </c>
      <c r="F542" s="1" t="s">
        <v>52</v>
      </c>
      <c r="G542" s="1" t="s">
        <v>34</v>
      </c>
      <c r="H542" s="1" t="s">
        <v>35</v>
      </c>
      <c r="I542" s="1" t="s">
        <v>62</v>
      </c>
      <c r="J542" s="2">
        <v>45689</v>
      </c>
      <c r="K542" s="2">
        <v>45748</v>
      </c>
      <c r="L542" s="1">
        <v>2</v>
      </c>
      <c r="M542" s="1" t="s">
        <v>48</v>
      </c>
      <c r="N542" s="1" t="s">
        <v>57</v>
      </c>
      <c r="O542" s="4">
        <v>76280.36</v>
      </c>
      <c r="P542" s="1">
        <v>5</v>
      </c>
      <c r="Q542" s="10" t="s">
        <v>58</v>
      </c>
      <c r="R542" s="14" t="str" cm="1">
        <f t="array" ref="R542">_xlfn.IFS(C542&lt;18,"Under 18",C542&lt;36,"18-35",C542&lt;51,"36-50",C542&lt;66,"51-65",C542&gt;=66,"66+")</f>
        <v>51-65</v>
      </c>
      <c r="S542" s="18">
        <v>45689</v>
      </c>
    </row>
    <row r="543" spans="1:19">
      <c r="A543" s="21" t="s">
        <v>1105</v>
      </c>
      <c r="B543" s="1" t="s">
        <v>381</v>
      </c>
      <c r="C543" s="1">
        <v>71</v>
      </c>
      <c r="D543" s="1" t="s">
        <v>43</v>
      </c>
      <c r="E543" s="1" t="s">
        <v>32</v>
      </c>
      <c r="F543" s="1" t="s">
        <v>75</v>
      </c>
      <c r="G543" s="1" t="s">
        <v>36</v>
      </c>
      <c r="H543" s="1" t="s">
        <v>23</v>
      </c>
      <c r="I543" s="1" t="s">
        <v>36</v>
      </c>
      <c r="J543" s="2">
        <v>45990</v>
      </c>
      <c r="K543" s="2">
        <v>45991</v>
      </c>
      <c r="L543" s="1">
        <v>1</v>
      </c>
      <c r="M543" s="1" t="s">
        <v>56</v>
      </c>
      <c r="N543" s="1" t="s">
        <v>85</v>
      </c>
      <c r="O543" s="4">
        <v>64997.599999999999</v>
      </c>
      <c r="P543" s="1">
        <v>5</v>
      </c>
      <c r="Q543" s="10" t="s">
        <v>40</v>
      </c>
      <c r="R543" s="14" t="str" cm="1">
        <f t="array" ref="R543">_xlfn.IFS(C543&lt;18,"Under 18",C543&lt;36,"18-35",C543&lt;51,"36-50",C543&lt;66,"51-65",C543&gt;=66,"66+")</f>
        <v>66+</v>
      </c>
      <c r="S543" s="18">
        <v>45962</v>
      </c>
    </row>
    <row r="544" spans="1:19">
      <c r="A544" s="21" t="s">
        <v>1106</v>
      </c>
      <c r="B544" s="1" t="s">
        <v>339</v>
      </c>
      <c r="C544" s="1">
        <v>65</v>
      </c>
      <c r="D544" s="1" t="s">
        <v>19</v>
      </c>
      <c r="E544" s="1" t="s">
        <v>159</v>
      </c>
      <c r="F544" s="1" t="s">
        <v>75</v>
      </c>
      <c r="G544" s="1" t="s">
        <v>36</v>
      </c>
      <c r="H544" s="1" t="s">
        <v>69</v>
      </c>
      <c r="I544" s="1" t="s">
        <v>62</v>
      </c>
      <c r="J544" s="2">
        <v>45669</v>
      </c>
      <c r="K544" s="2">
        <v>45700</v>
      </c>
      <c r="L544" s="1">
        <v>1</v>
      </c>
      <c r="M544" s="1" t="s">
        <v>56</v>
      </c>
      <c r="N544" s="1" t="s">
        <v>90</v>
      </c>
      <c r="O544" s="4">
        <v>65832.5</v>
      </c>
      <c r="P544" s="1">
        <v>4</v>
      </c>
      <c r="Q544" s="10" t="s">
        <v>29</v>
      </c>
      <c r="R544" s="14" t="str" cm="1">
        <f t="array" ref="R544">_xlfn.IFS(C544&lt;18,"Under 18",C544&lt;36,"18-35",C544&lt;51,"36-50",C544&lt;66,"51-65",C544&gt;=66,"66+")</f>
        <v>51-65</v>
      </c>
      <c r="S544" s="18">
        <v>45658</v>
      </c>
    </row>
    <row r="545" spans="1:19">
      <c r="A545" s="21" t="s">
        <v>1107</v>
      </c>
      <c r="B545" s="1" t="s">
        <v>354</v>
      </c>
      <c r="C545" s="1">
        <v>66</v>
      </c>
      <c r="D545" s="1" t="s">
        <v>19</v>
      </c>
      <c r="E545" s="1" t="s">
        <v>20</v>
      </c>
      <c r="F545" s="1" t="s">
        <v>67</v>
      </c>
      <c r="G545" s="1" t="s">
        <v>132</v>
      </c>
      <c r="H545" s="1" t="s">
        <v>76</v>
      </c>
      <c r="I545" s="1" t="s">
        <v>24</v>
      </c>
      <c r="J545" s="2">
        <v>45635</v>
      </c>
      <c r="K545" s="2">
        <v>45555</v>
      </c>
      <c r="L545" s="1">
        <v>8</v>
      </c>
      <c r="M545" s="1" t="s">
        <v>56</v>
      </c>
      <c r="N545" s="1" t="s">
        <v>85</v>
      </c>
      <c r="O545" s="4">
        <v>33105.14</v>
      </c>
      <c r="P545" s="1">
        <v>5</v>
      </c>
      <c r="Q545" s="10" t="s">
        <v>72</v>
      </c>
      <c r="R545" s="14" t="str" cm="1">
        <f t="array" ref="R545">_xlfn.IFS(C545&lt;18,"Under 18",C545&lt;36,"18-35",C545&lt;51,"36-50",C545&lt;66,"51-65",C545&gt;=66,"66+")</f>
        <v>66+</v>
      </c>
      <c r="S545" s="18">
        <v>45627</v>
      </c>
    </row>
    <row r="546" spans="1:19">
      <c r="A546" s="21" t="s">
        <v>1108</v>
      </c>
      <c r="B546" s="1" t="s">
        <v>391</v>
      </c>
      <c r="C546" s="1">
        <v>17</v>
      </c>
      <c r="D546" s="1" t="s">
        <v>43</v>
      </c>
      <c r="E546" s="1" t="s">
        <v>247</v>
      </c>
      <c r="F546" s="1" t="s">
        <v>33</v>
      </c>
      <c r="G546" s="1" t="s">
        <v>22</v>
      </c>
      <c r="H546" s="1" t="s">
        <v>99</v>
      </c>
      <c r="I546" s="1" t="s">
        <v>62</v>
      </c>
      <c r="J546" s="2">
        <v>45537</v>
      </c>
      <c r="K546" s="2">
        <v>45628</v>
      </c>
      <c r="L546" s="1">
        <v>3</v>
      </c>
      <c r="M546" s="1" t="s">
        <v>48</v>
      </c>
      <c r="N546" s="1" t="s">
        <v>90</v>
      </c>
      <c r="O546" s="4">
        <v>39765.74</v>
      </c>
      <c r="P546" s="1">
        <v>4</v>
      </c>
      <c r="Q546" s="10" t="s">
        <v>58</v>
      </c>
      <c r="R546" s="14" t="str" cm="1">
        <f t="array" ref="R546">_xlfn.IFS(C546&lt;18,"Under 18",C546&lt;36,"18-35",C546&lt;51,"36-50",C546&lt;66,"51-65",C546&gt;=66,"66+")</f>
        <v>Under 18</v>
      </c>
      <c r="S546" s="18">
        <v>45536</v>
      </c>
    </row>
    <row r="547" spans="1:19">
      <c r="A547" s="21" t="s">
        <v>1109</v>
      </c>
      <c r="B547" s="1" t="s">
        <v>593</v>
      </c>
      <c r="C547" s="1">
        <v>83</v>
      </c>
      <c r="D547" s="1" t="s">
        <v>19</v>
      </c>
      <c r="E547" s="1" t="s">
        <v>247</v>
      </c>
      <c r="F547" s="1" t="s">
        <v>21</v>
      </c>
      <c r="G547" s="1" t="s">
        <v>53</v>
      </c>
      <c r="H547" s="1" t="s">
        <v>76</v>
      </c>
      <c r="I547" s="1" t="s">
        <v>62</v>
      </c>
      <c r="J547" s="2">
        <v>45484</v>
      </c>
      <c r="K547" s="2">
        <v>45546</v>
      </c>
      <c r="L547" s="1">
        <v>2</v>
      </c>
      <c r="M547" s="1" t="s">
        <v>97</v>
      </c>
      <c r="N547" s="1" t="s">
        <v>82</v>
      </c>
      <c r="O547" s="4">
        <v>60225.45</v>
      </c>
      <c r="P547" s="1">
        <v>3</v>
      </c>
      <c r="Q547" s="10" t="s">
        <v>72</v>
      </c>
      <c r="R547" s="14" t="str" cm="1">
        <f t="array" ref="R547">_xlfn.IFS(C547&lt;18,"Under 18",C547&lt;36,"18-35",C547&lt;51,"36-50",C547&lt;66,"51-65",C547&gt;=66,"66+")</f>
        <v>66+</v>
      </c>
      <c r="S547" s="18">
        <v>45474</v>
      </c>
    </row>
    <row r="548" spans="1:19">
      <c r="A548" s="21" t="s">
        <v>1110</v>
      </c>
      <c r="B548" s="1" t="s">
        <v>1111</v>
      </c>
      <c r="C548" s="1">
        <v>56</v>
      </c>
      <c r="D548" s="1" t="s">
        <v>19</v>
      </c>
      <c r="E548" s="1" t="s">
        <v>247</v>
      </c>
      <c r="F548" s="1" t="s">
        <v>52</v>
      </c>
      <c r="G548" s="1" t="s">
        <v>22</v>
      </c>
      <c r="H548" s="1" t="s">
        <v>99</v>
      </c>
      <c r="I548" s="1" t="s">
        <v>62</v>
      </c>
      <c r="J548" s="2">
        <v>45550</v>
      </c>
      <c r="K548" s="2">
        <v>45553</v>
      </c>
      <c r="L548" s="1">
        <v>3</v>
      </c>
      <c r="M548" s="1" t="s">
        <v>27</v>
      </c>
      <c r="N548" s="1" t="s">
        <v>90</v>
      </c>
      <c r="O548" s="4">
        <v>61856.19</v>
      </c>
      <c r="P548" s="1">
        <v>5</v>
      </c>
      <c r="Q548" s="10" t="s">
        <v>40</v>
      </c>
      <c r="R548" s="14" t="str" cm="1">
        <f t="array" ref="R548">_xlfn.IFS(C548&lt;18,"Under 18",C548&lt;36,"18-35",C548&lt;51,"36-50",C548&lt;66,"51-65",C548&gt;=66,"66+")</f>
        <v>51-65</v>
      </c>
      <c r="S548" s="18">
        <v>45536</v>
      </c>
    </row>
    <row r="549" spans="1:19">
      <c r="A549" s="21" t="s">
        <v>1112</v>
      </c>
      <c r="B549" s="1" t="s">
        <v>283</v>
      </c>
      <c r="C549" s="1">
        <v>31</v>
      </c>
      <c r="D549" s="1" t="s">
        <v>27</v>
      </c>
      <c r="E549" s="1" t="s">
        <v>20</v>
      </c>
      <c r="F549" s="1" t="s">
        <v>52</v>
      </c>
      <c r="G549" s="1" t="s">
        <v>22</v>
      </c>
      <c r="H549" s="1" t="s">
        <v>35</v>
      </c>
      <c r="I549" s="1" t="s">
        <v>62</v>
      </c>
      <c r="J549" s="2">
        <v>45545</v>
      </c>
      <c r="K549" s="2">
        <v>45579</v>
      </c>
      <c r="L549" s="1">
        <v>5</v>
      </c>
      <c r="M549" s="1" t="s">
        <v>48</v>
      </c>
      <c r="N549" s="1" t="s">
        <v>28</v>
      </c>
      <c r="O549" s="4">
        <v>57957.78</v>
      </c>
      <c r="P549" s="1">
        <v>4</v>
      </c>
      <c r="Q549" s="10" t="s">
        <v>40</v>
      </c>
      <c r="R549" s="14" t="str" cm="1">
        <f t="array" ref="R549">_xlfn.IFS(C549&lt;18,"Under 18",C549&lt;36,"18-35",C549&lt;51,"36-50",C549&lt;66,"51-65",C549&gt;=66,"66+")</f>
        <v>18-35</v>
      </c>
      <c r="S549" s="18">
        <v>45536</v>
      </c>
    </row>
    <row r="550" spans="1:19">
      <c r="A550" s="21" t="s">
        <v>1113</v>
      </c>
      <c r="B550" s="1" t="s">
        <v>384</v>
      </c>
      <c r="C550" s="1">
        <v>39</v>
      </c>
      <c r="D550" s="1" t="s">
        <v>27</v>
      </c>
      <c r="E550" s="1" t="s">
        <v>247</v>
      </c>
      <c r="F550" s="1" t="s">
        <v>33</v>
      </c>
      <c r="G550" s="1" t="s">
        <v>110</v>
      </c>
      <c r="H550" s="1" t="s">
        <v>61</v>
      </c>
      <c r="I550" s="1" t="s">
        <v>24</v>
      </c>
      <c r="J550" s="2">
        <v>45777</v>
      </c>
      <c r="K550" s="2">
        <v>45752</v>
      </c>
      <c r="L550" s="1">
        <v>4</v>
      </c>
      <c r="M550" s="1" t="s">
        <v>48</v>
      </c>
      <c r="N550" s="1" t="s">
        <v>57</v>
      </c>
      <c r="O550" s="4">
        <v>78273.14</v>
      </c>
      <c r="P550" s="1">
        <v>5</v>
      </c>
      <c r="Q550" s="10" t="s">
        <v>72</v>
      </c>
      <c r="R550" s="14" t="str" cm="1">
        <f t="array" ref="R550">_xlfn.IFS(C550&lt;18,"Under 18",C550&lt;36,"18-35",C550&lt;51,"36-50",C550&lt;66,"51-65",C550&gt;=66,"66+")</f>
        <v>36-50</v>
      </c>
      <c r="S550" s="18">
        <v>45748</v>
      </c>
    </row>
    <row r="551" spans="1:19">
      <c r="A551" s="21" t="s">
        <v>1115</v>
      </c>
      <c r="B551" s="1" t="s">
        <v>830</v>
      </c>
      <c r="C551" s="1">
        <v>62</v>
      </c>
      <c r="D551" s="1" t="s">
        <v>43</v>
      </c>
      <c r="E551" s="1" t="s">
        <v>159</v>
      </c>
      <c r="F551" s="1" t="s">
        <v>52</v>
      </c>
      <c r="G551" s="1" t="s">
        <v>68</v>
      </c>
      <c r="H551" s="1" t="s">
        <v>99</v>
      </c>
      <c r="I551" s="1" t="s">
        <v>24</v>
      </c>
      <c r="J551" s="2">
        <v>45828</v>
      </c>
      <c r="K551" s="2">
        <v>45830</v>
      </c>
      <c r="L551" s="1">
        <v>2</v>
      </c>
      <c r="M551" s="1" t="s">
        <v>27</v>
      </c>
      <c r="N551" s="1" t="s">
        <v>28</v>
      </c>
      <c r="O551" s="4">
        <v>81773.61</v>
      </c>
      <c r="P551" s="1">
        <v>2</v>
      </c>
      <c r="Q551" s="10" t="s">
        <v>29</v>
      </c>
      <c r="R551" s="14" t="str" cm="1">
        <f t="array" ref="R551">_xlfn.IFS(C551&lt;18,"Under 18",C551&lt;36,"18-35",C551&lt;51,"36-50",C551&lt;66,"51-65",C551&gt;=66,"66+")</f>
        <v>51-65</v>
      </c>
      <c r="S551" s="18">
        <v>45809</v>
      </c>
    </row>
    <row r="552" spans="1:19">
      <c r="A552" s="21" t="s">
        <v>1116</v>
      </c>
      <c r="B552" s="1" t="s">
        <v>954</v>
      </c>
      <c r="C552" s="1">
        <v>57</v>
      </c>
      <c r="D552" s="1" t="s">
        <v>27</v>
      </c>
      <c r="E552" s="1" t="s">
        <v>51</v>
      </c>
      <c r="F552" s="1" t="s">
        <v>33</v>
      </c>
      <c r="G552" s="1" t="s">
        <v>68</v>
      </c>
      <c r="H552" s="1" t="s">
        <v>61</v>
      </c>
      <c r="I552" s="1" t="s">
        <v>24</v>
      </c>
      <c r="J552" s="2">
        <v>45685</v>
      </c>
      <c r="K552" s="2">
        <v>45779</v>
      </c>
      <c r="L552" s="1">
        <v>8</v>
      </c>
      <c r="M552" s="1" t="s">
        <v>27</v>
      </c>
      <c r="N552" s="1" t="s">
        <v>82</v>
      </c>
      <c r="O552" s="4">
        <v>31796.05</v>
      </c>
      <c r="P552" s="1">
        <v>3</v>
      </c>
      <c r="Q552" s="10" t="s">
        <v>40</v>
      </c>
      <c r="R552" s="14" t="str" cm="1">
        <f t="array" ref="R552">_xlfn.IFS(C552&lt;18,"Under 18",C552&lt;36,"18-35",C552&lt;51,"36-50",C552&lt;66,"51-65",C552&gt;=66,"66+")</f>
        <v>51-65</v>
      </c>
      <c r="S552" s="18">
        <v>45658</v>
      </c>
    </row>
    <row r="553" spans="1:19">
      <c r="A553" s="21" t="s">
        <v>1117</v>
      </c>
      <c r="B553" s="1" t="s">
        <v>735</v>
      </c>
      <c r="C553" s="1">
        <v>29</v>
      </c>
      <c r="D553" s="1" t="s">
        <v>43</v>
      </c>
      <c r="E553" s="1" t="s">
        <v>117</v>
      </c>
      <c r="F553" s="1" t="s">
        <v>75</v>
      </c>
      <c r="G553" s="1" t="s">
        <v>34</v>
      </c>
      <c r="H553" s="1" t="s">
        <v>23</v>
      </c>
      <c r="I553" s="1" t="s">
        <v>24</v>
      </c>
      <c r="J553" s="2">
        <v>46017</v>
      </c>
      <c r="K553" s="2">
        <v>46021</v>
      </c>
      <c r="L553" s="1">
        <v>4</v>
      </c>
      <c r="M553" s="1" t="s">
        <v>56</v>
      </c>
      <c r="N553" s="1" t="s">
        <v>39</v>
      </c>
      <c r="O553" s="4">
        <v>36301.769999999997</v>
      </c>
      <c r="P553" s="1">
        <v>3</v>
      </c>
      <c r="Q553" s="10" t="s">
        <v>29</v>
      </c>
      <c r="R553" s="14" t="str" cm="1">
        <f t="array" ref="R553">_xlfn.IFS(C553&lt;18,"Under 18",C553&lt;36,"18-35",C553&lt;51,"36-50",C553&lt;66,"51-65",C553&gt;=66,"66+")</f>
        <v>18-35</v>
      </c>
      <c r="S553" s="18">
        <v>45992</v>
      </c>
    </row>
    <row r="554" spans="1:19">
      <c r="A554" s="21" t="s">
        <v>1119</v>
      </c>
      <c r="B554" s="1" t="s">
        <v>280</v>
      </c>
      <c r="C554" s="1">
        <v>69</v>
      </c>
      <c r="D554" s="1" t="s">
        <v>19</v>
      </c>
      <c r="E554" s="1" t="s">
        <v>44</v>
      </c>
      <c r="F554" s="1" t="s">
        <v>120</v>
      </c>
      <c r="G554" s="1" t="s">
        <v>53</v>
      </c>
      <c r="H554" s="1" t="s">
        <v>88</v>
      </c>
      <c r="I554" s="1" t="s">
        <v>62</v>
      </c>
      <c r="J554" s="2">
        <v>45323</v>
      </c>
      <c r="K554" s="2">
        <v>45413</v>
      </c>
      <c r="L554" s="1">
        <v>3</v>
      </c>
      <c r="M554" s="1" t="s">
        <v>48</v>
      </c>
      <c r="N554" s="1" t="s">
        <v>63</v>
      </c>
      <c r="O554" s="4">
        <v>33169.71</v>
      </c>
      <c r="P554" s="1">
        <v>4</v>
      </c>
      <c r="Q554" s="10" t="s">
        <v>72</v>
      </c>
      <c r="R554" s="14" t="str" cm="1">
        <f t="array" ref="R554">_xlfn.IFS(C554&lt;18,"Under 18",C554&lt;36,"18-35",C554&lt;51,"36-50",C554&lt;66,"51-65",C554&gt;=66,"66+")</f>
        <v>66+</v>
      </c>
      <c r="S554" s="18">
        <v>45323</v>
      </c>
    </row>
    <row r="555" spans="1:19">
      <c r="A555" s="21" t="s">
        <v>1120</v>
      </c>
      <c r="B555" s="1" t="s">
        <v>529</v>
      </c>
      <c r="C555" s="1">
        <v>46</v>
      </c>
      <c r="D555" s="1" t="s">
        <v>19</v>
      </c>
      <c r="E555" s="1" t="s">
        <v>159</v>
      </c>
      <c r="F555" s="1" t="s">
        <v>21</v>
      </c>
      <c r="G555" s="1" t="s">
        <v>22</v>
      </c>
      <c r="H555" s="1" t="s">
        <v>76</v>
      </c>
      <c r="I555" s="1" t="s">
        <v>62</v>
      </c>
      <c r="J555" s="2">
        <v>45578</v>
      </c>
      <c r="K555" s="2">
        <v>45584</v>
      </c>
      <c r="L555" s="1">
        <v>6</v>
      </c>
      <c r="M555" s="1" t="s">
        <v>38</v>
      </c>
      <c r="N555" s="1" t="s">
        <v>85</v>
      </c>
      <c r="O555" s="4">
        <v>81032.91</v>
      </c>
      <c r="P555" s="1">
        <v>3</v>
      </c>
      <c r="Q555" s="10" t="s">
        <v>58</v>
      </c>
      <c r="R555" s="14" t="str" cm="1">
        <f t="array" ref="R555">_xlfn.IFS(C555&lt;18,"Under 18",C555&lt;36,"18-35",C555&lt;51,"36-50",C555&lt;66,"51-65",C555&gt;=66,"66+")</f>
        <v>36-50</v>
      </c>
      <c r="S555" s="18">
        <v>45566</v>
      </c>
    </row>
    <row r="556" spans="1:19">
      <c r="A556" s="21" t="s">
        <v>1121</v>
      </c>
      <c r="B556" s="1" t="s">
        <v>570</v>
      </c>
      <c r="C556" s="1">
        <v>20</v>
      </c>
      <c r="D556" s="1" t="s">
        <v>43</v>
      </c>
      <c r="E556" s="1" t="s">
        <v>44</v>
      </c>
      <c r="F556" s="1" t="s">
        <v>33</v>
      </c>
      <c r="G556" s="1" t="s">
        <v>104</v>
      </c>
      <c r="H556" s="1" t="s">
        <v>45</v>
      </c>
      <c r="I556" s="1" t="s">
        <v>24</v>
      </c>
      <c r="J556" s="2">
        <v>45529</v>
      </c>
      <c r="K556" s="2">
        <v>45300</v>
      </c>
      <c r="L556" s="1">
        <v>7</v>
      </c>
      <c r="M556" s="1" t="s">
        <v>56</v>
      </c>
      <c r="N556" s="1" t="s">
        <v>63</v>
      </c>
      <c r="O556" s="4">
        <v>48205.17</v>
      </c>
      <c r="P556" s="1">
        <v>4</v>
      </c>
      <c r="Q556" s="10" t="s">
        <v>40</v>
      </c>
      <c r="R556" s="14" t="str" cm="1">
        <f t="array" ref="R556">_xlfn.IFS(C556&lt;18,"Under 18",C556&lt;36,"18-35",C556&lt;51,"36-50",C556&lt;66,"51-65",C556&gt;=66,"66+")</f>
        <v>18-35</v>
      </c>
      <c r="S556" s="18">
        <v>45505</v>
      </c>
    </row>
    <row r="557" spans="1:19">
      <c r="A557" s="21" t="s">
        <v>1123</v>
      </c>
      <c r="B557" s="1" t="s">
        <v>335</v>
      </c>
      <c r="C557" s="1">
        <v>3</v>
      </c>
      <c r="D557" s="1" t="s">
        <v>43</v>
      </c>
      <c r="E557" s="1" t="s">
        <v>32</v>
      </c>
      <c r="F557" s="1" t="s">
        <v>52</v>
      </c>
      <c r="G557" s="1" t="s">
        <v>132</v>
      </c>
      <c r="H557" s="1" t="s">
        <v>45</v>
      </c>
      <c r="I557" s="1" t="s">
        <v>24</v>
      </c>
      <c r="J557" s="2">
        <v>45458</v>
      </c>
      <c r="K557" s="2">
        <v>45467</v>
      </c>
      <c r="L557" s="1">
        <v>9</v>
      </c>
      <c r="M557" s="1" t="s">
        <v>56</v>
      </c>
      <c r="N557" s="1" t="s">
        <v>63</v>
      </c>
      <c r="O557" s="4">
        <v>28096.42</v>
      </c>
      <c r="P557" s="1">
        <v>4</v>
      </c>
      <c r="Q557" s="10" t="s">
        <v>72</v>
      </c>
      <c r="R557" s="14" t="str" cm="1">
        <f t="array" ref="R557">_xlfn.IFS(C557&lt;18,"Under 18",C557&lt;36,"18-35",C557&lt;51,"36-50",C557&lt;66,"51-65",C557&gt;=66,"66+")</f>
        <v>Under 18</v>
      </c>
      <c r="S557" s="18">
        <v>45444</v>
      </c>
    </row>
    <row r="558" spans="1:19">
      <c r="A558" s="21" t="s">
        <v>1125</v>
      </c>
      <c r="B558" s="1" t="s">
        <v>259</v>
      </c>
      <c r="C558" s="1">
        <v>78</v>
      </c>
      <c r="D558" s="1" t="s">
        <v>19</v>
      </c>
      <c r="E558" s="1" t="s">
        <v>202</v>
      </c>
      <c r="F558" s="1" t="s">
        <v>75</v>
      </c>
      <c r="G558" s="1" t="s">
        <v>34</v>
      </c>
      <c r="H558" s="1" t="s">
        <v>35</v>
      </c>
      <c r="I558" s="1" t="s">
        <v>24</v>
      </c>
      <c r="J558" s="2">
        <v>45678</v>
      </c>
      <c r="K558" s="2">
        <v>45679</v>
      </c>
      <c r="L558" s="1">
        <v>1</v>
      </c>
      <c r="M558" s="1" t="s">
        <v>38</v>
      </c>
      <c r="N558" s="1" t="s">
        <v>39</v>
      </c>
      <c r="O558" s="4">
        <v>38421.629999999997</v>
      </c>
      <c r="P558" s="1">
        <v>3</v>
      </c>
      <c r="Q558" s="10" t="s">
        <v>72</v>
      </c>
      <c r="R558" s="14" t="str" cm="1">
        <f t="array" ref="R558">_xlfn.IFS(C558&lt;18,"Under 18",C558&lt;36,"18-35",C558&lt;51,"36-50",C558&lt;66,"51-65",C558&gt;=66,"66+")</f>
        <v>66+</v>
      </c>
      <c r="S558" s="18">
        <v>45658</v>
      </c>
    </row>
    <row r="559" spans="1:19">
      <c r="A559" s="21" t="s">
        <v>1126</v>
      </c>
      <c r="B559" s="1" t="s">
        <v>565</v>
      </c>
      <c r="C559" s="1">
        <v>26</v>
      </c>
      <c r="D559" s="1" t="s">
        <v>19</v>
      </c>
      <c r="E559" s="1" t="s">
        <v>51</v>
      </c>
      <c r="F559" s="1" t="s">
        <v>75</v>
      </c>
      <c r="G559" s="1" t="s">
        <v>68</v>
      </c>
      <c r="H559" s="1" t="s">
        <v>88</v>
      </c>
      <c r="I559" s="1" t="s">
        <v>36</v>
      </c>
      <c r="J559" s="2">
        <v>45813</v>
      </c>
      <c r="K559" s="2">
        <v>45796</v>
      </c>
      <c r="L559" s="1">
        <v>13</v>
      </c>
      <c r="M559" s="1" t="s">
        <v>48</v>
      </c>
      <c r="N559" s="1" t="s">
        <v>28</v>
      </c>
      <c r="O559" s="4">
        <v>58700.39</v>
      </c>
      <c r="P559" s="1">
        <v>3</v>
      </c>
      <c r="Q559" s="10" t="s">
        <v>40</v>
      </c>
      <c r="R559" s="14" t="str" cm="1">
        <f t="array" ref="R559">_xlfn.IFS(C559&lt;18,"Under 18",C559&lt;36,"18-35",C559&lt;51,"36-50",C559&lt;66,"51-65",C559&gt;=66,"66+")</f>
        <v>18-35</v>
      </c>
      <c r="S559" s="18">
        <v>45809</v>
      </c>
    </row>
    <row r="560" spans="1:19">
      <c r="A560" s="21" t="s">
        <v>1127</v>
      </c>
      <c r="B560" s="1" t="s">
        <v>221</v>
      </c>
      <c r="C560" s="1">
        <v>14</v>
      </c>
      <c r="D560" s="1" t="s">
        <v>27</v>
      </c>
      <c r="E560" s="1" t="s">
        <v>66</v>
      </c>
      <c r="F560" s="1" t="s">
        <v>75</v>
      </c>
      <c r="G560" s="1" t="s">
        <v>53</v>
      </c>
      <c r="H560" s="1" t="s">
        <v>105</v>
      </c>
      <c r="I560" s="1" t="s">
        <v>36</v>
      </c>
      <c r="J560" s="2">
        <v>45660</v>
      </c>
      <c r="K560" s="2">
        <v>45719</v>
      </c>
      <c r="L560" s="1">
        <v>2</v>
      </c>
      <c r="M560" s="1" t="s">
        <v>48</v>
      </c>
      <c r="N560" s="1" t="s">
        <v>82</v>
      </c>
      <c r="O560" s="4">
        <v>56725.31</v>
      </c>
      <c r="P560" s="1">
        <v>4</v>
      </c>
      <c r="Q560" s="10" t="s">
        <v>40</v>
      </c>
      <c r="R560" s="14" t="str" cm="1">
        <f t="array" ref="R560">_xlfn.IFS(C560&lt;18,"Under 18",C560&lt;36,"18-35",C560&lt;51,"36-50",C560&lt;66,"51-65",C560&gt;=66,"66+")</f>
        <v>Under 18</v>
      </c>
      <c r="S560" s="18">
        <v>45658</v>
      </c>
    </row>
    <row r="561" spans="1:19">
      <c r="A561" s="21" t="s">
        <v>1128</v>
      </c>
      <c r="B561" s="1" t="s">
        <v>644</v>
      </c>
      <c r="C561" s="1">
        <v>10</v>
      </c>
      <c r="D561" s="1" t="s">
        <v>27</v>
      </c>
      <c r="E561" s="1" t="s">
        <v>44</v>
      </c>
      <c r="F561" s="1" t="s">
        <v>21</v>
      </c>
      <c r="G561" s="1" t="s">
        <v>22</v>
      </c>
      <c r="H561" s="1" t="s">
        <v>99</v>
      </c>
      <c r="I561" s="1" t="s">
        <v>24</v>
      </c>
      <c r="J561" s="2">
        <v>45485</v>
      </c>
      <c r="K561" s="2">
        <v>45577</v>
      </c>
      <c r="L561" s="1">
        <v>3</v>
      </c>
      <c r="M561" s="1" t="s">
        <v>97</v>
      </c>
      <c r="N561" s="1" t="s">
        <v>85</v>
      </c>
      <c r="O561" s="4">
        <v>56128.97</v>
      </c>
      <c r="P561" s="1">
        <v>3</v>
      </c>
      <c r="Q561" s="10" t="s">
        <v>40</v>
      </c>
      <c r="R561" s="14" t="str" cm="1">
        <f t="array" ref="R561">_xlfn.IFS(C561&lt;18,"Under 18",C561&lt;36,"18-35",C561&lt;51,"36-50",C561&lt;66,"51-65",C561&gt;=66,"66+")</f>
        <v>Under 18</v>
      </c>
      <c r="S561" s="18">
        <v>45474</v>
      </c>
    </row>
    <row r="562" spans="1:19">
      <c r="A562" s="21" t="s">
        <v>1129</v>
      </c>
      <c r="B562" s="1" t="s">
        <v>190</v>
      </c>
      <c r="C562" s="1">
        <v>80</v>
      </c>
      <c r="D562" s="1" t="s">
        <v>43</v>
      </c>
      <c r="E562" s="1" t="s">
        <v>66</v>
      </c>
      <c r="F562" s="1" t="s">
        <v>120</v>
      </c>
      <c r="G562" s="1" t="s">
        <v>53</v>
      </c>
      <c r="H562" s="1" t="s">
        <v>105</v>
      </c>
      <c r="I562" s="1" t="s">
        <v>36</v>
      </c>
      <c r="J562" s="2">
        <v>45648</v>
      </c>
      <c r="K562" s="2">
        <v>45650</v>
      </c>
      <c r="L562" s="1">
        <v>2</v>
      </c>
      <c r="M562" s="1" t="s">
        <v>97</v>
      </c>
      <c r="N562" s="1" t="s">
        <v>57</v>
      </c>
      <c r="O562" s="4">
        <v>130988.36</v>
      </c>
      <c r="P562" s="1">
        <v>2</v>
      </c>
      <c r="Q562" s="10" t="s">
        <v>58</v>
      </c>
      <c r="R562" s="14" t="str" cm="1">
        <f t="array" ref="R562">_xlfn.IFS(C562&lt;18,"Under 18",C562&lt;36,"18-35",C562&lt;51,"36-50",C562&lt;66,"51-65",C562&gt;=66,"66+")</f>
        <v>66+</v>
      </c>
      <c r="S562" s="18">
        <v>45627</v>
      </c>
    </row>
    <row r="563" spans="1:19">
      <c r="A563" s="21" t="s">
        <v>1130</v>
      </c>
      <c r="B563" s="1" t="s">
        <v>275</v>
      </c>
      <c r="C563" s="1">
        <v>9</v>
      </c>
      <c r="D563" s="1" t="s">
        <v>19</v>
      </c>
      <c r="E563" s="1" t="s">
        <v>66</v>
      </c>
      <c r="F563" s="1" t="s">
        <v>52</v>
      </c>
      <c r="G563" s="1" t="s">
        <v>110</v>
      </c>
      <c r="H563" s="1" t="s">
        <v>76</v>
      </c>
      <c r="I563" s="1" t="s">
        <v>36</v>
      </c>
      <c r="J563" s="2">
        <v>45883</v>
      </c>
      <c r="K563" s="2">
        <v>45884</v>
      </c>
      <c r="L563" s="1">
        <v>1</v>
      </c>
      <c r="M563" s="1" t="s">
        <v>97</v>
      </c>
      <c r="N563" s="1" t="s">
        <v>57</v>
      </c>
      <c r="O563" s="4">
        <v>62074.94</v>
      </c>
      <c r="P563" s="1">
        <v>4</v>
      </c>
      <c r="Q563" s="10" t="s">
        <v>58</v>
      </c>
      <c r="R563" s="14" t="str" cm="1">
        <f t="array" ref="R563">_xlfn.IFS(C563&lt;18,"Under 18",C563&lt;36,"18-35",C563&lt;51,"36-50",C563&lt;66,"51-65",C563&gt;=66,"66+")</f>
        <v>Under 18</v>
      </c>
      <c r="S563" s="18">
        <v>45870</v>
      </c>
    </row>
    <row r="564" spans="1:19">
      <c r="A564" s="21" t="s">
        <v>1131</v>
      </c>
      <c r="B564" s="1" t="s">
        <v>674</v>
      </c>
      <c r="C564" s="1">
        <v>69</v>
      </c>
      <c r="D564" s="1" t="s">
        <v>27</v>
      </c>
      <c r="E564" s="1" t="s">
        <v>20</v>
      </c>
      <c r="F564" s="1" t="s">
        <v>120</v>
      </c>
      <c r="G564" s="1" t="s">
        <v>22</v>
      </c>
      <c r="H564" s="1" t="s">
        <v>69</v>
      </c>
      <c r="I564" s="1" t="s">
        <v>36</v>
      </c>
      <c r="J564" s="2">
        <v>45796</v>
      </c>
      <c r="K564" s="2">
        <v>45800</v>
      </c>
      <c r="L564" s="1">
        <v>4</v>
      </c>
      <c r="M564" s="1" t="s">
        <v>56</v>
      </c>
      <c r="N564" s="1" t="s">
        <v>39</v>
      </c>
      <c r="O564" s="4">
        <v>64189.24</v>
      </c>
      <c r="P564" s="1">
        <v>4</v>
      </c>
      <c r="Q564" s="10" t="s">
        <v>72</v>
      </c>
      <c r="R564" s="14" t="str" cm="1">
        <f t="array" ref="R564">_xlfn.IFS(C564&lt;18,"Under 18",C564&lt;36,"18-35",C564&lt;51,"36-50",C564&lt;66,"51-65",C564&gt;=66,"66+")</f>
        <v>66+</v>
      </c>
      <c r="S564" s="18">
        <v>45778</v>
      </c>
    </row>
    <row r="565" spans="1:19">
      <c r="A565" s="21" t="s">
        <v>1132</v>
      </c>
      <c r="B565" s="1" t="s">
        <v>128</v>
      </c>
      <c r="C565" s="1">
        <v>47</v>
      </c>
      <c r="D565" s="1" t="s">
        <v>27</v>
      </c>
      <c r="E565" s="1" t="s">
        <v>20</v>
      </c>
      <c r="F565" s="1" t="s">
        <v>21</v>
      </c>
      <c r="G565" s="1" t="s">
        <v>110</v>
      </c>
      <c r="H565" s="1" t="s">
        <v>105</v>
      </c>
      <c r="I565" s="1" t="s">
        <v>36</v>
      </c>
      <c r="J565" s="2">
        <v>45777</v>
      </c>
      <c r="K565" s="2">
        <v>45721</v>
      </c>
      <c r="L565" s="1">
        <v>3</v>
      </c>
      <c r="M565" s="1" t="s">
        <v>56</v>
      </c>
      <c r="N565" s="1" t="s">
        <v>28</v>
      </c>
      <c r="O565" s="4">
        <v>89015.06</v>
      </c>
      <c r="P565" s="1">
        <v>4</v>
      </c>
      <c r="Q565" s="10" t="s">
        <v>29</v>
      </c>
      <c r="R565" s="14" t="str" cm="1">
        <f t="array" ref="R565">_xlfn.IFS(C565&lt;18,"Under 18",C565&lt;36,"18-35",C565&lt;51,"36-50",C565&lt;66,"51-65",C565&gt;=66,"66+")</f>
        <v>36-50</v>
      </c>
      <c r="S565" s="18">
        <v>45748</v>
      </c>
    </row>
    <row r="566" spans="1:19">
      <c r="A566" s="21" t="s">
        <v>1133</v>
      </c>
      <c r="B566" s="1" t="s">
        <v>190</v>
      </c>
      <c r="C566" s="1">
        <v>49</v>
      </c>
      <c r="D566" s="1" t="s">
        <v>27</v>
      </c>
      <c r="E566" s="1" t="s">
        <v>247</v>
      </c>
      <c r="F566" s="1" t="s">
        <v>21</v>
      </c>
      <c r="G566" s="1" t="s">
        <v>22</v>
      </c>
      <c r="H566" s="1" t="s">
        <v>93</v>
      </c>
      <c r="I566" s="1" t="s">
        <v>36</v>
      </c>
      <c r="J566" s="2">
        <v>45318</v>
      </c>
      <c r="K566" s="2">
        <v>45324</v>
      </c>
      <c r="L566" s="1">
        <v>6</v>
      </c>
      <c r="M566" s="1" t="s">
        <v>56</v>
      </c>
      <c r="N566" s="1" t="s">
        <v>28</v>
      </c>
      <c r="O566" s="4">
        <v>73132.92</v>
      </c>
      <c r="P566" s="1">
        <v>5</v>
      </c>
      <c r="Q566" s="10" t="s">
        <v>72</v>
      </c>
      <c r="R566" s="14" t="str" cm="1">
        <f t="array" ref="R566">_xlfn.IFS(C566&lt;18,"Under 18",C566&lt;36,"18-35",C566&lt;51,"36-50",C566&lt;66,"51-65",C566&gt;=66,"66+")</f>
        <v>36-50</v>
      </c>
      <c r="S566" s="18">
        <v>45292</v>
      </c>
    </row>
    <row r="567" spans="1:19">
      <c r="A567" s="21" t="s">
        <v>1134</v>
      </c>
      <c r="B567" s="1" t="s">
        <v>324</v>
      </c>
      <c r="C567" s="1">
        <v>73</v>
      </c>
      <c r="D567" s="1" t="s">
        <v>43</v>
      </c>
      <c r="E567" s="1" t="s">
        <v>32</v>
      </c>
      <c r="F567" s="1" t="s">
        <v>21</v>
      </c>
      <c r="G567" s="1" t="s">
        <v>68</v>
      </c>
      <c r="H567" s="1" t="s">
        <v>93</v>
      </c>
      <c r="I567" s="1" t="s">
        <v>36</v>
      </c>
      <c r="J567" s="2">
        <v>45328</v>
      </c>
      <c r="K567" s="2">
        <v>45449</v>
      </c>
      <c r="L567" s="1">
        <v>4</v>
      </c>
      <c r="M567" s="1" t="s">
        <v>48</v>
      </c>
      <c r="N567" s="1" t="s">
        <v>90</v>
      </c>
      <c r="O567" s="4">
        <v>42041.14</v>
      </c>
      <c r="P567" s="1">
        <v>4</v>
      </c>
      <c r="Q567" s="10" t="s">
        <v>29</v>
      </c>
      <c r="R567" s="14" t="str" cm="1">
        <f t="array" ref="R567">_xlfn.IFS(C567&lt;18,"Under 18",C567&lt;36,"18-35",C567&lt;51,"36-50",C567&lt;66,"51-65",C567&gt;=66,"66+")</f>
        <v>66+</v>
      </c>
      <c r="S567" s="18">
        <v>45323</v>
      </c>
    </row>
    <row r="568" spans="1:19">
      <c r="A568" s="21" t="s">
        <v>1135</v>
      </c>
      <c r="B568" s="1" t="s">
        <v>659</v>
      </c>
      <c r="C568" s="1">
        <v>65</v>
      </c>
      <c r="D568" s="1" t="s">
        <v>19</v>
      </c>
      <c r="E568" s="1" t="s">
        <v>20</v>
      </c>
      <c r="F568" s="1" t="s">
        <v>33</v>
      </c>
      <c r="G568" s="1" t="s">
        <v>104</v>
      </c>
      <c r="H568" s="1" t="s">
        <v>23</v>
      </c>
      <c r="I568" s="1" t="s">
        <v>36</v>
      </c>
      <c r="J568" s="2">
        <v>45627</v>
      </c>
      <c r="K568" s="2">
        <v>45313</v>
      </c>
      <c r="L568" s="1">
        <v>10</v>
      </c>
      <c r="M568" s="1" t="s">
        <v>38</v>
      </c>
      <c r="N568" s="1" t="s">
        <v>28</v>
      </c>
      <c r="O568" s="4">
        <v>79915.87</v>
      </c>
      <c r="P568" s="1">
        <v>3</v>
      </c>
      <c r="Q568" s="10" t="s">
        <v>58</v>
      </c>
      <c r="R568" s="14" t="str" cm="1">
        <f t="array" ref="R568">_xlfn.IFS(C568&lt;18,"Under 18",C568&lt;36,"18-35",C568&lt;51,"36-50",C568&lt;66,"51-65",C568&gt;=66,"66+")</f>
        <v>51-65</v>
      </c>
      <c r="S568" s="18">
        <v>45627</v>
      </c>
    </row>
    <row r="569" spans="1:19">
      <c r="A569" s="21" t="s">
        <v>1136</v>
      </c>
      <c r="B569" s="1" t="s">
        <v>519</v>
      </c>
      <c r="C569" s="1">
        <v>17</v>
      </c>
      <c r="D569" s="1" t="s">
        <v>27</v>
      </c>
      <c r="E569" s="1" t="s">
        <v>137</v>
      </c>
      <c r="F569" s="1" t="s">
        <v>33</v>
      </c>
      <c r="G569" s="1" t="s">
        <v>110</v>
      </c>
      <c r="H569" s="1" t="s">
        <v>23</v>
      </c>
      <c r="I569" s="1" t="s">
        <v>36</v>
      </c>
      <c r="J569" s="2">
        <v>45390</v>
      </c>
      <c r="K569" s="2">
        <v>45543</v>
      </c>
      <c r="L569" s="1">
        <v>5</v>
      </c>
      <c r="M569" s="1" t="s">
        <v>48</v>
      </c>
      <c r="N569" s="1" t="s">
        <v>39</v>
      </c>
      <c r="O569" s="4">
        <v>71308.539999999994</v>
      </c>
      <c r="P569" s="1">
        <v>4</v>
      </c>
      <c r="Q569" s="10" t="s">
        <v>40</v>
      </c>
      <c r="R569" s="14" t="str" cm="1">
        <f t="array" ref="R569">_xlfn.IFS(C569&lt;18,"Under 18",C569&lt;36,"18-35",C569&lt;51,"36-50",C569&lt;66,"51-65",C569&gt;=66,"66+")</f>
        <v>Under 18</v>
      </c>
      <c r="S569" s="18">
        <v>45383</v>
      </c>
    </row>
    <row r="570" spans="1:19">
      <c r="A570" s="21" t="s">
        <v>1137</v>
      </c>
      <c r="B570" s="1" t="s">
        <v>954</v>
      </c>
      <c r="C570" s="1">
        <v>83</v>
      </c>
      <c r="D570" s="1" t="s">
        <v>43</v>
      </c>
      <c r="E570" s="1" t="s">
        <v>117</v>
      </c>
      <c r="F570" s="1" t="s">
        <v>21</v>
      </c>
      <c r="G570" s="1" t="s">
        <v>53</v>
      </c>
      <c r="H570" s="1" t="s">
        <v>99</v>
      </c>
      <c r="I570" s="1" t="s">
        <v>24</v>
      </c>
      <c r="J570" s="2">
        <v>45491</v>
      </c>
      <c r="K570" s="2">
        <v>45492</v>
      </c>
      <c r="L570" s="1">
        <v>1</v>
      </c>
      <c r="M570" s="1" t="s">
        <v>56</v>
      </c>
      <c r="N570" s="1" t="s">
        <v>63</v>
      </c>
      <c r="O570" s="4">
        <v>39702.01</v>
      </c>
      <c r="P570" s="1">
        <v>2</v>
      </c>
      <c r="Q570" s="10" t="s">
        <v>72</v>
      </c>
      <c r="R570" s="14" t="str" cm="1">
        <f t="array" ref="R570">_xlfn.IFS(C570&lt;18,"Under 18",C570&lt;36,"18-35",C570&lt;51,"36-50",C570&lt;66,"51-65",C570&gt;=66,"66+")</f>
        <v>66+</v>
      </c>
      <c r="S570" s="18">
        <v>45474</v>
      </c>
    </row>
    <row r="571" spans="1:19">
      <c r="A571" s="21" t="s">
        <v>1139</v>
      </c>
      <c r="B571" s="1" t="s">
        <v>396</v>
      </c>
      <c r="C571" s="1">
        <v>31</v>
      </c>
      <c r="D571" s="1" t="s">
        <v>43</v>
      </c>
      <c r="E571" s="1" t="s">
        <v>247</v>
      </c>
      <c r="F571" s="1" t="s">
        <v>120</v>
      </c>
      <c r="G571" s="1" t="s">
        <v>104</v>
      </c>
      <c r="H571" s="1" t="s">
        <v>99</v>
      </c>
      <c r="I571" s="1" t="s">
        <v>62</v>
      </c>
      <c r="J571" s="2">
        <v>45379</v>
      </c>
      <c r="K571" s="2">
        <v>45326</v>
      </c>
      <c r="L571" s="1">
        <v>5</v>
      </c>
      <c r="M571" s="1" t="s">
        <v>27</v>
      </c>
      <c r="N571" s="1" t="s">
        <v>85</v>
      </c>
      <c r="O571" s="4">
        <v>15507.57</v>
      </c>
      <c r="P571" s="1">
        <v>2</v>
      </c>
      <c r="Q571" s="10" t="s">
        <v>40</v>
      </c>
      <c r="R571" s="14" t="str" cm="1">
        <f t="array" ref="R571">_xlfn.IFS(C571&lt;18,"Under 18",C571&lt;36,"18-35",C571&lt;51,"36-50",C571&lt;66,"51-65",C571&gt;=66,"66+")</f>
        <v>18-35</v>
      </c>
      <c r="S571" s="18">
        <v>45352</v>
      </c>
    </row>
    <row r="572" spans="1:19">
      <c r="A572" s="21" t="s">
        <v>1141</v>
      </c>
      <c r="B572" s="1" t="s">
        <v>636</v>
      </c>
      <c r="C572" s="1">
        <v>51</v>
      </c>
      <c r="D572" s="1" t="s">
        <v>27</v>
      </c>
      <c r="E572" s="1" t="s">
        <v>44</v>
      </c>
      <c r="F572" s="1" t="s">
        <v>33</v>
      </c>
      <c r="G572" s="1" t="s">
        <v>36</v>
      </c>
      <c r="H572" s="1" t="s">
        <v>23</v>
      </c>
      <c r="I572" s="1" t="s">
        <v>62</v>
      </c>
      <c r="J572" s="2">
        <v>45656</v>
      </c>
      <c r="K572" s="2">
        <v>45809</v>
      </c>
      <c r="L572" s="1">
        <v>7</v>
      </c>
      <c r="M572" s="1" t="s">
        <v>27</v>
      </c>
      <c r="N572" s="1" t="s">
        <v>39</v>
      </c>
      <c r="O572" s="4">
        <v>19373.21</v>
      </c>
      <c r="P572" s="1">
        <v>5</v>
      </c>
      <c r="Q572" s="10" t="s">
        <v>72</v>
      </c>
      <c r="R572" s="14" t="str" cm="1">
        <f t="array" ref="R572">_xlfn.IFS(C572&lt;18,"Under 18",C572&lt;36,"18-35",C572&lt;51,"36-50",C572&lt;66,"51-65",C572&gt;=66,"66+")</f>
        <v>51-65</v>
      </c>
      <c r="S572" s="18">
        <v>45627</v>
      </c>
    </row>
    <row r="573" spans="1:19">
      <c r="A573" s="21" t="s">
        <v>1142</v>
      </c>
      <c r="B573" s="1" t="s">
        <v>261</v>
      </c>
      <c r="C573" s="1">
        <v>38</v>
      </c>
      <c r="D573" s="1" t="s">
        <v>19</v>
      </c>
      <c r="E573" s="1" t="s">
        <v>51</v>
      </c>
      <c r="F573" s="1" t="s">
        <v>67</v>
      </c>
      <c r="G573" s="1" t="s">
        <v>22</v>
      </c>
      <c r="H573" s="1" t="s">
        <v>61</v>
      </c>
      <c r="I573" s="1" t="s">
        <v>24</v>
      </c>
      <c r="J573" s="2">
        <v>45388</v>
      </c>
      <c r="K573" s="2">
        <v>45510</v>
      </c>
      <c r="L573" s="1">
        <v>4</v>
      </c>
      <c r="M573" s="1" t="s">
        <v>27</v>
      </c>
      <c r="N573" s="1" t="s">
        <v>63</v>
      </c>
      <c r="O573" s="4">
        <v>76561.350000000006</v>
      </c>
      <c r="P573" s="1">
        <v>5</v>
      </c>
      <c r="Q573" s="10" t="s">
        <v>40</v>
      </c>
      <c r="R573" s="14" t="str" cm="1">
        <f t="array" ref="R573">_xlfn.IFS(C573&lt;18,"Under 18",C573&lt;36,"18-35",C573&lt;51,"36-50",C573&lt;66,"51-65",C573&gt;=66,"66+")</f>
        <v>36-50</v>
      </c>
      <c r="S573" s="18">
        <v>45383</v>
      </c>
    </row>
    <row r="574" spans="1:19">
      <c r="A574" s="21" t="s">
        <v>1143</v>
      </c>
      <c r="B574" s="1" t="s">
        <v>172</v>
      </c>
      <c r="C574" s="1">
        <v>58</v>
      </c>
      <c r="D574" s="1" t="s">
        <v>19</v>
      </c>
      <c r="E574" s="1" t="s">
        <v>20</v>
      </c>
      <c r="F574" s="1" t="s">
        <v>67</v>
      </c>
      <c r="G574" s="1" t="s">
        <v>36</v>
      </c>
      <c r="H574" s="1" t="s">
        <v>99</v>
      </c>
      <c r="I574" s="1" t="s">
        <v>24</v>
      </c>
      <c r="J574" s="2">
        <v>45639</v>
      </c>
      <c r="K574" s="2">
        <v>45642</v>
      </c>
      <c r="L574" s="1">
        <v>3</v>
      </c>
      <c r="M574" s="1" t="s">
        <v>48</v>
      </c>
      <c r="N574" s="1" t="s">
        <v>85</v>
      </c>
      <c r="O574" s="4">
        <v>77019.63</v>
      </c>
      <c r="P574" s="1">
        <v>5</v>
      </c>
      <c r="Q574" s="10" t="s">
        <v>58</v>
      </c>
      <c r="R574" s="14" t="str" cm="1">
        <f t="array" ref="R574">_xlfn.IFS(C574&lt;18,"Under 18",C574&lt;36,"18-35",C574&lt;51,"36-50",C574&lt;66,"51-65",C574&gt;=66,"66+")</f>
        <v>51-65</v>
      </c>
      <c r="S574" s="18">
        <v>45627</v>
      </c>
    </row>
    <row r="575" spans="1:19">
      <c r="A575" s="21" t="s">
        <v>1145</v>
      </c>
      <c r="B575" s="1" t="s">
        <v>310</v>
      </c>
      <c r="C575" s="1">
        <v>13</v>
      </c>
      <c r="D575" s="1" t="s">
        <v>19</v>
      </c>
      <c r="E575" s="1" t="s">
        <v>32</v>
      </c>
      <c r="F575" s="1" t="s">
        <v>120</v>
      </c>
      <c r="G575" s="1" t="s">
        <v>22</v>
      </c>
      <c r="H575" s="1" t="s">
        <v>93</v>
      </c>
      <c r="I575" s="1" t="s">
        <v>24</v>
      </c>
      <c r="J575" s="2">
        <v>45438</v>
      </c>
      <c r="K575" s="2">
        <v>45442</v>
      </c>
      <c r="L575" s="1">
        <v>4</v>
      </c>
      <c r="M575" s="1" t="s">
        <v>38</v>
      </c>
      <c r="N575" s="1" t="s">
        <v>82</v>
      </c>
      <c r="O575" s="4">
        <v>18870.32</v>
      </c>
      <c r="P575" s="1">
        <v>3</v>
      </c>
      <c r="Q575" s="10" t="s">
        <v>72</v>
      </c>
      <c r="R575" s="14" t="str" cm="1">
        <f t="array" ref="R575">_xlfn.IFS(C575&lt;18,"Under 18",C575&lt;36,"18-35",C575&lt;51,"36-50",C575&lt;66,"51-65",C575&gt;=66,"66+")</f>
        <v>Under 18</v>
      </c>
      <c r="S575" s="18">
        <v>45413</v>
      </c>
    </row>
    <row r="576" spans="1:19">
      <c r="A576" s="21" t="s">
        <v>1147</v>
      </c>
      <c r="B576" s="1" t="s">
        <v>221</v>
      </c>
      <c r="C576" s="1">
        <v>10</v>
      </c>
      <c r="D576" s="1" t="s">
        <v>19</v>
      </c>
      <c r="E576" s="1" t="s">
        <v>202</v>
      </c>
      <c r="F576" s="1" t="s">
        <v>120</v>
      </c>
      <c r="G576" s="1" t="s">
        <v>68</v>
      </c>
      <c r="H576" s="1" t="s">
        <v>93</v>
      </c>
      <c r="I576" s="1" t="s">
        <v>62</v>
      </c>
      <c r="J576" s="2">
        <v>46019</v>
      </c>
      <c r="K576" s="2">
        <v>46021</v>
      </c>
      <c r="L576" s="1">
        <v>2</v>
      </c>
      <c r="M576" s="1" t="s">
        <v>97</v>
      </c>
      <c r="N576" s="1" t="s">
        <v>57</v>
      </c>
      <c r="O576" s="4">
        <v>59471.32</v>
      </c>
      <c r="P576" s="1">
        <v>3</v>
      </c>
      <c r="Q576" s="10" t="s">
        <v>29</v>
      </c>
      <c r="R576" s="14" t="str" cm="1">
        <f t="array" ref="R576">_xlfn.IFS(C576&lt;18,"Under 18",C576&lt;36,"18-35",C576&lt;51,"36-50",C576&lt;66,"51-65",C576&gt;=66,"66+")</f>
        <v>Under 18</v>
      </c>
      <c r="S576" s="18">
        <v>45992</v>
      </c>
    </row>
    <row r="577" spans="1:19">
      <c r="A577" s="21" t="s">
        <v>1148</v>
      </c>
      <c r="B577" s="1" t="s">
        <v>574</v>
      </c>
      <c r="C577" s="1">
        <v>57</v>
      </c>
      <c r="D577" s="1" t="s">
        <v>43</v>
      </c>
      <c r="E577" s="1" t="s">
        <v>66</v>
      </c>
      <c r="F577" s="1" t="s">
        <v>75</v>
      </c>
      <c r="G577" s="1" t="s">
        <v>68</v>
      </c>
      <c r="H577" s="1" t="s">
        <v>99</v>
      </c>
      <c r="I577" s="1" t="s">
        <v>62</v>
      </c>
      <c r="J577" s="2">
        <v>45875</v>
      </c>
      <c r="K577" s="2">
        <v>45822</v>
      </c>
      <c r="L577" s="1">
        <v>6</v>
      </c>
      <c r="M577" s="1" t="s">
        <v>97</v>
      </c>
      <c r="N577" s="1" t="s">
        <v>85</v>
      </c>
      <c r="O577" s="4">
        <v>57304.800000000003</v>
      </c>
      <c r="P577" s="1">
        <v>4</v>
      </c>
      <c r="Q577" s="10" t="s">
        <v>58</v>
      </c>
      <c r="R577" s="14" t="str" cm="1">
        <f t="array" ref="R577">_xlfn.IFS(C577&lt;18,"Under 18",C577&lt;36,"18-35",C577&lt;51,"36-50",C577&lt;66,"51-65",C577&gt;=66,"66+")</f>
        <v>51-65</v>
      </c>
      <c r="S577" s="18">
        <v>45870</v>
      </c>
    </row>
    <row r="578" spans="1:19">
      <c r="A578" s="21" t="s">
        <v>1149</v>
      </c>
      <c r="B578" s="1" t="s">
        <v>50</v>
      </c>
      <c r="C578" s="1">
        <v>10</v>
      </c>
      <c r="D578" s="1" t="s">
        <v>19</v>
      </c>
      <c r="E578" s="1" t="s">
        <v>32</v>
      </c>
      <c r="F578" s="1" t="s">
        <v>33</v>
      </c>
      <c r="G578" s="1" t="s">
        <v>104</v>
      </c>
      <c r="H578" s="1" t="s">
        <v>23</v>
      </c>
      <c r="I578" s="1" t="s">
        <v>62</v>
      </c>
      <c r="J578" s="2">
        <v>45659</v>
      </c>
      <c r="K578" s="2">
        <v>45840</v>
      </c>
      <c r="L578" s="1">
        <v>6</v>
      </c>
      <c r="M578" s="1" t="s">
        <v>56</v>
      </c>
      <c r="N578" s="1" t="s">
        <v>57</v>
      </c>
      <c r="O578" s="4">
        <v>77709.240000000005</v>
      </c>
      <c r="P578" s="1">
        <v>4</v>
      </c>
      <c r="Q578" s="10" t="s">
        <v>40</v>
      </c>
      <c r="R578" s="14" t="str" cm="1">
        <f t="array" ref="R578">_xlfn.IFS(C578&lt;18,"Under 18",C578&lt;36,"18-35",C578&lt;51,"36-50",C578&lt;66,"51-65",C578&gt;=66,"66+")</f>
        <v>Under 18</v>
      </c>
      <c r="S578" s="18">
        <v>45658</v>
      </c>
    </row>
    <row r="579" spans="1:19">
      <c r="A579" s="21" t="s">
        <v>1150</v>
      </c>
      <c r="B579" s="1" t="s">
        <v>169</v>
      </c>
      <c r="C579" s="1">
        <v>9</v>
      </c>
      <c r="D579" s="1" t="s">
        <v>43</v>
      </c>
      <c r="E579" s="1" t="s">
        <v>66</v>
      </c>
      <c r="F579" s="1" t="s">
        <v>52</v>
      </c>
      <c r="G579" s="1" t="s">
        <v>104</v>
      </c>
      <c r="H579" s="1" t="s">
        <v>45</v>
      </c>
      <c r="I579" s="1" t="s">
        <v>36</v>
      </c>
      <c r="J579" s="2">
        <v>45642</v>
      </c>
      <c r="K579" s="2">
        <v>45646</v>
      </c>
      <c r="L579" s="1">
        <v>4</v>
      </c>
      <c r="M579" s="1" t="s">
        <v>38</v>
      </c>
      <c r="N579" s="1" t="s">
        <v>90</v>
      </c>
      <c r="O579" s="4">
        <v>32321.38</v>
      </c>
      <c r="P579" s="1">
        <v>1</v>
      </c>
      <c r="Q579" s="10" t="s">
        <v>72</v>
      </c>
      <c r="R579" s="14" t="str" cm="1">
        <f t="array" ref="R579">_xlfn.IFS(C579&lt;18,"Under 18",C579&lt;36,"18-35",C579&lt;51,"36-50",C579&lt;66,"51-65",C579&gt;=66,"66+")</f>
        <v>Under 18</v>
      </c>
      <c r="S579" s="18">
        <v>45627</v>
      </c>
    </row>
    <row r="580" spans="1:19">
      <c r="A580" s="21" t="s">
        <v>1151</v>
      </c>
      <c r="B580" s="1" t="s">
        <v>709</v>
      </c>
      <c r="C580" s="1">
        <v>77</v>
      </c>
      <c r="D580" s="1" t="s">
        <v>43</v>
      </c>
      <c r="E580" s="1" t="s">
        <v>117</v>
      </c>
      <c r="F580" s="1" t="s">
        <v>52</v>
      </c>
      <c r="G580" s="1" t="s">
        <v>132</v>
      </c>
      <c r="H580" s="1" t="s">
        <v>99</v>
      </c>
      <c r="I580" s="1" t="s">
        <v>36</v>
      </c>
      <c r="J580" s="2">
        <v>45385</v>
      </c>
      <c r="K580" s="2">
        <v>45364</v>
      </c>
      <c r="L580" s="1">
        <v>9</v>
      </c>
      <c r="M580" s="1" t="s">
        <v>48</v>
      </c>
      <c r="N580" s="1" t="s">
        <v>85</v>
      </c>
      <c r="O580" s="4">
        <v>34298.730000000003</v>
      </c>
      <c r="P580" s="1">
        <v>1</v>
      </c>
      <c r="Q580" s="10" t="s">
        <v>72</v>
      </c>
      <c r="R580" s="14" t="str" cm="1">
        <f t="array" ref="R580">_xlfn.IFS(C580&lt;18,"Under 18",C580&lt;36,"18-35",C580&lt;51,"36-50",C580&lt;66,"51-65",C580&gt;=66,"66+")</f>
        <v>66+</v>
      </c>
      <c r="S580" s="18">
        <v>45383</v>
      </c>
    </row>
    <row r="581" spans="1:19">
      <c r="A581" s="21" t="s">
        <v>1152</v>
      </c>
      <c r="B581" s="1" t="s">
        <v>275</v>
      </c>
      <c r="C581" s="1">
        <v>36</v>
      </c>
      <c r="D581" s="1" t="s">
        <v>43</v>
      </c>
      <c r="E581" s="1" t="s">
        <v>117</v>
      </c>
      <c r="F581" s="1" t="s">
        <v>21</v>
      </c>
      <c r="G581" s="1" t="s">
        <v>68</v>
      </c>
      <c r="H581" s="1" t="s">
        <v>35</v>
      </c>
      <c r="I581" s="1" t="s">
        <v>36</v>
      </c>
      <c r="J581" s="2">
        <v>45375</v>
      </c>
      <c r="K581" s="2">
        <v>45378</v>
      </c>
      <c r="L581" s="1">
        <v>3</v>
      </c>
      <c r="M581" s="1" t="s">
        <v>38</v>
      </c>
      <c r="N581" s="1" t="s">
        <v>57</v>
      </c>
      <c r="O581" s="4">
        <v>72630.080000000002</v>
      </c>
      <c r="P581" s="1">
        <v>2</v>
      </c>
      <c r="Q581" s="10" t="s">
        <v>58</v>
      </c>
      <c r="R581" s="14" t="str" cm="1">
        <f t="array" ref="R581">_xlfn.IFS(C581&lt;18,"Under 18",C581&lt;36,"18-35",C581&lt;51,"36-50",C581&lt;66,"51-65",C581&gt;=66,"66+")</f>
        <v>36-50</v>
      </c>
      <c r="S581" s="18">
        <v>45352</v>
      </c>
    </row>
    <row r="582" spans="1:19">
      <c r="A582" s="21" t="s">
        <v>1154</v>
      </c>
      <c r="B582" s="1" t="s">
        <v>1111</v>
      </c>
      <c r="C582" s="1">
        <v>61</v>
      </c>
      <c r="D582" s="1" t="s">
        <v>27</v>
      </c>
      <c r="E582" s="1" t="s">
        <v>247</v>
      </c>
      <c r="F582" s="1" t="s">
        <v>75</v>
      </c>
      <c r="G582" s="1" t="s">
        <v>132</v>
      </c>
      <c r="H582" s="1" t="s">
        <v>45</v>
      </c>
      <c r="I582" s="1" t="s">
        <v>36</v>
      </c>
      <c r="J582" s="2">
        <v>45820</v>
      </c>
      <c r="K582" s="2">
        <v>46007</v>
      </c>
      <c r="L582" s="1">
        <v>10</v>
      </c>
      <c r="M582" s="1" t="s">
        <v>97</v>
      </c>
      <c r="N582" s="1" t="s">
        <v>85</v>
      </c>
      <c r="O582" s="4">
        <v>80948.539999999994</v>
      </c>
      <c r="P582" s="1">
        <v>4</v>
      </c>
      <c r="Q582" s="10" t="s">
        <v>58</v>
      </c>
      <c r="R582" s="14" t="str" cm="1">
        <f t="array" ref="R582">_xlfn.IFS(C582&lt;18,"Under 18",C582&lt;36,"18-35",C582&lt;51,"36-50",C582&lt;66,"51-65",C582&gt;=66,"66+")</f>
        <v>51-65</v>
      </c>
      <c r="S582" s="18">
        <v>45809</v>
      </c>
    </row>
    <row r="583" spans="1:19">
      <c r="A583" s="21" t="s">
        <v>1156</v>
      </c>
      <c r="B583" s="1" t="s">
        <v>521</v>
      </c>
      <c r="C583" s="1">
        <v>41</v>
      </c>
      <c r="D583" s="1" t="s">
        <v>19</v>
      </c>
      <c r="E583" s="1" t="s">
        <v>202</v>
      </c>
      <c r="F583" s="1" t="s">
        <v>21</v>
      </c>
      <c r="G583" s="1" t="s">
        <v>104</v>
      </c>
      <c r="H583" s="1" t="s">
        <v>35</v>
      </c>
      <c r="I583" s="1" t="s">
        <v>24</v>
      </c>
      <c r="J583" s="2">
        <v>45982</v>
      </c>
      <c r="K583" s="2">
        <v>45984</v>
      </c>
      <c r="L583" s="1">
        <v>2</v>
      </c>
      <c r="M583" s="1" t="s">
        <v>56</v>
      </c>
      <c r="N583" s="1" t="s">
        <v>57</v>
      </c>
      <c r="O583" s="4">
        <v>58303.39</v>
      </c>
      <c r="P583" s="1">
        <v>4</v>
      </c>
      <c r="Q583" s="10" t="s">
        <v>29</v>
      </c>
      <c r="R583" s="14" t="str" cm="1">
        <f t="array" ref="R583">_xlfn.IFS(C583&lt;18,"Under 18",C583&lt;36,"18-35",C583&lt;51,"36-50",C583&lt;66,"51-65",C583&gt;=66,"66+")</f>
        <v>36-50</v>
      </c>
      <c r="S583" s="18">
        <v>45962</v>
      </c>
    </row>
    <row r="584" spans="1:19">
      <c r="A584" s="21" t="s">
        <v>1158</v>
      </c>
      <c r="B584" s="1" t="s">
        <v>492</v>
      </c>
      <c r="C584" s="1">
        <v>77</v>
      </c>
      <c r="D584" s="1" t="s">
        <v>43</v>
      </c>
      <c r="E584" s="1" t="s">
        <v>159</v>
      </c>
      <c r="F584" s="1" t="s">
        <v>52</v>
      </c>
      <c r="G584" s="1" t="s">
        <v>34</v>
      </c>
      <c r="H584" s="1" t="s">
        <v>88</v>
      </c>
      <c r="I584" s="1" t="s">
        <v>62</v>
      </c>
      <c r="J584" s="2">
        <v>45543</v>
      </c>
      <c r="K584" s="2">
        <v>45604</v>
      </c>
      <c r="L584" s="1">
        <v>2</v>
      </c>
      <c r="M584" s="1" t="s">
        <v>97</v>
      </c>
      <c r="N584" s="1" t="s">
        <v>57</v>
      </c>
      <c r="O584" s="4">
        <v>86727.61</v>
      </c>
      <c r="P584" s="1">
        <v>5</v>
      </c>
      <c r="Q584" s="10" t="s">
        <v>40</v>
      </c>
      <c r="R584" s="14" t="str" cm="1">
        <f t="array" ref="R584">_xlfn.IFS(C584&lt;18,"Under 18",C584&lt;36,"18-35",C584&lt;51,"36-50",C584&lt;66,"51-65",C584&gt;=66,"66+")</f>
        <v>66+</v>
      </c>
      <c r="S584" s="18">
        <v>45536</v>
      </c>
    </row>
    <row r="585" spans="1:19">
      <c r="A585" s="21" t="s">
        <v>1159</v>
      </c>
      <c r="B585" s="1" t="s">
        <v>709</v>
      </c>
      <c r="C585" s="1">
        <v>46</v>
      </c>
      <c r="D585" s="1" t="s">
        <v>27</v>
      </c>
      <c r="E585" s="1" t="s">
        <v>44</v>
      </c>
      <c r="F585" s="1" t="s">
        <v>75</v>
      </c>
      <c r="G585" s="1" t="s">
        <v>110</v>
      </c>
      <c r="H585" s="1" t="s">
        <v>23</v>
      </c>
      <c r="I585" s="1" t="s">
        <v>36</v>
      </c>
      <c r="J585" s="2">
        <v>45994</v>
      </c>
      <c r="K585" s="2">
        <v>45731</v>
      </c>
      <c r="L585" s="1">
        <v>3</v>
      </c>
      <c r="M585" s="1" t="s">
        <v>48</v>
      </c>
      <c r="N585" s="1" t="s">
        <v>28</v>
      </c>
      <c r="O585" s="4">
        <v>63823.42</v>
      </c>
      <c r="P585" s="1">
        <v>4</v>
      </c>
      <c r="Q585" s="10" t="s">
        <v>72</v>
      </c>
      <c r="R585" s="14" t="str" cm="1">
        <f t="array" ref="R585">_xlfn.IFS(C585&lt;18,"Under 18",C585&lt;36,"18-35",C585&lt;51,"36-50",C585&lt;66,"51-65",C585&gt;=66,"66+")</f>
        <v>36-50</v>
      </c>
      <c r="S585" s="18">
        <v>45992</v>
      </c>
    </row>
    <row r="586" spans="1:19">
      <c r="A586" s="21" t="s">
        <v>1160</v>
      </c>
      <c r="B586" s="1" t="s">
        <v>308</v>
      </c>
      <c r="C586" s="1">
        <v>79</v>
      </c>
      <c r="D586" s="1" t="s">
        <v>43</v>
      </c>
      <c r="E586" s="1" t="s">
        <v>20</v>
      </c>
      <c r="F586" s="1" t="s">
        <v>21</v>
      </c>
      <c r="G586" s="1" t="s">
        <v>22</v>
      </c>
      <c r="H586" s="1" t="s">
        <v>93</v>
      </c>
      <c r="I586" s="1" t="s">
        <v>62</v>
      </c>
      <c r="J586" s="2">
        <v>45398</v>
      </c>
      <c r="K586" s="2">
        <v>45405</v>
      </c>
      <c r="L586" s="1">
        <v>7</v>
      </c>
      <c r="M586" s="1" t="s">
        <v>27</v>
      </c>
      <c r="N586" s="1" t="s">
        <v>57</v>
      </c>
      <c r="O586" s="4">
        <v>48745.39</v>
      </c>
      <c r="P586" s="1">
        <v>5</v>
      </c>
      <c r="Q586" s="10" t="s">
        <v>72</v>
      </c>
      <c r="R586" s="14" t="str" cm="1">
        <f t="array" ref="R586">_xlfn.IFS(C586&lt;18,"Under 18",C586&lt;36,"18-35",C586&lt;51,"36-50",C586&lt;66,"51-65",C586&gt;=66,"66+")</f>
        <v>66+</v>
      </c>
      <c r="S586" s="18">
        <v>45383</v>
      </c>
    </row>
    <row r="587" spans="1:19">
      <c r="A587" s="21" t="s">
        <v>1161</v>
      </c>
      <c r="B587" s="1" t="s">
        <v>74</v>
      </c>
      <c r="C587" s="1">
        <v>26</v>
      </c>
      <c r="D587" s="1" t="s">
        <v>43</v>
      </c>
      <c r="E587" s="1" t="s">
        <v>117</v>
      </c>
      <c r="F587" s="1" t="s">
        <v>52</v>
      </c>
      <c r="G587" s="1" t="s">
        <v>36</v>
      </c>
      <c r="H587" s="1" t="s">
        <v>99</v>
      </c>
      <c r="I587" s="1" t="s">
        <v>62</v>
      </c>
      <c r="J587" s="2">
        <v>45478</v>
      </c>
      <c r="K587" s="2">
        <v>45570</v>
      </c>
      <c r="L587" s="1">
        <v>3</v>
      </c>
      <c r="M587" s="1" t="s">
        <v>38</v>
      </c>
      <c r="N587" s="1" t="s">
        <v>39</v>
      </c>
      <c r="O587" s="4">
        <v>80592.03</v>
      </c>
      <c r="P587" s="1">
        <v>5</v>
      </c>
      <c r="Q587" s="10" t="s">
        <v>58</v>
      </c>
      <c r="R587" s="14" t="str" cm="1">
        <f t="array" ref="R587">_xlfn.IFS(C587&lt;18,"Under 18",C587&lt;36,"18-35",C587&lt;51,"36-50",C587&lt;66,"51-65",C587&gt;=66,"66+")</f>
        <v>18-35</v>
      </c>
      <c r="S587" s="18">
        <v>45474</v>
      </c>
    </row>
    <row r="588" spans="1:19">
      <c r="A588" s="21" t="s">
        <v>1162</v>
      </c>
      <c r="B588" s="1" t="s">
        <v>226</v>
      </c>
      <c r="C588" s="1">
        <v>87</v>
      </c>
      <c r="D588" s="1" t="s">
        <v>19</v>
      </c>
      <c r="E588" s="1" t="s">
        <v>20</v>
      </c>
      <c r="F588" s="1" t="s">
        <v>67</v>
      </c>
      <c r="G588" s="1" t="s">
        <v>53</v>
      </c>
      <c r="H588" s="1" t="s">
        <v>88</v>
      </c>
      <c r="I588" s="1" t="s">
        <v>24</v>
      </c>
      <c r="J588" s="2">
        <v>45413</v>
      </c>
      <c r="K588" s="2">
        <v>45305</v>
      </c>
      <c r="L588" s="1">
        <v>9</v>
      </c>
      <c r="M588" s="1" t="s">
        <v>97</v>
      </c>
      <c r="N588" s="1" t="s">
        <v>39</v>
      </c>
      <c r="O588" s="4">
        <v>52392.26</v>
      </c>
      <c r="P588" s="1">
        <v>4</v>
      </c>
      <c r="Q588" s="10" t="s">
        <v>72</v>
      </c>
      <c r="R588" s="14" t="str" cm="1">
        <f t="array" ref="R588">_xlfn.IFS(C588&lt;18,"Under 18",C588&lt;36,"18-35",C588&lt;51,"36-50",C588&lt;66,"51-65",C588&gt;=66,"66+")</f>
        <v>66+</v>
      </c>
      <c r="S588" s="18">
        <v>45413</v>
      </c>
    </row>
    <row r="589" spans="1:19">
      <c r="A589" s="21" t="s">
        <v>1164</v>
      </c>
      <c r="B589" s="1" t="s">
        <v>354</v>
      </c>
      <c r="C589" s="1">
        <v>74</v>
      </c>
      <c r="D589" s="1" t="s">
        <v>43</v>
      </c>
      <c r="E589" s="1" t="s">
        <v>51</v>
      </c>
      <c r="F589" s="1" t="s">
        <v>75</v>
      </c>
      <c r="G589" s="1" t="s">
        <v>36</v>
      </c>
      <c r="H589" s="1" t="s">
        <v>88</v>
      </c>
      <c r="I589" s="1" t="s">
        <v>24</v>
      </c>
      <c r="J589" s="2">
        <v>45601</v>
      </c>
      <c r="K589" s="2">
        <v>45426</v>
      </c>
      <c r="L589" s="1">
        <v>3</v>
      </c>
      <c r="M589" s="1" t="s">
        <v>27</v>
      </c>
      <c r="N589" s="1" t="s">
        <v>39</v>
      </c>
      <c r="O589" s="4">
        <v>49761.23</v>
      </c>
      <c r="P589" s="1">
        <v>4</v>
      </c>
      <c r="Q589" s="10" t="s">
        <v>58</v>
      </c>
      <c r="R589" s="14" t="str" cm="1">
        <f t="array" ref="R589">_xlfn.IFS(C589&lt;18,"Under 18",C589&lt;36,"18-35",C589&lt;51,"36-50",C589&lt;66,"51-65",C589&gt;=66,"66+")</f>
        <v>66+</v>
      </c>
      <c r="S589" s="18">
        <v>45597</v>
      </c>
    </row>
    <row r="590" spans="1:19">
      <c r="A590" s="21" t="s">
        <v>1166</v>
      </c>
      <c r="B590" s="1" t="s">
        <v>443</v>
      </c>
      <c r="C590" s="1">
        <v>81</v>
      </c>
      <c r="D590" s="1" t="s">
        <v>43</v>
      </c>
      <c r="E590" s="1" t="s">
        <v>202</v>
      </c>
      <c r="F590" s="1" t="s">
        <v>52</v>
      </c>
      <c r="G590" s="1" t="s">
        <v>110</v>
      </c>
      <c r="H590" s="1" t="s">
        <v>99</v>
      </c>
      <c r="I590" s="1" t="s">
        <v>24</v>
      </c>
      <c r="J590" s="2">
        <v>45858</v>
      </c>
      <c r="K590" s="2">
        <v>45859</v>
      </c>
      <c r="L590" s="1">
        <v>1</v>
      </c>
      <c r="M590" s="1" t="s">
        <v>56</v>
      </c>
      <c r="N590" s="1" t="s">
        <v>57</v>
      </c>
      <c r="O590" s="4">
        <v>96495.27</v>
      </c>
      <c r="P590" s="1">
        <v>5</v>
      </c>
      <c r="Q590" s="10" t="s">
        <v>40</v>
      </c>
      <c r="R590" s="14" t="str" cm="1">
        <f t="array" ref="R590">_xlfn.IFS(C590&lt;18,"Under 18",C590&lt;36,"18-35",C590&lt;51,"36-50",C590&lt;66,"51-65",C590&gt;=66,"66+")</f>
        <v>66+</v>
      </c>
      <c r="S590" s="18">
        <v>45839</v>
      </c>
    </row>
    <row r="591" spans="1:19">
      <c r="A591" s="21" t="s">
        <v>1169</v>
      </c>
      <c r="B591" s="1" t="s">
        <v>780</v>
      </c>
      <c r="C591" s="1">
        <v>24</v>
      </c>
      <c r="D591" s="1" t="s">
        <v>19</v>
      </c>
      <c r="E591" s="1" t="s">
        <v>66</v>
      </c>
      <c r="F591" s="1" t="s">
        <v>52</v>
      </c>
      <c r="G591" s="1" t="s">
        <v>132</v>
      </c>
      <c r="H591" s="1" t="s">
        <v>76</v>
      </c>
      <c r="I591" s="1" t="s">
        <v>36</v>
      </c>
      <c r="J591" s="2">
        <v>45960</v>
      </c>
      <c r="K591" s="2">
        <v>45668</v>
      </c>
      <c r="L591" s="1">
        <v>2</v>
      </c>
      <c r="M591" s="1" t="s">
        <v>27</v>
      </c>
      <c r="N591" s="1" t="s">
        <v>39</v>
      </c>
      <c r="O591" s="4">
        <v>68238.59</v>
      </c>
      <c r="P591" s="1">
        <v>4</v>
      </c>
      <c r="Q591" s="10" t="s">
        <v>72</v>
      </c>
      <c r="R591" s="14" t="str" cm="1">
        <f t="array" ref="R591">_xlfn.IFS(C591&lt;18,"Under 18",C591&lt;36,"18-35",C591&lt;51,"36-50",C591&lt;66,"51-65",C591&gt;=66,"66+")</f>
        <v>18-35</v>
      </c>
      <c r="S591" s="18">
        <v>45931</v>
      </c>
    </row>
    <row r="592" spans="1:19">
      <c r="A592" s="21" t="s">
        <v>1170</v>
      </c>
      <c r="B592" s="1" t="s">
        <v>830</v>
      </c>
      <c r="C592" s="1">
        <v>15</v>
      </c>
      <c r="D592" s="1" t="s">
        <v>43</v>
      </c>
      <c r="E592" s="1" t="s">
        <v>32</v>
      </c>
      <c r="F592" s="1" t="s">
        <v>33</v>
      </c>
      <c r="G592" s="1" t="s">
        <v>110</v>
      </c>
      <c r="H592" s="1" t="s">
        <v>45</v>
      </c>
      <c r="I592" s="1" t="s">
        <v>36</v>
      </c>
      <c r="J592" s="2">
        <v>45697</v>
      </c>
      <c r="K592" s="2">
        <v>45725</v>
      </c>
      <c r="L592" s="1">
        <v>1</v>
      </c>
      <c r="M592" s="1" t="s">
        <v>97</v>
      </c>
      <c r="N592" s="1" t="s">
        <v>28</v>
      </c>
      <c r="O592" s="4">
        <v>34594.58</v>
      </c>
      <c r="P592" s="1">
        <v>5</v>
      </c>
      <c r="Q592" s="10" t="s">
        <v>58</v>
      </c>
      <c r="R592" s="14" t="str" cm="1">
        <f t="array" ref="R592">_xlfn.IFS(C592&lt;18,"Under 18",C592&lt;36,"18-35",C592&lt;51,"36-50",C592&lt;66,"51-65",C592&gt;=66,"66+")</f>
        <v>Under 18</v>
      </c>
      <c r="S592" s="18">
        <v>45689</v>
      </c>
    </row>
    <row r="593" spans="1:19">
      <c r="A593" s="21" t="s">
        <v>1171</v>
      </c>
      <c r="B593" s="1" t="s">
        <v>909</v>
      </c>
      <c r="C593" s="1">
        <v>81</v>
      </c>
      <c r="D593" s="1" t="s">
        <v>19</v>
      </c>
      <c r="E593" s="1" t="s">
        <v>32</v>
      </c>
      <c r="F593" s="1" t="s">
        <v>120</v>
      </c>
      <c r="G593" s="1" t="s">
        <v>104</v>
      </c>
      <c r="H593" s="1" t="s">
        <v>35</v>
      </c>
      <c r="I593" s="1" t="s">
        <v>62</v>
      </c>
      <c r="J593" s="2">
        <v>45359</v>
      </c>
      <c r="K593" s="2">
        <v>45451</v>
      </c>
      <c r="L593" s="1">
        <v>3</v>
      </c>
      <c r="M593" s="1" t="s">
        <v>97</v>
      </c>
      <c r="N593" s="1" t="s">
        <v>90</v>
      </c>
      <c r="O593" s="4">
        <v>25125.87</v>
      </c>
      <c r="P593" s="1">
        <v>1</v>
      </c>
      <c r="Q593" s="10" t="s">
        <v>72</v>
      </c>
      <c r="R593" s="14" t="str" cm="1">
        <f t="array" ref="R593">_xlfn.IFS(C593&lt;18,"Under 18",C593&lt;36,"18-35",C593&lt;51,"36-50",C593&lt;66,"51-65",C593&gt;=66,"66+")</f>
        <v>66+</v>
      </c>
      <c r="S593" s="18">
        <v>45352</v>
      </c>
    </row>
    <row r="594" spans="1:19">
      <c r="A594" s="21" t="s">
        <v>1172</v>
      </c>
      <c r="B594" s="1" t="s">
        <v>123</v>
      </c>
      <c r="C594" s="1">
        <v>21</v>
      </c>
      <c r="D594" s="1" t="s">
        <v>27</v>
      </c>
      <c r="E594" s="1" t="s">
        <v>20</v>
      </c>
      <c r="F594" s="1" t="s">
        <v>75</v>
      </c>
      <c r="G594" s="1" t="s">
        <v>110</v>
      </c>
      <c r="H594" s="1" t="s">
        <v>61</v>
      </c>
      <c r="I594" s="1" t="s">
        <v>24</v>
      </c>
      <c r="J594" s="2">
        <v>45552</v>
      </c>
      <c r="K594" s="2">
        <v>45553</v>
      </c>
      <c r="L594" s="1">
        <v>1</v>
      </c>
      <c r="M594" s="1" t="s">
        <v>56</v>
      </c>
      <c r="N594" s="1" t="s">
        <v>82</v>
      </c>
      <c r="O594" s="4">
        <v>98115.520000000004</v>
      </c>
      <c r="P594" s="1">
        <v>3</v>
      </c>
      <c r="Q594" s="10" t="s">
        <v>40</v>
      </c>
      <c r="R594" s="14" t="str" cm="1">
        <f t="array" ref="R594">_xlfn.IFS(C594&lt;18,"Under 18",C594&lt;36,"18-35",C594&lt;51,"36-50",C594&lt;66,"51-65",C594&gt;=66,"66+")</f>
        <v>18-35</v>
      </c>
      <c r="S594" s="18">
        <v>45536</v>
      </c>
    </row>
    <row r="595" spans="1:19">
      <c r="A595" s="21" t="s">
        <v>1173</v>
      </c>
      <c r="B595" s="1" t="s">
        <v>688</v>
      </c>
      <c r="C595" s="1">
        <v>62</v>
      </c>
      <c r="D595" s="1" t="s">
        <v>19</v>
      </c>
      <c r="E595" s="1" t="s">
        <v>66</v>
      </c>
      <c r="F595" s="1" t="s">
        <v>21</v>
      </c>
      <c r="G595" s="1" t="s">
        <v>104</v>
      </c>
      <c r="H595" s="1" t="s">
        <v>93</v>
      </c>
      <c r="I595" s="1" t="s">
        <v>24</v>
      </c>
      <c r="J595" s="2">
        <v>45386</v>
      </c>
      <c r="K595" s="2">
        <v>45600</v>
      </c>
      <c r="L595" s="1">
        <v>7</v>
      </c>
      <c r="M595" s="1" t="s">
        <v>38</v>
      </c>
      <c r="N595" s="1" t="s">
        <v>57</v>
      </c>
      <c r="O595" s="4">
        <v>43832.53</v>
      </c>
      <c r="P595" s="1">
        <v>5</v>
      </c>
      <c r="Q595" s="10" t="s">
        <v>72</v>
      </c>
      <c r="R595" s="14" t="str" cm="1">
        <f t="array" ref="R595">_xlfn.IFS(C595&lt;18,"Under 18",C595&lt;36,"18-35",C595&lt;51,"36-50",C595&lt;66,"51-65",C595&gt;=66,"66+")</f>
        <v>51-65</v>
      </c>
      <c r="S595" s="18">
        <v>45383</v>
      </c>
    </row>
    <row r="596" spans="1:19">
      <c r="A596" s="21" t="s">
        <v>1174</v>
      </c>
      <c r="B596" s="1" t="s">
        <v>176</v>
      </c>
      <c r="C596" s="1">
        <v>75</v>
      </c>
      <c r="D596" s="1" t="s">
        <v>27</v>
      </c>
      <c r="E596" s="1" t="s">
        <v>44</v>
      </c>
      <c r="F596" s="1" t="s">
        <v>75</v>
      </c>
      <c r="G596" s="1" t="s">
        <v>104</v>
      </c>
      <c r="H596" s="1" t="s">
        <v>76</v>
      </c>
      <c r="I596" s="1" t="s">
        <v>24</v>
      </c>
      <c r="J596" s="2">
        <v>45611</v>
      </c>
      <c r="K596" s="2">
        <v>45620</v>
      </c>
      <c r="L596" s="1">
        <v>9</v>
      </c>
      <c r="M596" s="1" t="s">
        <v>97</v>
      </c>
      <c r="N596" s="1" t="s">
        <v>57</v>
      </c>
      <c r="O596" s="4">
        <v>95560.73</v>
      </c>
      <c r="P596" s="1">
        <v>4</v>
      </c>
      <c r="Q596" s="10" t="s">
        <v>29</v>
      </c>
      <c r="R596" s="14" t="str" cm="1">
        <f t="array" ref="R596">_xlfn.IFS(C596&lt;18,"Under 18",C596&lt;36,"18-35",C596&lt;51,"36-50",C596&lt;66,"51-65",C596&gt;=66,"66+")</f>
        <v>66+</v>
      </c>
      <c r="S596" s="18">
        <v>45597</v>
      </c>
    </row>
    <row r="597" spans="1:19">
      <c r="A597" s="21" t="s">
        <v>1175</v>
      </c>
      <c r="B597" s="1" t="s">
        <v>644</v>
      </c>
      <c r="C597" s="1">
        <v>73</v>
      </c>
      <c r="D597" s="1" t="s">
        <v>43</v>
      </c>
      <c r="E597" s="1" t="s">
        <v>137</v>
      </c>
      <c r="F597" s="1" t="s">
        <v>75</v>
      </c>
      <c r="G597" s="1" t="s">
        <v>34</v>
      </c>
      <c r="H597" s="1" t="s">
        <v>23</v>
      </c>
      <c r="I597" s="1" t="s">
        <v>36</v>
      </c>
      <c r="J597" s="2">
        <v>45674</v>
      </c>
      <c r="K597" s="2">
        <v>45683</v>
      </c>
      <c r="L597" s="1">
        <v>9</v>
      </c>
      <c r="M597" s="1" t="s">
        <v>56</v>
      </c>
      <c r="N597" s="1" t="s">
        <v>39</v>
      </c>
      <c r="O597" s="4">
        <v>59759.87</v>
      </c>
      <c r="P597" s="1">
        <v>4</v>
      </c>
      <c r="Q597" s="10" t="s">
        <v>40</v>
      </c>
      <c r="R597" s="14" t="str" cm="1">
        <f t="array" ref="R597">_xlfn.IFS(C597&lt;18,"Under 18",C597&lt;36,"18-35",C597&lt;51,"36-50",C597&lt;66,"51-65",C597&gt;=66,"66+")</f>
        <v>66+</v>
      </c>
      <c r="S597" s="18">
        <v>45658</v>
      </c>
    </row>
    <row r="598" spans="1:19">
      <c r="A598" s="21" t="s">
        <v>1176</v>
      </c>
      <c r="B598" s="1" t="s">
        <v>510</v>
      </c>
      <c r="C598" s="1">
        <v>55</v>
      </c>
      <c r="D598" s="1" t="s">
        <v>19</v>
      </c>
      <c r="E598" s="1" t="s">
        <v>20</v>
      </c>
      <c r="F598" s="1" t="s">
        <v>33</v>
      </c>
      <c r="G598" s="1" t="s">
        <v>53</v>
      </c>
      <c r="H598" s="1" t="s">
        <v>35</v>
      </c>
      <c r="I598" s="1" t="s">
        <v>24</v>
      </c>
      <c r="J598" s="2">
        <v>45658</v>
      </c>
      <c r="K598" s="2">
        <v>45689</v>
      </c>
      <c r="L598" s="1">
        <v>1</v>
      </c>
      <c r="M598" s="1" t="s">
        <v>38</v>
      </c>
      <c r="N598" s="1" t="s">
        <v>85</v>
      </c>
      <c r="O598" s="4">
        <v>90270.02</v>
      </c>
      <c r="P598" s="1">
        <v>3</v>
      </c>
      <c r="Q598" s="10" t="s">
        <v>72</v>
      </c>
      <c r="R598" s="14" t="str" cm="1">
        <f t="array" ref="R598">_xlfn.IFS(C598&lt;18,"Under 18",C598&lt;36,"18-35",C598&lt;51,"36-50",C598&lt;66,"51-65",C598&gt;=66,"66+")</f>
        <v>51-65</v>
      </c>
      <c r="S598" s="18">
        <v>45658</v>
      </c>
    </row>
    <row r="599" spans="1:19">
      <c r="A599" s="21" t="s">
        <v>1177</v>
      </c>
      <c r="B599" s="1" t="s">
        <v>766</v>
      </c>
      <c r="C599" s="1">
        <v>50</v>
      </c>
      <c r="D599" s="1" t="s">
        <v>43</v>
      </c>
      <c r="E599" s="1" t="s">
        <v>137</v>
      </c>
      <c r="F599" s="1" t="s">
        <v>120</v>
      </c>
      <c r="G599" s="1" t="s">
        <v>68</v>
      </c>
      <c r="H599" s="1" t="s">
        <v>69</v>
      </c>
      <c r="I599" s="1" t="s">
        <v>62</v>
      </c>
      <c r="J599" s="2">
        <v>45878</v>
      </c>
      <c r="K599" s="2">
        <v>46000</v>
      </c>
      <c r="L599" s="1">
        <v>4</v>
      </c>
      <c r="M599" s="1" t="s">
        <v>56</v>
      </c>
      <c r="N599" s="1" t="s">
        <v>85</v>
      </c>
      <c r="O599" s="4">
        <v>81077.789999999994</v>
      </c>
      <c r="P599" s="1">
        <v>5</v>
      </c>
      <c r="Q599" s="10" t="s">
        <v>72</v>
      </c>
      <c r="R599" s="14" t="str" cm="1">
        <f t="array" ref="R599">_xlfn.IFS(C599&lt;18,"Under 18",C599&lt;36,"18-35",C599&lt;51,"36-50",C599&lt;66,"51-65",C599&gt;=66,"66+")</f>
        <v>36-50</v>
      </c>
      <c r="S599" s="18">
        <v>45870</v>
      </c>
    </row>
    <row r="600" spans="1:19">
      <c r="A600" s="21" t="s">
        <v>1178</v>
      </c>
      <c r="B600" s="1" t="s">
        <v>396</v>
      </c>
      <c r="C600" s="1">
        <v>64</v>
      </c>
      <c r="D600" s="1" t="s">
        <v>43</v>
      </c>
      <c r="E600" s="1" t="s">
        <v>44</v>
      </c>
      <c r="F600" s="1" t="s">
        <v>75</v>
      </c>
      <c r="G600" s="1" t="s">
        <v>110</v>
      </c>
      <c r="H600" s="1" t="s">
        <v>69</v>
      </c>
      <c r="I600" s="1" t="s">
        <v>62</v>
      </c>
      <c r="J600" s="2">
        <v>45339</v>
      </c>
      <c r="K600" s="2">
        <v>45342</v>
      </c>
      <c r="L600" s="1">
        <v>3</v>
      </c>
      <c r="M600" s="1" t="s">
        <v>38</v>
      </c>
      <c r="N600" s="1" t="s">
        <v>85</v>
      </c>
      <c r="O600" s="4">
        <v>55391.21</v>
      </c>
      <c r="P600" s="1">
        <v>4</v>
      </c>
      <c r="Q600" s="10" t="s">
        <v>58</v>
      </c>
      <c r="R600" s="14" t="str" cm="1">
        <f t="array" ref="R600">_xlfn.IFS(C600&lt;18,"Under 18",C600&lt;36,"18-35",C600&lt;51,"36-50",C600&lt;66,"51-65",C600&gt;=66,"66+")</f>
        <v>51-65</v>
      </c>
      <c r="S600" s="18">
        <v>45323</v>
      </c>
    </row>
    <row r="601" spans="1:19">
      <c r="A601" s="21" t="s">
        <v>1180</v>
      </c>
      <c r="B601" s="1" t="s">
        <v>321</v>
      </c>
      <c r="C601" s="1">
        <v>5</v>
      </c>
      <c r="D601" s="1" t="s">
        <v>27</v>
      </c>
      <c r="E601" s="1" t="s">
        <v>51</v>
      </c>
      <c r="F601" s="1" t="s">
        <v>120</v>
      </c>
      <c r="G601" s="1" t="s">
        <v>36</v>
      </c>
      <c r="H601" s="1" t="s">
        <v>105</v>
      </c>
      <c r="I601" s="1" t="s">
        <v>62</v>
      </c>
      <c r="J601" s="2">
        <v>45832</v>
      </c>
      <c r="K601" s="2">
        <v>45836</v>
      </c>
      <c r="L601" s="1">
        <v>4</v>
      </c>
      <c r="M601" s="1" t="s">
        <v>27</v>
      </c>
      <c r="N601" s="1" t="s">
        <v>28</v>
      </c>
      <c r="O601" s="4">
        <v>32051.17</v>
      </c>
      <c r="P601" s="1">
        <v>5</v>
      </c>
      <c r="Q601" s="10" t="s">
        <v>58</v>
      </c>
      <c r="R601" s="14" t="str" cm="1">
        <f t="array" ref="R601">_xlfn.IFS(C601&lt;18,"Under 18",C601&lt;36,"18-35",C601&lt;51,"36-50",C601&lt;66,"51-65",C601&gt;=66,"66+")</f>
        <v>Under 18</v>
      </c>
      <c r="S601" s="18">
        <v>45809</v>
      </c>
    </row>
    <row r="602" spans="1:19">
      <c r="A602" s="21" t="s">
        <v>1182</v>
      </c>
      <c r="B602" s="1" t="s">
        <v>574</v>
      </c>
      <c r="C602" s="1">
        <v>39</v>
      </c>
      <c r="D602" s="1" t="s">
        <v>27</v>
      </c>
      <c r="E602" s="1" t="s">
        <v>202</v>
      </c>
      <c r="F602" s="1" t="s">
        <v>21</v>
      </c>
      <c r="G602" s="1" t="s">
        <v>22</v>
      </c>
      <c r="H602" s="1" t="s">
        <v>88</v>
      </c>
      <c r="I602" s="1" t="s">
        <v>36</v>
      </c>
      <c r="J602" s="2">
        <v>45934</v>
      </c>
      <c r="K602" s="2">
        <v>45768</v>
      </c>
      <c r="L602" s="1">
        <v>11</v>
      </c>
      <c r="M602" s="1" t="s">
        <v>38</v>
      </c>
      <c r="N602" s="1" t="s">
        <v>39</v>
      </c>
      <c r="O602" s="4">
        <v>100565.47</v>
      </c>
      <c r="P602" s="1">
        <v>2</v>
      </c>
      <c r="Q602" s="10" t="s">
        <v>58</v>
      </c>
      <c r="R602" s="14" t="str" cm="1">
        <f t="array" ref="R602">_xlfn.IFS(C602&lt;18,"Under 18",C602&lt;36,"18-35",C602&lt;51,"36-50",C602&lt;66,"51-65",C602&gt;=66,"66+")</f>
        <v>36-50</v>
      </c>
      <c r="S602" s="18">
        <v>45931</v>
      </c>
    </row>
    <row r="603" spans="1:19">
      <c r="A603" s="21" t="s">
        <v>1184</v>
      </c>
      <c r="B603" s="1" t="s">
        <v>403</v>
      </c>
      <c r="C603" s="1">
        <v>29</v>
      </c>
      <c r="D603" s="1" t="s">
        <v>19</v>
      </c>
      <c r="E603" s="1" t="s">
        <v>117</v>
      </c>
      <c r="F603" s="1" t="s">
        <v>120</v>
      </c>
      <c r="G603" s="1" t="s">
        <v>34</v>
      </c>
      <c r="H603" s="1" t="s">
        <v>99</v>
      </c>
      <c r="I603" s="1" t="s">
        <v>24</v>
      </c>
      <c r="J603" s="2">
        <v>45382</v>
      </c>
      <c r="K603" s="2">
        <v>45477</v>
      </c>
      <c r="L603" s="1">
        <v>7</v>
      </c>
      <c r="M603" s="1" t="s">
        <v>27</v>
      </c>
      <c r="N603" s="1" t="s">
        <v>39</v>
      </c>
      <c r="O603" s="4">
        <v>59018.35</v>
      </c>
      <c r="P603" s="1">
        <v>2</v>
      </c>
      <c r="Q603" s="10" t="s">
        <v>58</v>
      </c>
      <c r="R603" s="14" t="str" cm="1">
        <f t="array" ref="R603">_xlfn.IFS(C603&lt;18,"Under 18",C603&lt;36,"18-35",C603&lt;51,"36-50",C603&lt;66,"51-65",C603&gt;=66,"66+")</f>
        <v>18-35</v>
      </c>
      <c r="S603" s="18">
        <v>45352</v>
      </c>
    </row>
    <row r="604" spans="1:19">
      <c r="A604" s="21" t="s">
        <v>1186</v>
      </c>
      <c r="B604" s="1" t="s">
        <v>806</v>
      </c>
      <c r="C604" s="1">
        <v>35</v>
      </c>
      <c r="D604" s="1" t="s">
        <v>27</v>
      </c>
      <c r="E604" s="1" t="s">
        <v>32</v>
      </c>
      <c r="F604" s="1" t="s">
        <v>67</v>
      </c>
      <c r="G604" s="1" t="s">
        <v>53</v>
      </c>
      <c r="H604" s="1" t="s">
        <v>35</v>
      </c>
      <c r="I604" s="1" t="s">
        <v>24</v>
      </c>
      <c r="J604" s="2">
        <v>45466</v>
      </c>
      <c r="K604" s="2">
        <v>45471</v>
      </c>
      <c r="L604" s="1">
        <v>5</v>
      </c>
      <c r="M604" s="1" t="s">
        <v>56</v>
      </c>
      <c r="N604" s="1" t="s">
        <v>90</v>
      </c>
      <c r="O604" s="4">
        <v>133877.35999999999</v>
      </c>
      <c r="P604" s="1">
        <v>5</v>
      </c>
      <c r="Q604" s="10" t="s">
        <v>58</v>
      </c>
      <c r="R604" s="14" t="str" cm="1">
        <f t="array" ref="R604">_xlfn.IFS(C604&lt;18,"Under 18",C604&lt;36,"18-35",C604&lt;51,"36-50",C604&lt;66,"51-65",C604&gt;=66,"66+")</f>
        <v>18-35</v>
      </c>
      <c r="S604" s="18">
        <v>45444</v>
      </c>
    </row>
    <row r="605" spans="1:19">
      <c r="A605" s="21" t="s">
        <v>1187</v>
      </c>
      <c r="B605" s="1" t="s">
        <v>65</v>
      </c>
      <c r="C605" s="1">
        <v>85</v>
      </c>
      <c r="D605" s="1" t="s">
        <v>43</v>
      </c>
      <c r="E605" s="1" t="s">
        <v>20</v>
      </c>
      <c r="F605" s="1" t="s">
        <v>52</v>
      </c>
      <c r="G605" s="1" t="s">
        <v>22</v>
      </c>
      <c r="H605" s="1" t="s">
        <v>105</v>
      </c>
      <c r="I605" s="1" t="s">
        <v>36</v>
      </c>
      <c r="J605" s="2">
        <v>45579</v>
      </c>
      <c r="K605" s="2">
        <v>45587</v>
      </c>
      <c r="L605" s="1">
        <v>8</v>
      </c>
      <c r="M605" s="1" t="s">
        <v>48</v>
      </c>
      <c r="N605" s="1" t="s">
        <v>57</v>
      </c>
      <c r="O605" s="4">
        <v>84915.93</v>
      </c>
      <c r="P605" s="1">
        <v>5</v>
      </c>
      <c r="Q605" s="10" t="s">
        <v>72</v>
      </c>
      <c r="R605" s="14" t="str" cm="1">
        <f t="array" ref="R605">_xlfn.IFS(C605&lt;18,"Under 18",C605&lt;36,"18-35",C605&lt;51,"36-50",C605&lt;66,"51-65",C605&gt;=66,"66+")</f>
        <v>66+</v>
      </c>
      <c r="S605" s="18">
        <v>45566</v>
      </c>
    </row>
    <row r="606" spans="1:19">
      <c r="A606" s="21" t="s">
        <v>1188</v>
      </c>
      <c r="B606" s="1" t="s">
        <v>644</v>
      </c>
      <c r="C606" s="1">
        <v>28</v>
      </c>
      <c r="D606" s="1" t="s">
        <v>19</v>
      </c>
      <c r="E606" s="1" t="s">
        <v>117</v>
      </c>
      <c r="F606" s="1" t="s">
        <v>52</v>
      </c>
      <c r="G606" s="1" t="s">
        <v>104</v>
      </c>
      <c r="H606" s="1" t="s">
        <v>45</v>
      </c>
      <c r="I606" s="1" t="s">
        <v>62</v>
      </c>
      <c r="J606" s="2">
        <v>45978</v>
      </c>
      <c r="K606" s="2">
        <v>45982</v>
      </c>
      <c r="L606" s="1">
        <v>4</v>
      </c>
      <c r="M606" s="1" t="s">
        <v>56</v>
      </c>
      <c r="N606" s="1" t="s">
        <v>39</v>
      </c>
      <c r="O606" s="4">
        <v>36852.86</v>
      </c>
      <c r="P606" s="1">
        <v>5</v>
      </c>
      <c r="Q606" s="10" t="s">
        <v>72</v>
      </c>
      <c r="R606" s="14" t="str" cm="1">
        <f t="array" ref="R606">_xlfn.IFS(C606&lt;18,"Under 18",C606&lt;36,"18-35",C606&lt;51,"36-50",C606&lt;66,"51-65",C606&gt;=66,"66+")</f>
        <v>18-35</v>
      </c>
      <c r="S606" s="18">
        <v>45962</v>
      </c>
    </row>
    <row r="607" spans="1:19">
      <c r="A607" s="21" t="s">
        <v>1189</v>
      </c>
      <c r="B607" s="1" t="s">
        <v>403</v>
      </c>
      <c r="C607" s="1">
        <v>17</v>
      </c>
      <c r="D607" s="1" t="s">
        <v>19</v>
      </c>
      <c r="E607" s="1" t="s">
        <v>66</v>
      </c>
      <c r="F607" s="1" t="s">
        <v>33</v>
      </c>
      <c r="G607" s="1" t="s">
        <v>132</v>
      </c>
      <c r="H607" s="1" t="s">
        <v>45</v>
      </c>
      <c r="I607" s="1" t="s">
        <v>36</v>
      </c>
      <c r="J607" s="2">
        <v>45839</v>
      </c>
      <c r="K607" s="2">
        <v>45962</v>
      </c>
      <c r="L607" s="1">
        <v>4</v>
      </c>
      <c r="M607" s="1" t="s">
        <v>48</v>
      </c>
      <c r="N607" s="1" t="s">
        <v>85</v>
      </c>
      <c r="O607" s="4">
        <v>32282.21</v>
      </c>
      <c r="P607" s="1">
        <v>3</v>
      </c>
      <c r="Q607" s="10" t="s">
        <v>72</v>
      </c>
      <c r="R607" s="14" t="str" cm="1">
        <f t="array" ref="R607">_xlfn.IFS(C607&lt;18,"Under 18",C607&lt;36,"18-35",C607&lt;51,"36-50",C607&lt;66,"51-65",C607&gt;=66,"66+")</f>
        <v>Under 18</v>
      </c>
      <c r="S607" s="18">
        <v>45839</v>
      </c>
    </row>
    <row r="608" spans="1:19">
      <c r="A608" s="21" t="s">
        <v>1190</v>
      </c>
      <c r="B608" s="1" t="s">
        <v>837</v>
      </c>
      <c r="C608" s="1">
        <v>59</v>
      </c>
      <c r="D608" s="1" t="s">
        <v>19</v>
      </c>
      <c r="E608" s="1" t="s">
        <v>137</v>
      </c>
      <c r="F608" s="1" t="s">
        <v>67</v>
      </c>
      <c r="G608" s="1" t="s">
        <v>53</v>
      </c>
      <c r="H608" s="1" t="s">
        <v>105</v>
      </c>
      <c r="I608" s="1" t="s">
        <v>62</v>
      </c>
      <c r="J608" s="2">
        <v>45565</v>
      </c>
      <c r="K608" s="2">
        <v>45392</v>
      </c>
      <c r="L608" s="1">
        <v>4</v>
      </c>
      <c r="M608" s="1" t="s">
        <v>27</v>
      </c>
      <c r="N608" s="1" t="s">
        <v>82</v>
      </c>
      <c r="O608" s="4">
        <v>34986.74</v>
      </c>
      <c r="P608" s="1">
        <v>4</v>
      </c>
      <c r="Q608" s="10" t="s">
        <v>72</v>
      </c>
      <c r="R608" s="14" t="str" cm="1">
        <f t="array" ref="R608">_xlfn.IFS(C608&lt;18,"Under 18",C608&lt;36,"18-35",C608&lt;51,"36-50",C608&lt;66,"51-65",C608&gt;=66,"66+")</f>
        <v>51-65</v>
      </c>
      <c r="S608" s="18">
        <v>45536</v>
      </c>
    </row>
    <row r="609" spans="1:19">
      <c r="A609" s="21" t="s">
        <v>1191</v>
      </c>
      <c r="B609" s="1" t="s">
        <v>437</v>
      </c>
      <c r="C609" s="1">
        <v>57</v>
      </c>
      <c r="D609" s="1" t="s">
        <v>43</v>
      </c>
      <c r="E609" s="1" t="s">
        <v>51</v>
      </c>
      <c r="F609" s="1" t="s">
        <v>67</v>
      </c>
      <c r="G609" s="1" t="s">
        <v>36</v>
      </c>
      <c r="H609" s="1" t="s">
        <v>61</v>
      </c>
      <c r="I609" s="1" t="s">
        <v>62</v>
      </c>
      <c r="J609" s="2">
        <v>45670</v>
      </c>
      <c r="K609" s="2">
        <v>45671</v>
      </c>
      <c r="L609" s="1">
        <v>1</v>
      </c>
      <c r="M609" s="1" t="s">
        <v>27</v>
      </c>
      <c r="N609" s="1" t="s">
        <v>57</v>
      </c>
      <c r="O609" s="4">
        <v>33462.43</v>
      </c>
      <c r="P609" s="1">
        <v>4</v>
      </c>
      <c r="Q609" s="10" t="s">
        <v>72</v>
      </c>
      <c r="R609" s="14" t="str" cm="1">
        <f t="array" ref="R609">_xlfn.IFS(C609&lt;18,"Under 18",C609&lt;36,"18-35",C609&lt;51,"36-50",C609&lt;66,"51-65",C609&gt;=66,"66+")</f>
        <v>51-65</v>
      </c>
      <c r="S609" s="18">
        <v>45658</v>
      </c>
    </row>
    <row r="610" spans="1:19">
      <c r="A610" s="21" t="s">
        <v>1192</v>
      </c>
      <c r="B610" s="1" t="s">
        <v>412</v>
      </c>
      <c r="C610" s="1">
        <v>88</v>
      </c>
      <c r="D610" s="1" t="s">
        <v>19</v>
      </c>
      <c r="E610" s="1" t="s">
        <v>137</v>
      </c>
      <c r="F610" s="1" t="s">
        <v>75</v>
      </c>
      <c r="G610" s="1" t="s">
        <v>22</v>
      </c>
      <c r="H610" s="1" t="s">
        <v>105</v>
      </c>
      <c r="I610" s="1" t="s">
        <v>36</v>
      </c>
      <c r="J610" s="2">
        <v>45953</v>
      </c>
      <c r="K610" s="2">
        <v>45955</v>
      </c>
      <c r="L610" s="1">
        <v>2</v>
      </c>
      <c r="M610" s="1" t="s">
        <v>38</v>
      </c>
      <c r="N610" s="1" t="s">
        <v>57</v>
      </c>
      <c r="O610" s="4">
        <v>28531.95</v>
      </c>
      <c r="P610" s="1">
        <v>4</v>
      </c>
      <c r="Q610" s="10" t="s">
        <v>29</v>
      </c>
      <c r="R610" s="14" t="str" cm="1">
        <f t="array" ref="R610">_xlfn.IFS(C610&lt;18,"Under 18",C610&lt;36,"18-35",C610&lt;51,"36-50",C610&lt;66,"51-65",C610&gt;=66,"66+")</f>
        <v>66+</v>
      </c>
      <c r="S610" s="18">
        <v>45931</v>
      </c>
    </row>
    <row r="611" spans="1:19">
      <c r="A611" s="21" t="s">
        <v>1193</v>
      </c>
      <c r="B611" s="1" t="s">
        <v>507</v>
      </c>
      <c r="C611" s="1">
        <v>22</v>
      </c>
      <c r="D611" s="1" t="s">
        <v>19</v>
      </c>
      <c r="E611" s="1" t="s">
        <v>66</v>
      </c>
      <c r="F611" s="1" t="s">
        <v>120</v>
      </c>
      <c r="G611" s="1" t="s">
        <v>34</v>
      </c>
      <c r="H611" s="1" t="s">
        <v>45</v>
      </c>
      <c r="I611" s="1" t="s">
        <v>24</v>
      </c>
      <c r="J611" s="2">
        <v>45647</v>
      </c>
      <c r="K611" s="2">
        <v>45649</v>
      </c>
      <c r="L611" s="1">
        <v>2</v>
      </c>
      <c r="M611" s="1" t="s">
        <v>48</v>
      </c>
      <c r="N611" s="1" t="s">
        <v>85</v>
      </c>
      <c r="O611" s="4">
        <v>51455.3</v>
      </c>
      <c r="P611" s="1">
        <v>4</v>
      </c>
      <c r="Q611" s="10" t="s">
        <v>29</v>
      </c>
      <c r="R611" s="14" t="str" cm="1">
        <f t="array" ref="R611">_xlfn.IFS(C611&lt;18,"Under 18",C611&lt;36,"18-35",C611&lt;51,"36-50",C611&lt;66,"51-65",C611&gt;=66,"66+")</f>
        <v>18-35</v>
      </c>
      <c r="S611" s="18">
        <v>45627</v>
      </c>
    </row>
    <row r="612" spans="1:19">
      <c r="A612" s="21" t="s">
        <v>1194</v>
      </c>
      <c r="B612" s="1" t="s">
        <v>510</v>
      </c>
      <c r="C612" s="1">
        <v>43</v>
      </c>
      <c r="D612" s="1" t="s">
        <v>43</v>
      </c>
      <c r="E612" s="1" t="s">
        <v>159</v>
      </c>
      <c r="F612" s="1" t="s">
        <v>67</v>
      </c>
      <c r="G612" s="1" t="s">
        <v>34</v>
      </c>
      <c r="H612" s="1" t="s">
        <v>35</v>
      </c>
      <c r="I612" s="1" t="s">
        <v>36</v>
      </c>
      <c r="J612" s="2">
        <v>45437</v>
      </c>
      <c r="K612" s="2">
        <v>45443</v>
      </c>
      <c r="L612" s="1">
        <v>6</v>
      </c>
      <c r="M612" s="1" t="s">
        <v>97</v>
      </c>
      <c r="N612" s="1" t="s">
        <v>39</v>
      </c>
      <c r="O612" s="4">
        <v>165687.20000000001</v>
      </c>
      <c r="P612" s="1">
        <v>3</v>
      </c>
      <c r="Q612" s="10" t="s">
        <v>29</v>
      </c>
      <c r="R612" s="14" t="str" cm="1">
        <f t="array" ref="R612">_xlfn.IFS(C612&lt;18,"Under 18",C612&lt;36,"18-35",C612&lt;51,"36-50",C612&lt;66,"51-65",C612&gt;=66,"66+")</f>
        <v>36-50</v>
      </c>
      <c r="S612" s="18">
        <v>45413</v>
      </c>
    </row>
    <row r="613" spans="1:19">
      <c r="A613" s="21" t="s">
        <v>1195</v>
      </c>
      <c r="B613" s="1" t="s">
        <v>264</v>
      </c>
      <c r="C613" s="1">
        <v>61</v>
      </c>
      <c r="D613" s="1" t="s">
        <v>19</v>
      </c>
      <c r="E613" s="1" t="s">
        <v>117</v>
      </c>
      <c r="F613" s="1" t="s">
        <v>52</v>
      </c>
      <c r="G613" s="1" t="s">
        <v>132</v>
      </c>
      <c r="H613" s="1" t="s">
        <v>23</v>
      </c>
      <c r="I613" s="1" t="s">
        <v>62</v>
      </c>
      <c r="J613" s="2">
        <v>45338</v>
      </c>
      <c r="K613" s="2">
        <v>45343</v>
      </c>
      <c r="L613" s="1">
        <v>5</v>
      </c>
      <c r="M613" s="1" t="s">
        <v>97</v>
      </c>
      <c r="N613" s="1" t="s">
        <v>57</v>
      </c>
      <c r="O613" s="4">
        <v>48729.69</v>
      </c>
      <c r="P613" s="1">
        <v>5</v>
      </c>
      <c r="Q613" s="10" t="s">
        <v>40</v>
      </c>
      <c r="R613" s="14" t="str" cm="1">
        <f t="array" ref="R613">_xlfn.IFS(C613&lt;18,"Under 18",C613&lt;36,"18-35",C613&lt;51,"36-50",C613&lt;66,"51-65",C613&gt;=66,"66+")</f>
        <v>51-65</v>
      </c>
      <c r="S613" s="18">
        <v>45323</v>
      </c>
    </row>
    <row r="614" spans="1:19">
      <c r="A614" s="21" t="s">
        <v>1197</v>
      </c>
      <c r="B614" s="1" t="s">
        <v>302</v>
      </c>
      <c r="C614" s="1">
        <v>70</v>
      </c>
      <c r="D614" s="1" t="s">
        <v>43</v>
      </c>
      <c r="E614" s="1" t="s">
        <v>32</v>
      </c>
      <c r="F614" s="1" t="s">
        <v>120</v>
      </c>
      <c r="G614" s="1" t="s">
        <v>53</v>
      </c>
      <c r="H614" s="1" t="s">
        <v>105</v>
      </c>
      <c r="I614" s="1" t="s">
        <v>24</v>
      </c>
      <c r="J614" s="2">
        <v>45941</v>
      </c>
      <c r="K614" s="2">
        <v>46002</v>
      </c>
      <c r="L614" s="1">
        <v>2</v>
      </c>
      <c r="M614" s="1" t="s">
        <v>27</v>
      </c>
      <c r="N614" s="1" t="s">
        <v>63</v>
      </c>
      <c r="O614" s="4">
        <v>127825.64</v>
      </c>
      <c r="P614" s="1">
        <v>5</v>
      </c>
      <c r="Q614" s="10" t="s">
        <v>72</v>
      </c>
      <c r="R614" s="14" t="str" cm="1">
        <f t="array" ref="R614">_xlfn.IFS(C614&lt;18,"Under 18",C614&lt;36,"18-35",C614&lt;51,"36-50",C614&lt;66,"51-65",C614&gt;=66,"66+")</f>
        <v>66+</v>
      </c>
      <c r="S614" s="18">
        <v>45931</v>
      </c>
    </row>
    <row r="615" spans="1:19">
      <c r="A615" s="21" t="s">
        <v>1198</v>
      </c>
      <c r="B615" s="1" t="s">
        <v>321</v>
      </c>
      <c r="C615" s="1">
        <v>19</v>
      </c>
      <c r="D615" s="1" t="s">
        <v>43</v>
      </c>
      <c r="E615" s="1" t="s">
        <v>117</v>
      </c>
      <c r="F615" s="1" t="s">
        <v>52</v>
      </c>
      <c r="G615" s="1" t="s">
        <v>36</v>
      </c>
      <c r="H615" s="1" t="s">
        <v>88</v>
      </c>
      <c r="I615" s="1" t="s">
        <v>24</v>
      </c>
      <c r="J615" s="2">
        <v>45517</v>
      </c>
      <c r="K615" s="2">
        <v>45518</v>
      </c>
      <c r="L615" s="1">
        <v>1</v>
      </c>
      <c r="M615" s="1" t="s">
        <v>27</v>
      </c>
      <c r="N615" s="1" t="s">
        <v>57</v>
      </c>
      <c r="O615" s="4">
        <v>27060.45</v>
      </c>
      <c r="P615" s="1">
        <v>2</v>
      </c>
      <c r="Q615" s="10" t="s">
        <v>29</v>
      </c>
      <c r="R615" s="14" t="str" cm="1">
        <f t="array" ref="R615">_xlfn.IFS(C615&lt;18,"Under 18",C615&lt;36,"18-35",C615&lt;51,"36-50",C615&lt;66,"51-65",C615&gt;=66,"66+")</f>
        <v>18-35</v>
      </c>
      <c r="S615" s="18">
        <v>45505</v>
      </c>
    </row>
    <row r="616" spans="1:19">
      <c r="A616" s="21" t="s">
        <v>1199</v>
      </c>
      <c r="B616" s="1" t="s">
        <v>31</v>
      </c>
      <c r="C616" s="1">
        <v>34</v>
      </c>
      <c r="D616" s="1" t="s">
        <v>27</v>
      </c>
      <c r="E616" s="1" t="s">
        <v>137</v>
      </c>
      <c r="F616" s="1" t="s">
        <v>33</v>
      </c>
      <c r="G616" s="1" t="s">
        <v>68</v>
      </c>
      <c r="H616" s="1" t="s">
        <v>105</v>
      </c>
      <c r="I616" s="1" t="s">
        <v>24</v>
      </c>
      <c r="J616" s="2">
        <v>45649</v>
      </c>
      <c r="K616" s="2">
        <v>45652</v>
      </c>
      <c r="L616" s="1">
        <v>3</v>
      </c>
      <c r="M616" s="1" t="s">
        <v>38</v>
      </c>
      <c r="N616" s="1" t="s">
        <v>82</v>
      </c>
      <c r="O616" s="4">
        <v>25911.8</v>
      </c>
      <c r="P616" s="1">
        <v>4</v>
      </c>
      <c r="Q616" s="10" t="s">
        <v>72</v>
      </c>
      <c r="R616" s="14" t="str" cm="1">
        <f t="array" ref="R616">_xlfn.IFS(C616&lt;18,"Under 18",C616&lt;36,"18-35",C616&lt;51,"36-50",C616&lt;66,"51-65",C616&gt;=66,"66+")</f>
        <v>18-35</v>
      </c>
      <c r="S616" s="18">
        <v>45627</v>
      </c>
    </row>
    <row r="617" spans="1:19">
      <c r="A617" s="21" t="s">
        <v>1200</v>
      </c>
      <c r="B617" s="1" t="s">
        <v>246</v>
      </c>
      <c r="C617" s="1">
        <v>2</v>
      </c>
      <c r="D617" s="1" t="s">
        <v>43</v>
      </c>
      <c r="E617" s="1" t="s">
        <v>32</v>
      </c>
      <c r="F617" s="1" t="s">
        <v>120</v>
      </c>
      <c r="G617" s="1" t="s">
        <v>68</v>
      </c>
      <c r="H617" s="1" t="s">
        <v>69</v>
      </c>
      <c r="I617" s="1" t="s">
        <v>36</v>
      </c>
      <c r="J617" s="2">
        <v>45700</v>
      </c>
      <c r="K617" s="2">
        <v>45820</v>
      </c>
      <c r="L617" s="1">
        <v>4</v>
      </c>
      <c r="M617" s="1" t="s">
        <v>97</v>
      </c>
      <c r="N617" s="1" t="s">
        <v>28</v>
      </c>
      <c r="O617" s="4">
        <v>52744.28</v>
      </c>
      <c r="P617" s="1">
        <v>3</v>
      </c>
      <c r="Q617" s="10" t="s">
        <v>29</v>
      </c>
      <c r="R617" s="14" t="str" cm="1">
        <f t="array" ref="R617">_xlfn.IFS(C617&lt;18,"Under 18",C617&lt;36,"18-35",C617&lt;51,"36-50",C617&lt;66,"51-65",C617&gt;=66,"66+")</f>
        <v>Under 18</v>
      </c>
      <c r="S617" s="18">
        <v>45689</v>
      </c>
    </row>
    <row r="618" spans="1:19">
      <c r="A618" s="21" t="s">
        <v>1201</v>
      </c>
      <c r="B618" s="1" t="s">
        <v>378</v>
      </c>
      <c r="C618" s="1">
        <v>37</v>
      </c>
      <c r="D618" s="1" t="s">
        <v>27</v>
      </c>
      <c r="E618" s="1" t="s">
        <v>32</v>
      </c>
      <c r="F618" s="1" t="s">
        <v>52</v>
      </c>
      <c r="G618" s="1" t="s">
        <v>53</v>
      </c>
      <c r="H618" s="1" t="s">
        <v>99</v>
      </c>
      <c r="I618" s="1" t="s">
        <v>62</v>
      </c>
      <c r="J618" s="2">
        <v>45448</v>
      </c>
      <c r="K618" s="2">
        <v>45570</v>
      </c>
      <c r="L618" s="1">
        <v>4</v>
      </c>
      <c r="M618" s="1" t="s">
        <v>56</v>
      </c>
      <c r="N618" s="1" t="s">
        <v>63</v>
      </c>
      <c r="O618" s="4">
        <v>20710.3</v>
      </c>
      <c r="P618" s="1">
        <v>5</v>
      </c>
      <c r="Q618" s="10" t="s">
        <v>29</v>
      </c>
      <c r="R618" s="14" t="str" cm="1">
        <f t="array" ref="R618">_xlfn.IFS(C618&lt;18,"Under 18",C618&lt;36,"18-35",C618&lt;51,"36-50",C618&lt;66,"51-65",C618&gt;=66,"66+")</f>
        <v>36-50</v>
      </c>
      <c r="S618" s="18">
        <v>45444</v>
      </c>
    </row>
    <row r="619" spans="1:19">
      <c r="A619" s="21" t="s">
        <v>1202</v>
      </c>
      <c r="B619" s="1" t="s">
        <v>79</v>
      </c>
      <c r="C619" s="1">
        <v>56</v>
      </c>
      <c r="D619" s="1" t="s">
        <v>27</v>
      </c>
      <c r="E619" s="1" t="s">
        <v>117</v>
      </c>
      <c r="F619" s="1" t="s">
        <v>67</v>
      </c>
      <c r="G619" s="1" t="s">
        <v>53</v>
      </c>
      <c r="H619" s="1" t="s">
        <v>61</v>
      </c>
      <c r="I619" s="1" t="s">
        <v>62</v>
      </c>
      <c r="J619" s="2">
        <v>45374</v>
      </c>
      <c r="K619" s="2">
        <v>45376</v>
      </c>
      <c r="L619" s="1">
        <v>2</v>
      </c>
      <c r="M619" s="1" t="s">
        <v>56</v>
      </c>
      <c r="N619" s="1" t="s">
        <v>90</v>
      </c>
      <c r="O619" s="4">
        <v>126358.94</v>
      </c>
      <c r="P619" s="1">
        <v>4</v>
      </c>
      <c r="Q619" s="10" t="s">
        <v>58</v>
      </c>
      <c r="R619" s="14" t="str" cm="1">
        <f t="array" ref="R619">_xlfn.IFS(C619&lt;18,"Under 18",C619&lt;36,"18-35",C619&lt;51,"36-50",C619&lt;66,"51-65",C619&gt;=66,"66+")</f>
        <v>51-65</v>
      </c>
      <c r="S619" s="18">
        <v>45352</v>
      </c>
    </row>
    <row r="620" spans="1:19">
      <c r="A620" s="21" t="s">
        <v>1204</v>
      </c>
      <c r="B620" s="1" t="s">
        <v>92</v>
      </c>
      <c r="C620" s="1">
        <v>87</v>
      </c>
      <c r="D620" s="1" t="s">
        <v>43</v>
      </c>
      <c r="E620" s="1" t="s">
        <v>51</v>
      </c>
      <c r="F620" s="1" t="s">
        <v>21</v>
      </c>
      <c r="G620" s="1" t="s">
        <v>110</v>
      </c>
      <c r="H620" s="1" t="s">
        <v>76</v>
      </c>
      <c r="I620" s="1" t="s">
        <v>62</v>
      </c>
      <c r="J620" s="2">
        <v>45884</v>
      </c>
      <c r="K620" s="2">
        <v>45890</v>
      </c>
      <c r="L620" s="1">
        <v>6</v>
      </c>
      <c r="M620" s="1" t="s">
        <v>97</v>
      </c>
      <c r="N620" s="1" t="s">
        <v>28</v>
      </c>
      <c r="O620" s="4">
        <v>77170.350000000006</v>
      </c>
      <c r="P620" s="1">
        <v>2</v>
      </c>
      <c r="Q620" s="10" t="s">
        <v>29</v>
      </c>
      <c r="R620" s="14" t="str" cm="1">
        <f t="array" ref="R620">_xlfn.IFS(C620&lt;18,"Under 18",C620&lt;36,"18-35",C620&lt;51,"36-50",C620&lt;66,"51-65",C620&gt;=66,"66+")</f>
        <v>66+</v>
      </c>
      <c r="S620" s="18">
        <v>45870</v>
      </c>
    </row>
    <row r="621" spans="1:19">
      <c r="A621" s="21" t="s">
        <v>1205</v>
      </c>
      <c r="B621" s="1" t="s">
        <v>502</v>
      </c>
      <c r="C621" s="1">
        <v>68</v>
      </c>
      <c r="D621" s="1" t="s">
        <v>43</v>
      </c>
      <c r="E621" s="1" t="s">
        <v>51</v>
      </c>
      <c r="F621" s="1" t="s">
        <v>75</v>
      </c>
      <c r="G621" s="1" t="s">
        <v>53</v>
      </c>
      <c r="H621" s="1" t="s">
        <v>93</v>
      </c>
      <c r="I621" s="1" t="s">
        <v>62</v>
      </c>
      <c r="J621" s="2">
        <v>45973</v>
      </c>
      <c r="K621" s="2">
        <v>46006</v>
      </c>
      <c r="L621" s="1">
        <v>4</v>
      </c>
      <c r="M621" s="1" t="s">
        <v>48</v>
      </c>
      <c r="N621" s="1" t="s">
        <v>39</v>
      </c>
      <c r="O621" s="4">
        <v>61323.08</v>
      </c>
      <c r="P621" s="1">
        <v>5</v>
      </c>
      <c r="Q621" s="10" t="s">
        <v>29</v>
      </c>
      <c r="R621" s="14" t="str" cm="1">
        <f t="array" ref="R621">_xlfn.IFS(C621&lt;18,"Under 18",C621&lt;36,"18-35",C621&lt;51,"36-50",C621&lt;66,"51-65",C621&gt;=66,"66+")</f>
        <v>66+</v>
      </c>
      <c r="S621" s="18">
        <v>45962</v>
      </c>
    </row>
    <row r="622" spans="1:19">
      <c r="A622" s="21" t="s">
        <v>1206</v>
      </c>
      <c r="B622" s="1" t="s">
        <v>216</v>
      </c>
      <c r="C622" s="1">
        <v>79</v>
      </c>
      <c r="D622" s="1" t="s">
        <v>43</v>
      </c>
      <c r="E622" s="1" t="s">
        <v>159</v>
      </c>
      <c r="F622" s="1" t="s">
        <v>67</v>
      </c>
      <c r="G622" s="1" t="s">
        <v>68</v>
      </c>
      <c r="H622" s="1" t="s">
        <v>99</v>
      </c>
      <c r="I622" s="1" t="s">
        <v>62</v>
      </c>
      <c r="J622" s="2">
        <v>45421</v>
      </c>
      <c r="K622" s="2">
        <v>45544</v>
      </c>
      <c r="L622" s="1">
        <v>4</v>
      </c>
      <c r="M622" s="1" t="s">
        <v>48</v>
      </c>
      <c r="N622" s="1" t="s">
        <v>28</v>
      </c>
      <c r="O622" s="4">
        <v>67139.47</v>
      </c>
      <c r="P622" s="1">
        <v>4</v>
      </c>
      <c r="Q622" s="10" t="s">
        <v>72</v>
      </c>
      <c r="R622" s="14" t="str" cm="1">
        <f t="array" ref="R622">_xlfn.IFS(C622&lt;18,"Under 18",C622&lt;36,"18-35",C622&lt;51,"36-50",C622&lt;66,"51-65",C622&gt;=66,"66+")</f>
        <v>66+</v>
      </c>
      <c r="S622" s="18">
        <v>45413</v>
      </c>
    </row>
    <row r="623" spans="1:19">
      <c r="A623" s="21" t="s">
        <v>1207</v>
      </c>
      <c r="B623" s="1" t="s">
        <v>892</v>
      </c>
      <c r="C623" s="1">
        <v>35</v>
      </c>
      <c r="D623" s="1" t="s">
        <v>27</v>
      </c>
      <c r="E623" s="1" t="s">
        <v>20</v>
      </c>
      <c r="F623" s="1" t="s">
        <v>67</v>
      </c>
      <c r="G623" s="1" t="s">
        <v>104</v>
      </c>
      <c r="H623" s="1" t="s">
        <v>88</v>
      </c>
      <c r="I623" s="1" t="s">
        <v>36</v>
      </c>
      <c r="J623" s="2">
        <v>45401</v>
      </c>
      <c r="K623" s="2">
        <v>45406</v>
      </c>
      <c r="L623" s="1">
        <v>5</v>
      </c>
      <c r="M623" s="1" t="s">
        <v>27</v>
      </c>
      <c r="N623" s="1" t="s">
        <v>63</v>
      </c>
      <c r="O623" s="4">
        <v>75094.929999999993</v>
      </c>
      <c r="P623" s="1">
        <v>3</v>
      </c>
      <c r="Q623" s="10" t="s">
        <v>58</v>
      </c>
      <c r="R623" s="14" t="str" cm="1">
        <f t="array" ref="R623">_xlfn.IFS(C623&lt;18,"Under 18",C623&lt;36,"18-35",C623&lt;51,"36-50",C623&lt;66,"51-65",C623&gt;=66,"66+")</f>
        <v>18-35</v>
      </c>
      <c r="S623" s="18">
        <v>45383</v>
      </c>
    </row>
    <row r="624" spans="1:19">
      <c r="A624" s="21" t="s">
        <v>1208</v>
      </c>
      <c r="B624" s="1" t="s">
        <v>1209</v>
      </c>
      <c r="C624" s="1">
        <v>18</v>
      </c>
      <c r="D624" s="1" t="s">
        <v>19</v>
      </c>
      <c r="E624" s="1" t="s">
        <v>51</v>
      </c>
      <c r="F624" s="1" t="s">
        <v>75</v>
      </c>
      <c r="G624" s="1" t="s">
        <v>34</v>
      </c>
      <c r="H624" s="1" t="s">
        <v>93</v>
      </c>
      <c r="I624" s="1" t="s">
        <v>36</v>
      </c>
      <c r="J624" s="2">
        <v>45983</v>
      </c>
      <c r="K624" s="2">
        <v>45985</v>
      </c>
      <c r="L624" s="1">
        <v>2</v>
      </c>
      <c r="M624" s="1" t="s">
        <v>56</v>
      </c>
      <c r="N624" s="1" t="s">
        <v>28</v>
      </c>
      <c r="O624" s="4">
        <v>79424.14</v>
      </c>
      <c r="P624" s="1">
        <v>2</v>
      </c>
      <c r="Q624" s="10" t="s">
        <v>58</v>
      </c>
      <c r="R624" s="14" t="str" cm="1">
        <f t="array" ref="R624">_xlfn.IFS(C624&lt;18,"Under 18",C624&lt;36,"18-35",C624&lt;51,"36-50",C624&lt;66,"51-65",C624&gt;=66,"66+")</f>
        <v>18-35</v>
      </c>
      <c r="S624" s="18">
        <v>45962</v>
      </c>
    </row>
    <row r="625" spans="1:19">
      <c r="A625" s="21" t="s">
        <v>1210</v>
      </c>
      <c r="B625" s="1" t="s">
        <v>565</v>
      </c>
      <c r="C625" s="1">
        <v>4</v>
      </c>
      <c r="D625" s="1" t="s">
        <v>27</v>
      </c>
      <c r="E625" s="1" t="s">
        <v>44</v>
      </c>
      <c r="F625" s="1" t="s">
        <v>52</v>
      </c>
      <c r="G625" s="1" t="s">
        <v>36</v>
      </c>
      <c r="H625" s="1" t="s">
        <v>93</v>
      </c>
      <c r="I625" s="1" t="s">
        <v>62</v>
      </c>
      <c r="J625" s="2">
        <v>45746</v>
      </c>
      <c r="K625" s="2">
        <v>45747</v>
      </c>
      <c r="L625" s="1">
        <v>1</v>
      </c>
      <c r="M625" s="1" t="s">
        <v>27</v>
      </c>
      <c r="N625" s="1" t="s">
        <v>28</v>
      </c>
      <c r="O625" s="4">
        <v>83736.83</v>
      </c>
      <c r="P625" s="1">
        <v>5</v>
      </c>
      <c r="Q625" s="10" t="s">
        <v>58</v>
      </c>
      <c r="R625" s="14" t="str" cm="1">
        <f t="array" ref="R625">_xlfn.IFS(C625&lt;18,"Under 18",C625&lt;36,"18-35",C625&lt;51,"36-50",C625&lt;66,"51-65",C625&gt;=66,"66+")</f>
        <v>Under 18</v>
      </c>
      <c r="S625" s="18">
        <v>45717</v>
      </c>
    </row>
    <row r="626" spans="1:19">
      <c r="A626" s="21" t="s">
        <v>1211</v>
      </c>
      <c r="B626" s="1" t="s">
        <v>548</v>
      </c>
      <c r="C626" s="1">
        <v>19</v>
      </c>
      <c r="D626" s="1" t="s">
        <v>27</v>
      </c>
      <c r="E626" s="1" t="s">
        <v>159</v>
      </c>
      <c r="F626" s="1" t="s">
        <v>120</v>
      </c>
      <c r="G626" s="1" t="s">
        <v>132</v>
      </c>
      <c r="H626" s="1" t="s">
        <v>35</v>
      </c>
      <c r="I626" s="1" t="s">
        <v>62</v>
      </c>
      <c r="J626" s="2">
        <v>45314</v>
      </c>
      <c r="K626" s="2">
        <v>45315</v>
      </c>
      <c r="L626" s="1">
        <v>1</v>
      </c>
      <c r="M626" s="1" t="s">
        <v>48</v>
      </c>
      <c r="N626" s="1" t="s">
        <v>90</v>
      </c>
      <c r="O626" s="4">
        <v>49340.59</v>
      </c>
      <c r="P626" s="1">
        <v>4</v>
      </c>
      <c r="Q626" s="10" t="s">
        <v>58</v>
      </c>
      <c r="R626" s="14" t="str" cm="1">
        <f t="array" ref="R626">_xlfn.IFS(C626&lt;18,"Under 18",C626&lt;36,"18-35",C626&lt;51,"36-50",C626&lt;66,"51-65",C626&gt;=66,"66+")</f>
        <v>18-35</v>
      </c>
      <c r="S626" s="18">
        <v>45292</v>
      </c>
    </row>
    <row r="627" spans="1:19">
      <c r="A627" s="21" t="s">
        <v>1213</v>
      </c>
      <c r="B627" s="1" t="s">
        <v>299</v>
      </c>
      <c r="C627" s="1">
        <v>48</v>
      </c>
      <c r="D627" s="1" t="s">
        <v>27</v>
      </c>
      <c r="E627" s="1" t="s">
        <v>32</v>
      </c>
      <c r="F627" s="1" t="s">
        <v>67</v>
      </c>
      <c r="G627" s="1" t="s">
        <v>104</v>
      </c>
      <c r="H627" s="1" t="s">
        <v>76</v>
      </c>
      <c r="I627" s="1" t="s">
        <v>62</v>
      </c>
      <c r="J627" s="2">
        <v>45514</v>
      </c>
      <c r="K627" s="2">
        <v>45606</v>
      </c>
      <c r="L627" s="1">
        <v>3</v>
      </c>
      <c r="M627" s="1" t="s">
        <v>48</v>
      </c>
      <c r="N627" s="1" t="s">
        <v>90</v>
      </c>
      <c r="O627" s="4">
        <v>71385.03</v>
      </c>
      <c r="P627" s="1">
        <v>3</v>
      </c>
      <c r="Q627" s="10" t="s">
        <v>40</v>
      </c>
      <c r="R627" s="14" t="str" cm="1">
        <f t="array" ref="R627">_xlfn.IFS(C627&lt;18,"Under 18",C627&lt;36,"18-35",C627&lt;51,"36-50",C627&lt;66,"51-65",C627&gt;=66,"66+")</f>
        <v>36-50</v>
      </c>
      <c r="S627" s="18">
        <v>45505</v>
      </c>
    </row>
    <row r="628" spans="1:19">
      <c r="A628" s="21" t="s">
        <v>1214</v>
      </c>
      <c r="B628" s="1" t="s">
        <v>348</v>
      </c>
      <c r="C628" s="1">
        <v>5</v>
      </c>
      <c r="D628" s="1" t="s">
        <v>27</v>
      </c>
      <c r="E628" s="1" t="s">
        <v>51</v>
      </c>
      <c r="F628" s="1" t="s">
        <v>67</v>
      </c>
      <c r="G628" s="1" t="s">
        <v>53</v>
      </c>
      <c r="H628" s="1" t="s">
        <v>35</v>
      </c>
      <c r="I628" s="1" t="s">
        <v>36</v>
      </c>
      <c r="J628" s="2">
        <v>45958</v>
      </c>
      <c r="K628" s="2">
        <v>45699</v>
      </c>
      <c r="L628" s="1">
        <v>5</v>
      </c>
      <c r="M628" s="1" t="s">
        <v>38</v>
      </c>
      <c r="N628" s="1" t="s">
        <v>63</v>
      </c>
      <c r="O628" s="4">
        <v>85425.88</v>
      </c>
      <c r="P628" s="1">
        <v>3</v>
      </c>
      <c r="Q628" s="10" t="s">
        <v>58</v>
      </c>
      <c r="R628" s="14" t="str" cm="1">
        <f t="array" ref="R628">_xlfn.IFS(C628&lt;18,"Under 18",C628&lt;36,"18-35",C628&lt;51,"36-50",C628&lt;66,"51-65",C628&gt;=66,"66+")</f>
        <v>Under 18</v>
      </c>
      <c r="S628" s="18">
        <v>45931</v>
      </c>
    </row>
    <row r="629" spans="1:19">
      <c r="A629" s="21" t="s">
        <v>1215</v>
      </c>
      <c r="B629" s="1" t="s">
        <v>308</v>
      </c>
      <c r="C629" s="1">
        <v>66</v>
      </c>
      <c r="D629" s="1" t="s">
        <v>19</v>
      </c>
      <c r="E629" s="1" t="s">
        <v>32</v>
      </c>
      <c r="F629" s="1" t="s">
        <v>52</v>
      </c>
      <c r="G629" s="1" t="s">
        <v>53</v>
      </c>
      <c r="H629" s="1" t="s">
        <v>93</v>
      </c>
      <c r="I629" s="1" t="s">
        <v>62</v>
      </c>
      <c r="J629" s="2">
        <v>45470</v>
      </c>
      <c r="K629" s="2">
        <v>45471</v>
      </c>
      <c r="L629" s="1">
        <v>1</v>
      </c>
      <c r="M629" s="1" t="s">
        <v>97</v>
      </c>
      <c r="N629" s="1" t="s">
        <v>57</v>
      </c>
      <c r="O629" s="4">
        <v>122511.2</v>
      </c>
      <c r="P629" s="1">
        <v>3</v>
      </c>
      <c r="Q629" s="10" t="s">
        <v>29</v>
      </c>
      <c r="R629" s="14" t="str" cm="1">
        <f t="array" ref="R629">_xlfn.IFS(C629&lt;18,"Under 18",C629&lt;36,"18-35",C629&lt;51,"36-50",C629&lt;66,"51-65",C629&gt;=66,"66+")</f>
        <v>66+</v>
      </c>
      <c r="S629" s="18">
        <v>45444</v>
      </c>
    </row>
    <row r="630" spans="1:19">
      <c r="A630" s="21" t="s">
        <v>1216</v>
      </c>
      <c r="B630" s="1" t="s">
        <v>321</v>
      </c>
      <c r="C630" s="1">
        <v>74</v>
      </c>
      <c r="D630" s="1" t="s">
        <v>27</v>
      </c>
      <c r="E630" s="1" t="s">
        <v>202</v>
      </c>
      <c r="F630" s="1" t="s">
        <v>75</v>
      </c>
      <c r="G630" s="1" t="s">
        <v>53</v>
      </c>
      <c r="H630" s="1" t="s">
        <v>69</v>
      </c>
      <c r="I630" s="1" t="s">
        <v>24</v>
      </c>
      <c r="J630" s="2">
        <v>45722</v>
      </c>
      <c r="K630" s="2">
        <v>45844</v>
      </c>
      <c r="L630" s="1">
        <v>4</v>
      </c>
      <c r="M630" s="1" t="s">
        <v>56</v>
      </c>
      <c r="N630" s="1" t="s">
        <v>85</v>
      </c>
      <c r="O630" s="4">
        <v>123679.64</v>
      </c>
      <c r="P630" s="1">
        <v>4</v>
      </c>
      <c r="Q630" s="10" t="s">
        <v>72</v>
      </c>
      <c r="R630" s="14" t="str" cm="1">
        <f t="array" ref="R630">_xlfn.IFS(C630&lt;18,"Under 18",C630&lt;36,"18-35",C630&lt;51,"36-50",C630&lt;66,"51-65",C630&gt;=66,"66+")</f>
        <v>66+</v>
      </c>
      <c r="S630" s="18">
        <v>45717</v>
      </c>
    </row>
    <row r="631" spans="1:19">
      <c r="A631" s="21" t="s">
        <v>1217</v>
      </c>
      <c r="B631" s="1" t="s">
        <v>412</v>
      </c>
      <c r="C631" s="1">
        <v>86</v>
      </c>
      <c r="D631" s="1" t="s">
        <v>19</v>
      </c>
      <c r="E631" s="1" t="s">
        <v>32</v>
      </c>
      <c r="F631" s="1" t="s">
        <v>75</v>
      </c>
      <c r="G631" s="1" t="s">
        <v>132</v>
      </c>
      <c r="H631" s="1" t="s">
        <v>45</v>
      </c>
      <c r="I631" s="1" t="s">
        <v>24</v>
      </c>
      <c r="J631" s="2">
        <v>45803</v>
      </c>
      <c r="K631" s="2">
        <v>45807</v>
      </c>
      <c r="L631" s="1">
        <v>4</v>
      </c>
      <c r="M631" s="1" t="s">
        <v>38</v>
      </c>
      <c r="N631" s="1" t="s">
        <v>28</v>
      </c>
      <c r="O631" s="4">
        <v>77684.98</v>
      </c>
      <c r="P631" s="1">
        <v>3</v>
      </c>
      <c r="Q631" s="10" t="s">
        <v>72</v>
      </c>
      <c r="R631" s="14" t="str" cm="1">
        <f t="array" ref="R631">_xlfn.IFS(C631&lt;18,"Under 18",C631&lt;36,"18-35",C631&lt;51,"36-50",C631&lt;66,"51-65",C631&gt;=66,"66+")</f>
        <v>66+</v>
      </c>
      <c r="S631" s="18">
        <v>45778</v>
      </c>
    </row>
    <row r="632" spans="1:19">
      <c r="A632" s="21" t="s">
        <v>1218</v>
      </c>
      <c r="B632" s="1" t="s">
        <v>423</v>
      </c>
      <c r="C632" s="1">
        <v>10</v>
      </c>
      <c r="D632" s="1" t="s">
        <v>43</v>
      </c>
      <c r="E632" s="1" t="s">
        <v>20</v>
      </c>
      <c r="F632" s="1" t="s">
        <v>120</v>
      </c>
      <c r="G632" s="1" t="s">
        <v>104</v>
      </c>
      <c r="H632" s="1" t="s">
        <v>76</v>
      </c>
      <c r="I632" s="1" t="s">
        <v>62</v>
      </c>
      <c r="J632" s="2">
        <v>45675</v>
      </c>
      <c r="K632" s="2">
        <v>45676</v>
      </c>
      <c r="L632" s="1">
        <v>1</v>
      </c>
      <c r="M632" s="1" t="s">
        <v>97</v>
      </c>
      <c r="N632" s="1" t="s">
        <v>63</v>
      </c>
      <c r="O632" s="4">
        <v>21724.81</v>
      </c>
      <c r="P632" s="1">
        <v>4</v>
      </c>
      <c r="Q632" s="10" t="s">
        <v>40</v>
      </c>
      <c r="R632" s="14" t="str" cm="1">
        <f t="array" ref="R632">_xlfn.IFS(C632&lt;18,"Under 18",C632&lt;36,"18-35",C632&lt;51,"36-50",C632&lt;66,"51-65",C632&gt;=66,"66+")</f>
        <v>Under 18</v>
      </c>
      <c r="S632" s="18">
        <v>45658</v>
      </c>
    </row>
    <row r="633" spans="1:19">
      <c r="A633" s="21" t="s">
        <v>1220</v>
      </c>
      <c r="B633" s="1" t="s">
        <v>87</v>
      </c>
      <c r="C633" s="1">
        <v>29</v>
      </c>
      <c r="D633" s="1" t="s">
        <v>19</v>
      </c>
      <c r="E633" s="1" t="s">
        <v>202</v>
      </c>
      <c r="F633" s="1" t="s">
        <v>21</v>
      </c>
      <c r="G633" s="1" t="s">
        <v>132</v>
      </c>
      <c r="H633" s="1" t="s">
        <v>45</v>
      </c>
      <c r="I633" s="1" t="s">
        <v>36</v>
      </c>
      <c r="J633" s="2">
        <v>45457</v>
      </c>
      <c r="K633" s="2">
        <v>45466</v>
      </c>
      <c r="L633" s="1">
        <v>9</v>
      </c>
      <c r="M633" s="1" t="s">
        <v>38</v>
      </c>
      <c r="N633" s="1" t="s">
        <v>39</v>
      </c>
      <c r="O633" s="4">
        <v>68117.350000000006</v>
      </c>
      <c r="P633" s="1">
        <v>4</v>
      </c>
      <c r="Q633" s="10" t="s">
        <v>58</v>
      </c>
      <c r="R633" s="14" t="str" cm="1">
        <f t="array" ref="R633">_xlfn.IFS(C633&lt;18,"Under 18",C633&lt;36,"18-35",C633&lt;51,"36-50",C633&lt;66,"51-65",C633&gt;=66,"66+")</f>
        <v>18-35</v>
      </c>
      <c r="S633" s="18">
        <v>45444</v>
      </c>
    </row>
    <row r="634" spans="1:19">
      <c r="A634" s="21" t="s">
        <v>1222</v>
      </c>
      <c r="B634" s="1" t="s">
        <v>519</v>
      </c>
      <c r="C634" s="1">
        <v>73</v>
      </c>
      <c r="D634" s="1" t="s">
        <v>27</v>
      </c>
      <c r="E634" s="1" t="s">
        <v>247</v>
      </c>
      <c r="F634" s="1" t="s">
        <v>67</v>
      </c>
      <c r="G634" s="1" t="s">
        <v>104</v>
      </c>
      <c r="H634" s="1" t="s">
        <v>61</v>
      </c>
      <c r="I634" s="1" t="s">
        <v>24</v>
      </c>
      <c r="J634" s="2">
        <v>45365</v>
      </c>
      <c r="K634" s="2">
        <v>45366</v>
      </c>
      <c r="L634" s="1">
        <v>1</v>
      </c>
      <c r="M634" s="1" t="s">
        <v>56</v>
      </c>
      <c r="N634" s="1" t="s">
        <v>39</v>
      </c>
      <c r="O634" s="4">
        <v>72765.41</v>
      </c>
      <c r="P634" s="1">
        <v>4</v>
      </c>
      <c r="Q634" s="10" t="s">
        <v>72</v>
      </c>
      <c r="R634" s="14" t="str" cm="1">
        <f t="array" ref="R634">_xlfn.IFS(C634&lt;18,"Under 18",C634&lt;36,"18-35",C634&lt;51,"36-50",C634&lt;66,"51-65",C634&gt;=66,"66+")</f>
        <v>66+</v>
      </c>
      <c r="S634" s="18">
        <v>45352</v>
      </c>
    </row>
    <row r="635" spans="1:19">
      <c r="A635" s="21" t="s">
        <v>1223</v>
      </c>
      <c r="B635" s="1" t="s">
        <v>384</v>
      </c>
      <c r="C635" s="1">
        <v>57</v>
      </c>
      <c r="D635" s="1" t="s">
        <v>43</v>
      </c>
      <c r="E635" s="1" t="s">
        <v>202</v>
      </c>
      <c r="F635" s="1" t="s">
        <v>21</v>
      </c>
      <c r="G635" s="1" t="s">
        <v>22</v>
      </c>
      <c r="H635" s="1" t="s">
        <v>45</v>
      </c>
      <c r="I635" s="1" t="s">
        <v>62</v>
      </c>
      <c r="J635" s="2">
        <v>45698</v>
      </c>
      <c r="K635" s="2">
        <v>45726</v>
      </c>
      <c r="L635" s="1">
        <v>1</v>
      </c>
      <c r="M635" s="1" t="s">
        <v>38</v>
      </c>
      <c r="N635" s="1" t="s">
        <v>57</v>
      </c>
      <c r="O635" s="4">
        <v>48405.99</v>
      </c>
      <c r="P635" s="1">
        <v>2</v>
      </c>
      <c r="Q635" s="10" t="s">
        <v>40</v>
      </c>
      <c r="R635" s="14" t="str" cm="1">
        <f t="array" ref="R635">_xlfn.IFS(C635&lt;18,"Under 18",C635&lt;36,"18-35",C635&lt;51,"36-50",C635&lt;66,"51-65",C635&gt;=66,"66+")</f>
        <v>51-65</v>
      </c>
      <c r="S635" s="18">
        <v>45689</v>
      </c>
    </row>
    <row r="636" spans="1:19">
      <c r="A636" s="21" t="s">
        <v>1224</v>
      </c>
      <c r="B636" s="1" t="s">
        <v>221</v>
      </c>
      <c r="C636" s="1">
        <v>9</v>
      </c>
      <c r="D636" s="1" t="s">
        <v>19</v>
      </c>
      <c r="E636" s="1" t="s">
        <v>117</v>
      </c>
      <c r="F636" s="1" t="s">
        <v>52</v>
      </c>
      <c r="G636" s="1" t="s">
        <v>68</v>
      </c>
      <c r="H636" s="1" t="s">
        <v>76</v>
      </c>
      <c r="I636" s="1" t="s">
        <v>36</v>
      </c>
      <c r="J636" s="2">
        <v>45586</v>
      </c>
      <c r="K636" s="2">
        <v>45590</v>
      </c>
      <c r="L636" s="1">
        <v>4</v>
      </c>
      <c r="M636" s="1" t="s">
        <v>48</v>
      </c>
      <c r="N636" s="1" t="s">
        <v>82</v>
      </c>
      <c r="O636" s="4">
        <v>57161.08</v>
      </c>
      <c r="P636" s="1">
        <v>4</v>
      </c>
      <c r="Q636" s="10" t="s">
        <v>58</v>
      </c>
      <c r="R636" s="14" t="str" cm="1">
        <f t="array" ref="R636">_xlfn.IFS(C636&lt;18,"Under 18",C636&lt;36,"18-35",C636&lt;51,"36-50",C636&lt;66,"51-65",C636&gt;=66,"66+")</f>
        <v>Under 18</v>
      </c>
      <c r="S636" s="18">
        <v>45566</v>
      </c>
    </row>
    <row r="637" spans="1:19">
      <c r="A637" s="21" t="s">
        <v>1225</v>
      </c>
      <c r="B637" s="1" t="s">
        <v>259</v>
      </c>
      <c r="C637" s="1">
        <v>34</v>
      </c>
      <c r="D637" s="1" t="s">
        <v>19</v>
      </c>
      <c r="E637" s="1" t="s">
        <v>247</v>
      </c>
      <c r="F637" s="1" t="s">
        <v>75</v>
      </c>
      <c r="G637" s="1" t="s">
        <v>53</v>
      </c>
      <c r="H637" s="1" t="s">
        <v>99</v>
      </c>
      <c r="I637" s="1" t="s">
        <v>62</v>
      </c>
      <c r="J637" s="2">
        <v>45516</v>
      </c>
      <c r="K637" s="2">
        <v>45547</v>
      </c>
      <c r="L637" s="1">
        <v>1</v>
      </c>
      <c r="M637" s="1" t="s">
        <v>27</v>
      </c>
      <c r="N637" s="1" t="s">
        <v>63</v>
      </c>
      <c r="O637" s="4">
        <v>36956.199999999997</v>
      </c>
      <c r="P637" s="1">
        <v>5</v>
      </c>
      <c r="Q637" s="10" t="s">
        <v>72</v>
      </c>
      <c r="R637" s="14" t="str" cm="1">
        <f t="array" ref="R637">_xlfn.IFS(C637&lt;18,"Under 18",C637&lt;36,"18-35",C637&lt;51,"36-50",C637&lt;66,"51-65",C637&gt;=66,"66+")</f>
        <v>18-35</v>
      </c>
      <c r="S637" s="18">
        <v>45505</v>
      </c>
    </row>
    <row r="638" spans="1:19">
      <c r="A638" s="21" t="s">
        <v>1226</v>
      </c>
      <c r="B638" s="1" t="s">
        <v>574</v>
      </c>
      <c r="C638" s="1">
        <v>71</v>
      </c>
      <c r="D638" s="1" t="s">
        <v>43</v>
      </c>
      <c r="E638" s="1" t="s">
        <v>202</v>
      </c>
      <c r="F638" s="1" t="s">
        <v>75</v>
      </c>
      <c r="G638" s="1" t="s">
        <v>53</v>
      </c>
      <c r="H638" s="1" t="s">
        <v>76</v>
      </c>
      <c r="I638" s="1" t="s">
        <v>36</v>
      </c>
      <c r="J638" s="2">
        <v>45631</v>
      </c>
      <c r="K638" s="2">
        <v>45428</v>
      </c>
      <c r="L638" s="1">
        <v>4</v>
      </c>
      <c r="M638" s="1" t="s">
        <v>27</v>
      </c>
      <c r="N638" s="1" t="s">
        <v>90</v>
      </c>
      <c r="O638" s="4">
        <v>89200.85</v>
      </c>
      <c r="P638" s="1">
        <v>5</v>
      </c>
      <c r="Q638" s="10" t="s">
        <v>58</v>
      </c>
      <c r="R638" s="14" t="str" cm="1">
        <f t="array" ref="R638">_xlfn.IFS(C638&lt;18,"Under 18",C638&lt;36,"18-35",C638&lt;51,"36-50",C638&lt;66,"51-65",C638&gt;=66,"66+")</f>
        <v>66+</v>
      </c>
      <c r="S638" s="18">
        <v>45627</v>
      </c>
    </row>
    <row r="639" spans="1:19">
      <c r="A639" s="21" t="s">
        <v>1227</v>
      </c>
      <c r="B639" s="1" t="s">
        <v>1209</v>
      </c>
      <c r="C639" s="1">
        <v>88</v>
      </c>
      <c r="D639" s="1" t="s">
        <v>27</v>
      </c>
      <c r="E639" s="1" t="s">
        <v>159</v>
      </c>
      <c r="F639" s="1" t="s">
        <v>75</v>
      </c>
      <c r="G639" s="1" t="s">
        <v>36</v>
      </c>
      <c r="H639" s="1" t="s">
        <v>35</v>
      </c>
      <c r="I639" s="1" t="s">
        <v>24</v>
      </c>
      <c r="J639" s="2">
        <v>45310</v>
      </c>
      <c r="K639" s="2">
        <v>45314</v>
      </c>
      <c r="L639" s="1">
        <v>4</v>
      </c>
      <c r="M639" s="1" t="s">
        <v>38</v>
      </c>
      <c r="N639" s="1" t="s">
        <v>82</v>
      </c>
      <c r="O639" s="4">
        <v>43369.46</v>
      </c>
      <c r="P639" s="1">
        <v>4</v>
      </c>
      <c r="Q639" s="10" t="s">
        <v>29</v>
      </c>
      <c r="R639" s="14" t="str" cm="1">
        <f t="array" ref="R639">_xlfn.IFS(C639&lt;18,"Under 18",C639&lt;36,"18-35",C639&lt;51,"36-50",C639&lt;66,"51-65",C639&gt;=66,"66+")</f>
        <v>66+</v>
      </c>
      <c r="S639" s="18">
        <v>45292</v>
      </c>
    </row>
    <row r="640" spans="1:19">
      <c r="A640" s="21" t="s">
        <v>1228</v>
      </c>
      <c r="B640" s="1" t="s">
        <v>143</v>
      </c>
      <c r="C640" s="1">
        <v>44</v>
      </c>
      <c r="D640" s="1" t="s">
        <v>43</v>
      </c>
      <c r="E640" s="1" t="s">
        <v>202</v>
      </c>
      <c r="F640" s="1" t="s">
        <v>52</v>
      </c>
      <c r="G640" s="1" t="s">
        <v>132</v>
      </c>
      <c r="H640" s="1" t="s">
        <v>76</v>
      </c>
      <c r="I640" s="1" t="s">
        <v>36</v>
      </c>
      <c r="J640" s="2">
        <v>45351</v>
      </c>
      <c r="K640" s="2">
        <v>45325</v>
      </c>
      <c r="L640" s="1">
        <v>2</v>
      </c>
      <c r="M640" s="1" t="s">
        <v>48</v>
      </c>
      <c r="N640" s="1" t="s">
        <v>28</v>
      </c>
      <c r="O640" s="4">
        <v>66565.73</v>
      </c>
      <c r="P640" s="1">
        <v>5</v>
      </c>
      <c r="Q640" s="10" t="s">
        <v>72</v>
      </c>
      <c r="R640" s="14" t="str" cm="1">
        <f t="array" ref="R640">_xlfn.IFS(C640&lt;18,"Under 18",C640&lt;36,"18-35",C640&lt;51,"36-50",C640&lt;66,"51-65",C640&gt;=66,"66+")</f>
        <v>36-50</v>
      </c>
      <c r="S640" s="18">
        <v>45323</v>
      </c>
    </row>
    <row r="641" spans="1:19">
      <c r="A641" s="21" t="s">
        <v>1229</v>
      </c>
      <c r="B641" s="1" t="s">
        <v>264</v>
      </c>
      <c r="C641" s="1">
        <v>17</v>
      </c>
      <c r="D641" s="1" t="s">
        <v>43</v>
      </c>
      <c r="E641" s="1" t="s">
        <v>32</v>
      </c>
      <c r="F641" s="1" t="s">
        <v>120</v>
      </c>
      <c r="G641" s="1" t="s">
        <v>132</v>
      </c>
      <c r="H641" s="1" t="s">
        <v>105</v>
      </c>
      <c r="I641" s="1" t="s">
        <v>24</v>
      </c>
      <c r="J641" s="2">
        <v>45358</v>
      </c>
      <c r="K641" s="2">
        <v>45389</v>
      </c>
      <c r="L641" s="1">
        <v>1</v>
      </c>
      <c r="M641" s="1" t="s">
        <v>56</v>
      </c>
      <c r="N641" s="1" t="s">
        <v>57</v>
      </c>
      <c r="O641" s="4">
        <v>21469.29</v>
      </c>
      <c r="P641" s="1">
        <v>4</v>
      </c>
      <c r="Q641" s="10" t="s">
        <v>40</v>
      </c>
      <c r="R641" s="14" t="str" cm="1">
        <f t="array" ref="R641">_xlfn.IFS(C641&lt;18,"Under 18",C641&lt;36,"18-35",C641&lt;51,"36-50",C641&lt;66,"51-65",C641&gt;=66,"66+")</f>
        <v>Under 18</v>
      </c>
      <c r="S641" s="18">
        <v>45352</v>
      </c>
    </row>
    <row r="642" spans="1:19">
      <c r="A642" s="21" t="s">
        <v>1230</v>
      </c>
      <c r="B642" s="1" t="s">
        <v>126</v>
      </c>
      <c r="C642" s="1">
        <v>29</v>
      </c>
      <c r="D642" s="1" t="s">
        <v>43</v>
      </c>
      <c r="E642" s="1" t="s">
        <v>137</v>
      </c>
      <c r="F642" s="1" t="s">
        <v>52</v>
      </c>
      <c r="G642" s="1" t="s">
        <v>68</v>
      </c>
      <c r="H642" s="1" t="s">
        <v>88</v>
      </c>
      <c r="I642" s="1" t="s">
        <v>24</v>
      </c>
      <c r="J642" s="2">
        <v>46022</v>
      </c>
      <c r="K642" s="2">
        <v>46054</v>
      </c>
      <c r="L642" s="1">
        <v>2</v>
      </c>
      <c r="M642" s="1" t="s">
        <v>97</v>
      </c>
      <c r="N642" s="1" t="s">
        <v>82</v>
      </c>
      <c r="O642" s="4">
        <v>62937.33</v>
      </c>
      <c r="P642" s="1">
        <v>4</v>
      </c>
      <c r="Q642" s="10" t="s">
        <v>72</v>
      </c>
      <c r="R642" s="14" t="str" cm="1">
        <f t="array" ref="R642">_xlfn.IFS(C642&lt;18,"Under 18",C642&lt;36,"18-35",C642&lt;51,"36-50",C642&lt;66,"51-65",C642&gt;=66,"66+")</f>
        <v>18-35</v>
      </c>
      <c r="S642" s="18">
        <v>45992</v>
      </c>
    </row>
    <row r="643" spans="1:19">
      <c r="A643" s="21" t="s">
        <v>1232</v>
      </c>
      <c r="B643" s="1" t="s">
        <v>283</v>
      </c>
      <c r="C643" s="1">
        <v>27</v>
      </c>
      <c r="D643" s="1" t="s">
        <v>19</v>
      </c>
      <c r="E643" s="1" t="s">
        <v>159</v>
      </c>
      <c r="F643" s="1" t="s">
        <v>52</v>
      </c>
      <c r="G643" s="1" t="s">
        <v>22</v>
      </c>
      <c r="H643" s="1" t="s">
        <v>88</v>
      </c>
      <c r="I643" s="1" t="s">
        <v>62</v>
      </c>
      <c r="J643" s="2">
        <v>45825</v>
      </c>
      <c r="K643" s="2">
        <v>45827</v>
      </c>
      <c r="L643" s="1">
        <v>2</v>
      </c>
      <c r="M643" s="1" t="s">
        <v>48</v>
      </c>
      <c r="N643" s="1" t="s">
        <v>28</v>
      </c>
      <c r="O643" s="4">
        <v>64918.49</v>
      </c>
      <c r="P643" s="1">
        <v>5</v>
      </c>
      <c r="Q643" s="10" t="s">
        <v>58</v>
      </c>
      <c r="R643" s="14" t="str" cm="1">
        <f t="array" ref="R643">_xlfn.IFS(C643&lt;18,"Under 18",C643&lt;36,"18-35",C643&lt;51,"36-50",C643&lt;66,"51-65",C643&gt;=66,"66+")</f>
        <v>18-35</v>
      </c>
      <c r="S643" s="18">
        <v>45809</v>
      </c>
    </row>
    <row r="644" spans="1:19">
      <c r="A644" s="21" t="s">
        <v>1233</v>
      </c>
      <c r="B644" s="1" t="s">
        <v>857</v>
      </c>
      <c r="C644" s="1">
        <v>5</v>
      </c>
      <c r="D644" s="1" t="s">
        <v>43</v>
      </c>
      <c r="E644" s="1" t="s">
        <v>137</v>
      </c>
      <c r="F644" s="1" t="s">
        <v>33</v>
      </c>
      <c r="G644" s="1" t="s">
        <v>22</v>
      </c>
      <c r="H644" s="1" t="s">
        <v>99</v>
      </c>
      <c r="I644" s="1" t="s">
        <v>62</v>
      </c>
      <c r="J644" s="2">
        <v>45606</v>
      </c>
      <c r="K644" s="2">
        <v>45579</v>
      </c>
      <c r="L644" s="1">
        <v>3</v>
      </c>
      <c r="M644" s="1" t="s">
        <v>48</v>
      </c>
      <c r="N644" s="1" t="s">
        <v>85</v>
      </c>
      <c r="O644" s="4">
        <v>32373.75</v>
      </c>
      <c r="P644" s="1">
        <v>4</v>
      </c>
      <c r="Q644" s="10" t="s">
        <v>29</v>
      </c>
      <c r="R644" s="14" t="str" cm="1">
        <f t="array" ref="R644">_xlfn.IFS(C644&lt;18,"Under 18",C644&lt;36,"18-35",C644&lt;51,"36-50",C644&lt;66,"51-65",C644&gt;=66,"66+")</f>
        <v>Under 18</v>
      </c>
      <c r="S644" s="18">
        <v>45597</v>
      </c>
    </row>
    <row r="645" spans="1:19">
      <c r="A645" s="21" t="s">
        <v>1234</v>
      </c>
      <c r="B645" s="1" t="s">
        <v>131</v>
      </c>
      <c r="C645" s="1">
        <v>49</v>
      </c>
      <c r="D645" s="1" t="s">
        <v>19</v>
      </c>
      <c r="E645" s="1" t="s">
        <v>44</v>
      </c>
      <c r="F645" s="1" t="s">
        <v>21</v>
      </c>
      <c r="G645" s="1" t="s">
        <v>34</v>
      </c>
      <c r="H645" s="1" t="s">
        <v>23</v>
      </c>
      <c r="I645" s="1" t="s">
        <v>36</v>
      </c>
      <c r="J645" s="2">
        <v>45819</v>
      </c>
      <c r="K645" s="2">
        <v>45941</v>
      </c>
      <c r="L645" s="1">
        <v>4</v>
      </c>
      <c r="M645" s="1" t="s">
        <v>38</v>
      </c>
      <c r="N645" s="1" t="s">
        <v>63</v>
      </c>
      <c r="O645" s="4">
        <v>138342.46</v>
      </c>
      <c r="P645" s="1">
        <v>5</v>
      </c>
      <c r="Q645" s="10" t="s">
        <v>58</v>
      </c>
      <c r="R645" s="14" t="str" cm="1">
        <f t="array" ref="R645">_xlfn.IFS(C645&lt;18,"Under 18",C645&lt;36,"18-35",C645&lt;51,"36-50",C645&lt;66,"51-65",C645&gt;=66,"66+")</f>
        <v>36-50</v>
      </c>
      <c r="S645" s="18">
        <v>45809</v>
      </c>
    </row>
    <row r="646" spans="1:19">
      <c r="A646" s="21" t="s">
        <v>1235</v>
      </c>
      <c r="B646" s="1" t="s">
        <v>659</v>
      </c>
      <c r="C646" s="1">
        <v>55</v>
      </c>
      <c r="D646" s="1" t="s">
        <v>27</v>
      </c>
      <c r="E646" s="1" t="s">
        <v>66</v>
      </c>
      <c r="F646" s="1" t="s">
        <v>33</v>
      </c>
      <c r="G646" s="1" t="s">
        <v>68</v>
      </c>
      <c r="H646" s="1" t="s">
        <v>23</v>
      </c>
      <c r="I646" s="1" t="s">
        <v>62</v>
      </c>
      <c r="J646" s="2">
        <v>45350</v>
      </c>
      <c r="K646" s="2">
        <v>45354</v>
      </c>
      <c r="L646" s="1">
        <v>4</v>
      </c>
      <c r="M646" s="1" t="s">
        <v>56</v>
      </c>
      <c r="N646" s="1" t="s">
        <v>85</v>
      </c>
      <c r="O646" s="4">
        <v>45835.69</v>
      </c>
      <c r="P646" s="1">
        <v>4</v>
      </c>
      <c r="Q646" s="10" t="s">
        <v>72</v>
      </c>
      <c r="R646" s="14" t="str" cm="1">
        <f t="array" ref="R646">_xlfn.IFS(C646&lt;18,"Under 18",C646&lt;36,"18-35",C646&lt;51,"36-50",C646&lt;66,"51-65",C646&gt;=66,"66+")</f>
        <v>51-65</v>
      </c>
      <c r="S646" s="18">
        <v>45323</v>
      </c>
    </row>
    <row r="647" spans="1:19">
      <c r="A647" s="21" t="s">
        <v>1237</v>
      </c>
      <c r="B647" s="1" t="s">
        <v>259</v>
      </c>
      <c r="C647" s="1">
        <v>36</v>
      </c>
      <c r="D647" s="1" t="s">
        <v>27</v>
      </c>
      <c r="E647" s="1" t="s">
        <v>32</v>
      </c>
      <c r="F647" s="1" t="s">
        <v>120</v>
      </c>
      <c r="G647" s="1" t="s">
        <v>34</v>
      </c>
      <c r="H647" s="1" t="s">
        <v>69</v>
      </c>
      <c r="I647" s="1" t="s">
        <v>24</v>
      </c>
      <c r="J647" s="2">
        <v>45483</v>
      </c>
      <c r="K647" s="2">
        <v>45545</v>
      </c>
      <c r="L647" s="1">
        <v>2</v>
      </c>
      <c r="M647" s="1" t="s">
        <v>38</v>
      </c>
      <c r="N647" s="1" t="s">
        <v>39</v>
      </c>
      <c r="O647" s="4">
        <v>46171.21</v>
      </c>
      <c r="P647" s="1">
        <v>3</v>
      </c>
      <c r="Q647" s="10" t="s">
        <v>40</v>
      </c>
      <c r="R647" s="14" t="str" cm="1">
        <f t="array" ref="R647">_xlfn.IFS(C647&lt;18,"Under 18",C647&lt;36,"18-35",C647&lt;51,"36-50",C647&lt;66,"51-65",C647&gt;=66,"66+")</f>
        <v>36-50</v>
      </c>
      <c r="S647" s="18">
        <v>45474</v>
      </c>
    </row>
    <row r="648" spans="1:19">
      <c r="A648" s="21" t="s">
        <v>1238</v>
      </c>
      <c r="B648" s="1" t="s">
        <v>521</v>
      </c>
      <c r="C648" s="1">
        <v>23</v>
      </c>
      <c r="D648" s="1" t="s">
        <v>43</v>
      </c>
      <c r="E648" s="1" t="s">
        <v>117</v>
      </c>
      <c r="F648" s="1" t="s">
        <v>67</v>
      </c>
      <c r="G648" s="1" t="s">
        <v>53</v>
      </c>
      <c r="H648" s="1" t="s">
        <v>93</v>
      </c>
      <c r="I648" s="1" t="s">
        <v>24</v>
      </c>
      <c r="J648" s="2">
        <v>45765</v>
      </c>
      <c r="K648" s="2">
        <v>45768</v>
      </c>
      <c r="L648" s="1">
        <v>3</v>
      </c>
      <c r="M648" s="1" t="s">
        <v>38</v>
      </c>
      <c r="N648" s="1" t="s">
        <v>28</v>
      </c>
      <c r="O648" s="4">
        <v>99599.4</v>
      </c>
      <c r="P648" s="1">
        <v>4</v>
      </c>
      <c r="Q648" s="10" t="s">
        <v>58</v>
      </c>
      <c r="R648" s="14" t="str" cm="1">
        <f t="array" ref="R648">_xlfn.IFS(C648&lt;18,"Under 18",C648&lt;36,"18-35",C648&lt;51,"36-50",C648&lt;66,"51-65",C648&gt;=66,"66+")</f>
        <v>18-35</v>
      </c>
      <c r="S648" s="18">
        <v>45748</v>
      </c>
    </row>
    <row r="649" spans="1:19">
      <c r="A649" s="21" t="s">
        <v>1239</v>
      </c>
      <c r="B649" s="1" t="s">
        <v>236</v>
      </c>
      <c r="C649" s="1">
        <v>24</v>
      </c>
      <c r="D649" s="1" t="s">
        <v>43</v>
      </c>
      <c r="E649" s="1" t="s">
        <v>202</v>
      </c>
      <c r="F649" s="1" t="s">
        <v>67</v>
      </c>
      <c r="G649" s="1" t="s">
        <v>34</v>
      </c>
      <c r="H649" s="1" t="s">
        <v>61</v>
      </c>
      <c r="I649" s="1" t="s">
        <v>24</v>
      </c>
      <c r="J649" s="2">
        <v>45545</v>
      </c>
      <c r="K649" s="2">
        <v>45579</v>
      </c>
      <c r="L649" s="1">
        <v>5</v>
      </c>
      <c r="M649" s="1" t="s">
        <v>56</v>
      </c>
      <c r="N649" s="1" t="s">
        <v>28</v>
      </c>
      <c r="O649" s="4">
        <v>25130.84</v>
      </c>
      <c r="P649" s="1">
        <v>4</v>
      </c>
      <c r="Q649" s="10" t="s">
        <v>40</v>
      </c>
      <c r="R649" s="14" t="str" cm="1">
        <f t="array" ref="R649">_xlfn.IFS(C649&lt;18,"Under 18",C649&lt;36,"18-35",C649&lt;51,"36-50",C649&lt;66,"51-65",C649&gt;=66,"66+")</f>
        <v>18-35</v>
      </c>
      <c r="S649" s="18">
        <v>45536</v>
      </c>
    </row>
    <row r="650" spans="1:19">
      <c r="A650" s="21" t="s">
        <v>1240</v>
      </c>
      <c r="B650" s="1" t="s">
        <v>264</v>
      </c>
      <c r="C650" s="1">
        <v>33</v>
      </c>
      <c r="D650" s="1" t="s">
        <v>19</v>
      </c>
      <c r="E650" s="1" t="s">
        <v>20</v>
      </c>
      <c r="F650" s="1" t="s">
        <v>21</v>
      </c>
      <c r="G650" s="1" t="s">
        <v>132</v>
      </c>
      <c r="H650" s="1" t="s">
        <v>88</v>
      </c>
      <c r="I650" s="1" t="s">
        <v>62</v>
      </c>
      <c r="J650" s="2">
        <v>45986</v>
      </c>
      <c r="K650" s="2">
        <v>45990</v>
      </c>
      <c r="L650" s="1">
        <v>4</v>
      </c>
      <c r="M650" s="1" t="s">
        <v>27</v>
      </c>
      <c r="N650" s="1" t="s">
        <v>82</v>
      </c>
      <c r="O650" s="4">
        <v>19968.93</v>
      </c>
      <c r="P650" s="1">
        <v>4</v>
      </c>
      <c r="Q650" s="10" t="s">
        <v>58</v>
      </c>
      <c r="R650" s="14" t="str" cm="1">
        <f t="array" ref="R650">_xlfn.IFS(C650&lt;18,"Under 18",C650&lt;36,"18-35",C650&lt;51,"36-50",C650&lt;66,"51-65",C650&gt;=66,"66+")</f>
        <v>18-35</v>
      </c>
      <c r="S650" s="18">
        <v>45962</v>
      </c>
    </row>
    <row r="651" spans="1:19">
      <c r="A651" s="21" t="s">
        <v>1241</v>
      </c>
      <c r="B651" s="1" t="s">
        <v>396</v>
      </c>
      <c r="C651" s="1">
        <v>10</v>
      </c>
      <c r="D651" s="1" t="s">
        <v>27</v>
      </c>
      <c r="E651" s="1" t="s">
        <v>66</v>
      </c>
      <c r="F651" s="1" t="s">
        <v>120</v>
      </c>
      <c r="G651" s="1" t="s">
        <v>53</v>
      </c>
      <c r="H651" s="1" t="s">
        <v>88</v>
      </c>
      <c r="I651" s="1" t="s">
        <v>36</v>
      </c>
      <c r="J651" s="2">
        <v>45994</v>
      </c>
      <c r="K651" s="2">
        <v>45729</v>
      </c>
      <c r="L651" s="1">
        <v>1</v>
      </c>
      <c r="M651" s="1" t="s">
        <v>38</v>
      </c>
      <c r="N651" s="1" t="s">
        <v>85</v>
      </c>
      <c r="O651" s="4">
        <v>167001.01999999999</v>
      </c>
      <c r="P651" s="1">
        <v>4</v>
      </c>
      <c r="Q651" s="10" t="s">
        <v>72</v>
      </c>
      <c r="R651" s="14" t="str" cm="1">
        <f t="array" ref="R651">_xlfn.IFS(C651&lt;18,"Under 18",C651&lt;36,"18-35",C651&lt;51,"36-50",C651&lt;66,"51-65",C651&gt;=66,"66+")</f>
        <v>Under 18</v>
      </c>
      <c r="S651" s="18">
        <v>45992</v>
      </c>
    </row>
    <row r="652" spans="1:19">
      <c r="A652" s="21" t="s">
        <v>1242</v>
      </c>
      <c r="B652" s="1" t="s">
        <v>280</v>
      </c>
      <c r="C652" s="1">
        <v>14</v>
      </c>
      <c r="D652" s="1" t="s">
        <v>27</v>
      </c>
      <c r="E652" s="1" t="s">
        <v>32</v>
      </c>
      <c r="F652" s="1" t="s">
        <v>75</v>
      </c>
      <c r="G652" s="1" t="s">
        <v>53</v>
      </c>
      <c r="H652" s="1" t="s">
        <v>61</v>
      </c>
      <c r="I652" s="1" t="s">
        <v>36</v>
      </c>
      <c r="J652" s="2">
        <v>45390</v>
      </c>
      <c r="K652" s="2">
        <v>45512</v>
      </c>
      <c r="L652" s="1">
        <v>4</v>
      </c>
      <c r="M652" s="1" t="s">
        <v>27</v>
      </c>
      <c r="N652" s="1" t="s">
        <v>90</v>
      </c>
      <c r="O652" s="4">
        <v>68382.289999999994</v>
      </c>
      <c r="P652" s="1">
        <v>4</v>
      </c>
      <c r="Q652" s="10" t="s">
        <v>58</v>
      </c>
      <c r="R652" s="14" t="str" cm="1">
        <f t="array" ref="R652">_xlfn.IFS(C652&lt;18,"Under 18",C652&lt;36,"18-35",C652&lt;51,"36-50",C652&lt;66,"51-65",C652&gt;=66,"66+")</f>
        <v>Under 18</v>
      </c>
      <c r="S652" s="18">
        <v>45383</v>
      </c>
    </row>
    <row r="653" spans="1:19">
      <c r="A653" s="21" t="s">
        <v>1243</v>
      </c>
      <c r="B653" s="1" t="s">
        <v>507</v>
      </c>
      <c r="C653" s="1">
        <v>69</v>
      </c>
      <c r="D653" s="1" t="s">
        <v>27</v>
      </c>
      <c r="E653" s="1" t="s">
        <v>247</v>
      </c>
      <c r="F653" s="1" t="s">
        <v>21</v>
      </c>
      <c r="G653" s="1" t="s">
        <v>104</v>
      </c>
      <c r="H653" s="1" t="s">
        <v>88</v>
      </c>
      <c r="I653" s="1" t="s">
        <v>62</v>
      </c>
      <c r="J653" s="2">
        <v>45387</v>
      </c>
      <c r="K653" s="2">
        <v>45425</v>
      </c>
      <c r="L653" s="1">
        <v>9</v>
      </c>
      <c r="M653" s="1" t="s">
        <v>56</v>
      </c>
      <c r="N653" s="1" t="s">
        <v>57</v>
      </c>
      <c r="O653" s="4">
        <v>39562.92</v>
      </c>
      <c r="P653" s="1">
        <v>5</v>
      </c>
      <c r="Q653" s="10" t="s">
        <v>40</v>
      </c>
      <c r="R653" s="14" t="str" cm="1">
        <f t="array" ref="R653">_xlfn.IFS(C653&lt;18,"Under 18",C653&lt;36,"18-35",C653&lt;51,"36-50",C653&lt;66,"51-65",C653&gt;=66,"66+")</f>
        <v>66+</v>
      </c>
      <c r="S653" s="18">
        <v>45383</v>
      </c>
    </row>
    <row r="654" spans="1:19">
      <c r="A654" s="21" t="s">
        <v>1244</v>
      </c>
      <c r="B654" s="1" t="s">
        <v>315</v>
      </c>
      <c r="C654" s="1">
        <v>15</v>
      </c>
      <c r="D654" s="1" t="s">
        <v>27</v>
      </c>
      <c r="E654" s="1" t="s">
        <v>159</v>
      </c>
      <c r="F654" s="1" t="s">
        <v>33</v>
      </c>
      <c r="G654" s="1" t="s">
        <v>53</v>
      </c>
      <c r="H654" s="1" t="s">
        <v>45</v>
      </c>
      <c r="I654" s="1" t="s">
        <v>36</v>
      </c>
      <c r="J654" s="2">
        <v>45360</v>
      </c>
      <c r="K654" s="2">
        <v>45574</v>
      </c>
      <c r="L654" s="1">
        <v>7</v>
      </c>
      <c r="M654" s="1" t="s">
        <v>27</v>
      </c>
      <c r="N654" s="1" t="s">
        <v>39</v>
      </c>
      <c r="O654" s="4">
        <v>62388</v>
      </c>
      <c r="P654" s="1">
        <v>5</v>
      </c>
      <c r="Q654" s="10" t="s">
        <v>29</v>
      </c>
      <c r="R654" s="14" t="str" cm="1">
        <f t="array" ref="R654">_xlfn.IFS(C654&lt;18,"Under 18",C654&lt;36,"18-35",C654&lt;51,"36-50",C654&lt;66,"51-65",C654&gt;=66,"66+")</f>
        <v>Under 18</v>
      </c>
      <c r="S654" s="18">
        <v>45352</v>
      </c>
    </row>
    <row r="655" spans="1:19">
      <c r="A655" s="21" t="s">
        <v>1245</v>
      </c>
      <c r="B655" s="1" t="s">
        <v>494</v>
      </c>
      <c r="C655" s="1">
        <v>69</v>
      </c>
      <c r="D655" s="1" t="s">
        <v>19</v>
      </c>
      <c r="E655" s="1" t="s">
        <v>51</v>
      </c>
      <c r="F655" s="1" t="s">
        <v>21</v>
      </c>
      <c r="G655" s="1" t="s">
        <v>68</v>
      </c>
      <c r="H655" s="1" t="s">
        <v>105</v>
      </c>
      <c r="I655" s="1" t="s">
        <v>24</v>
      </c>
      <c r="J655" s="2">
        <v>45709</v>
      </c>
      <c r="K655" s="2">
        <v>45714</v>
      </c>
      <c r="L655" s="1">
        <v>5</v>
      </c>
      <c r="M655" s="1" t="s">
        <v>97</v>
      </c>
      <c r="N655" s="1" t="s">
        <v>63</v>
      </c>
      <c r="O655" s="4">
        <v>36934.74</v>
      </c>
      <c r="P655" s="1">
        <v>2</v>
      </c>
      <c r="Q655" s="10" t="s">
        <v>29</v>
      </c>
      <c r="R655" s="14" t="str" cm="1">
        <f t="array" ref="R655">_xlfn.IFS(C655&lt;18,"Under 18",C655&lt;36,"18-35",C655&lt;51,"36-50",C655&lt;66,"51-65",C655&gt;=66,"66+")</f>
        <v>66+</v>
      </c>
      <c r="S655" s="18">
        <v>45689</v>
      </c>
    </row>
    <row r="656" spans="1:19">
      <c r="A656" s="21" t="s">
        <v>1246</v>
      </c>
      <c r="B656" s="1" t="s">
        <v>428</v>
      </c>
      <c r="C656" s="1">
        <v>24</v>
      </c>
      <c r="D656" s="1" t="s">
        <v>43</v>
      </c>
      <c r="E656" s="1" t="s">
        <v>66</v>
      </c>
      <c r="F656" s="1" t="s">
        <v>75</v>
      </c>
      <c r="G656" s="1" t="s">
        <v>104</v>
      </c>
      <c r="H656" s="1" t="s">
        <v>45</v>
      </c>
      <c r="I656" s="1" t="s">
        <v>36</v>
      </c>
      <c r="J656" s="2">
        <v>45307</v>
      </c>
      <c r="K656" s="2">
        <v>45308</v>
      </c>
      <c r="L656" s="1">
        <v>1</v>
      </c>
      <c r="M656" s="1" t="s">
        <v>27</v>
      </c>
      <c r="N656" s="1" t="s">
        <v>39</v>
      </c>
      <c r="O656" s="4">
        <v>21227.05</v>
      </c>
      <c r="P656" s="1">
        <v>1</v>
      </c>
      <c r="Q656" s="10" t="s">
        <v>58</v>
      </c>
      <c r="R656" s="14" t="str" cm="1">
        <f t="array" ref="R656">_xlfn.IFS(C656&lt;18,"Under 18",C656&lt;36,"18-35",C656&lt;51,"36-50",C656&lt;66,"51-65",C656&gt;=66,"66+")</f>
        <v>18-35</v>
      </c>
      <c r="S656" s="18">
        <v>45292</v>
      </c>
    </row>
    <row r="657" spans="1:19">
      <c r="A657" s="21" t="s">
        <v>1247</v>
      </c>
      <c r="B657" s="1" t="s">
        <v>31</v>
      </c>
      <c r="C657" s="1">
        <v>55</v>
      </c>
      <c r="D657" s="1" t="s">
        <v>43</v>
      </c>
      <c r="E657" s="1" t="s">
        <v>202</v>
      </c>
      <c r="F657" s="1" t="s">
        <v>75</v>
      </c>
      <c r="G657" s="1" t="s">
        <v>68</v>
      </c>
      <c r="H657" s="1" t="s">
        <v>45</v>
      </c>
      <c r="I657" s="1" t="s">
        <v>24</v>
      </c>
      <c r="J657" s="2">
        <v>45570</v>
      </c>
      <c r="K657" s="2">
        <v>45428</v>
      </c>
      <c r="L657" s="1">
        <v>6</v>
      </c>
      <c r="M657" s="1" t="s">
        <v>38</v>
      </c>
      <c r="N657" s="1" t="s">
        <v>57</v>
      </c>
      <c r="O657" s="4">
        <v>36587.01</v>
      </c>
      <c r="P657" s="1">
        <v>5</v>
      </c>
      <c r="Q657" s="10" t="s">
        <v>58</v>
      </c>
      <c r="R657" s="14" t="str" cm="1">
        <f t="array" ref="R657">_xlfn.IFS(C657&lt;18,"Under 18",C657&lt;36,"18-35",C657&lt;51,"36-50",C657&lt;66,"51-65",C657&gt;=66,"66+")</f>
        <v>51-65</v>
      </c>
      <c r="S657" s="18">
        <v>45566</v>
      </c>
    </row>
    <row r="658" spans="1:19">
      <c r="A658" s="21" t="s">
        <v>1248</v>
      </c>
      <c r="B658" s="1" t="s">
        <v>510</v>
      </c>
      <c r="C658" s="1">
        <v>81</v>
      </c>
      <c r="D658" s="1" t="s">
        <v>43</v>
      </c>
      <c r="E658" s="1" t="s">
        <v>159</v>
      </c>
      <c r="F658" s="1" t="s">
        <v>33</v>
      </c>
      <c r="G658" s="1" t="s">
        <v>110</v>
      </c>
      <c r="H658" s="1" t="s">
        <v>69</v>
      </c>
      <c r="I658" s="1" t="s">
        <v>62</v>
      </c>
      <c r="J658" s="2">
        <v>45738</v>
      </c>
      <c r="K658" s="2">
        <v>45746</v>
      </c>
      <c r="L658" s="1">
        <v>8</v>
      </c>
      <c r="M658" s="1" t="s">
        <v>97</v>
      </c>
      <c r="N658" s="1" t="s">
        <v>85</v>
      </c>
      <c r="O658" s="4">
        <v>201468.87</v>
      </c>
      <c r="P658" s="1">
        <v>2</v>
      </c>
      <c r="Q658" s="10" t="s">
        <v>40</v>
      </c>
      <c r="R658" s="14" t="str" cm="1">
        <f t="array" ref="R658">_xlfn.IFS(C658&lt;18,"Under 18",C658&lt;36,"18-35",C658&lt;51,"36-50",C658&lt;66,"51-65",C658&gt;=66,"66+")</f>
        <v>66+</v>
      </c>
      <c r="S658" s="18">
        <v>45717</v>
      </c>
    </row>
    <row r="659" spans="1:19">
      <c r="A659" s="21" t="s">
        <v>1249</v>
      </c>
      <c r="B659" s="1" t="s">
        <v>762</v>
      </c>
      <c r="C659" s="1">
        <v>13</v>
      </c>
      <c r="D659" s="1" t="s">
        <v>19</v>
      </c>
      <c r="E659" s="1" t="s">
        <v>202</v>
      </c>
      <c r="F659" s="1" t="s">
        <v>52</v>
      </c>
      <c r="G659" s="1" t="s">
        <v>36</v>
      </c>
      <c r="H659" s="1" t="s">
        <v>105</v>
      </c>
      <c r="I659" s="1" t="s">
        <v>24</v>
      </c>
      <c r="J659" s="2">
        <v>45596</v>
      </c>
      <c r="K659" s="2">
        <v>45362</v>
      </c>
      <c r="L659" s="1">
        <v>3</v>
      </c>
      <c r="M659" s="1" t="s">
        <v>56</v>
      </c>
      <c r="N659" s="1" t="s">
        <v>57</v>
      </c>
      <c r="O659" s="4">
        <v>35564.410000000003</v>
      </c>
      <c r="P659" s="1">
        <v>3</v>
      </c>
      <c r="Q659" s="10" t="s">
        <v>40</v>
      </c>
      <c r="R659" s="14" t="str" cm="1">
        <f t="array" ref="R659">_xlfn.IFS(C659&lt;18,"Under 18",C659&lt;36,"18-35",C659&lt;51,"36-50",C659&lt;66,"51-65",C659&gt;=66,"66+")</f>
        <v>Under 18</v>
      </c>
      <c r="S659" s="18">
        <v>45566</v>
      </c>
    </row>
    <row r="660" spans="1:19">
      <c r="A660" s="21" t="s">
        <v>1250</v>
      </c>
      <c r="B660" s="1" t="s">
        <v>699</v>
      </c>
      <c r="C660" s="1">
        <v>74</v>
      </c>
      <c r="D660" s="1" t="s">
        <v>27</v>
      </c>
      <c r="E660" s="1" t="s">
        <v>117</v>
      </c>
      <c r="F660" s="1" t="s">
        <v>67</v>
      </c>
      <c r="G660" s="1" t="s">
        <v>68</v>
      </c>
      <c r="H660" s="1" t="s">
        <v>105</v>
      </c>
      <c r="I660" s="1" t="s">
        <v>36</v>
      </c>
      <c r="J660" s="2">
        <v>45613</v>
      </c>
      <c r="K660" s="2">
        <v>45616</v>
      </c>
      <c r="L660" s="1">
        <v>3</v>
      </c>
      <c r="M660" s="1" t="s">
        <v>56</v>
      </c>
      <c r="N660" s="1" t="s">
        <v>63</v>
      </c>
      <c r="O660" s="4">
        <v>47524.41</v>
      </c>
      <c r="P660" s="1">
        <v>3</v>
      </c>
      <c r="Q660" s="10" t="s">
        <v>40</v>
      </c>
      <c r="R660" s="14" t="str" cm="1">
        <f t="array" ref="R660">_xlfn.IFS(C660&lt;18,"Under 18",C660&lt;36,"18-35",C660&lt;51,"36-50",C660&lt;66,"51-65",C660&gt;=66,"66+")</f>
        <v>66+</v>
      </c>
      <c r="S660" s="18">
        <v>45597</v>
      </c>
    </row>
    <row r="661" spans="1:19">
      <c r="A661" s="21" t="s">
        <v>1251</v>
      </c>
      <c r="B661" s="1" t="s">
        <v>954</v>
      </c>
      <c r="C661" s="1">
        <v>19</v>
      </c>
      <c r="D661" s="1" t="s">
        <v>19</v>
      </c>
      <c r="E661" s="1" t="s">
        <v>159</v>
      </c>
      <c r="F661" s="1" t="s">
        <v>75</v>
      </c>
      <c r="G661" s="1" t="s">
        <v>34</v>
      </c>
      <c r="H661" s="1" t="s">
        <v>69</v>
      </c>
      <c r="I661" s="1" t="s">
        <v>62</v>
      </c>
      <c r="J661" s="2">
        <v>45503</v>
      </c>
      <c r="K661" s="2">
        <v>45543</v>
      </c>
      <c r="L661" s="1">
        <v>10</v>
      </c>
      <c r="M661" s="1" t="s">
        <v>56</v>
      </c>
      <c r="N661" s="1" t="s">
        <v>82</v>
      </c>
      <c r="O661" s="4">
        <v>200932.07</v>
      </c>
      <c r="P661" s="1">
        <v>4</v>
      </c>
      <c r="Q661" s="10" t="s">
        <v>58</v>
      </c>
      <c r="R661" s="14" t="str" cm="1">
        <f t="array" ref="R661">_xlfn.IFS(C661&lt;18,"Under 18",C661&lt;36,"18-35",C661&lt;51,"36-50",C661&lt;66,"51-65",C661&gt;=66,"66+")</f>
        <v>18-35</v>
      </c>
      <c r="S661" s="18">
        <v>45474</v>
      </c>
    </row>
    <row r="662" spans="1:19">
      <c r="A662" s="21" t="s">
        <v>1252</v>
      </c>
      <c r="B662" s="1" t="s">
        <v>50</v>
      </c>
      <c r="C662" s="1">
        <v>57</v>
      </c>
      <c r="D662" s="1" t="s">
        <v>27</v>
      </c>
      <c r="E662" s="1" t="s">
        <v>117</v>
      </c>
      <c r="F662" s="1" t="s">
        <v>52</v>
      </c>
      <c r="G662" s="1" t="s">
        <v>22</v>
      </c>
      <c r="H662" s="1" t="s">
        <v>93</v>
      </c>
      <c r="I662" s="1" t="s">
        <v>24</v>
      </c>
      <c r="J662" s="2">
        <v>45540</v>
      </c>
      <c r="K662" s="2">
        <v>45601</v>
      </c>
      <c r="L662" s="1">
        <v>2</v>
      </c>
      <c r="M662" s="1" t="s">
        <v>48</v>
      </c>
      <c r="N662" s="1" t="s">
        <v>82</v>
      </c>
      <c r="O662" s="4">
        <v>76888.22</v>
      </c>
      <c r="P662" s="1">
        <v>4</v>
      </c>
      <c r="Q662" s="10" t="s">
        <v>72</v>
      </c>
      <c r="R662" s="14" t="str" cm="1">
        <f t="array" ref="R662">_xlfn.IFS(C662&lt;18,"Under 18",C662&lt;36,"18-35",C662&lt;51,"36-50",C662&lt;66,"51-65",C662&gt;=66,"66+")</f>
        <v>51-65</v>
      </c>
      <c r="S662" s="18">
        <v>45536</v>
      </c>
    </row>
    <row r="663" spans="1:19">
      <c r="A663" s="21" t="s">
        <v>1253</v>
      </c>
      <c r="B663" s="1" t="s">
        <v>551</v>
      </c>
      <c r="C663" s="1">
        <v>29</v>
      </c>
      <c r="D663" s="1" t="s">
        <v>27</v>
      </c>
      <c r="E663" s="1" t="s">
        <v>137</v>
      </c>
      <c r="F663" s="1" t="s">
        <v>75</v>
      </c>
      <c r="G663" s="1" t="s">
        <v>104</v>
      </c>
      <c r="H663" s="1" t="s">
        <v>23</v>
      </c>
      <c r="I663" s="1" t="s">
        <v>24</v>
      </c>
      <c r="J663" s="2">
        <v>45368</v>
      </c>
      <c r="K663" s="2">
        <v>45369</v>
      </c>
      <c r="L663" s="1">
        <v>1</v>
      </c>
      <c r="M663" s="1" t="s">
        <v>27</v>
      </c>
      <c r="N663" s="1" t="s">
        <v>82</v>
      </c>
      <c r="O663" s="4">
        <v>61061.95</v>
      </c>
      <c r="P663" s="1">
        <v>2</v>
      </c>
      <c r="Q663" s="10" t="s">
        <v>29</v>
      </c>
      <c r="R663" s="14" t="str" cm="1">
        <f t="array" ref="R663">_xlfn.IFS(C663&lt;18,"Under 18",C663&lt;36,"18-35",C663&lt;51,"36-50",C663&lt;66,"51-65",C663&gt;=66,"66+")</f>
        <v>18-35</v>
      </c>
      <c r="S663" s="18">
        <v>45352</v>
      </c>
    </row>
    <row r="664" spans="1:19">
      <c r="A664" s="21" t="s">
        <v>1256</v>
      </c>
      <c r="B664" s="1" t="s">
        <v>162</v>
      </c>
      <c r="C664" s="1">
        <v>72</v>
      </c>
      <c r="D664" s="1" t="s">
        <v>27</v>
      </c>
      <c r="E664" s="1" t="s">
        <v>117</v>
      </c>
      <c r="F664" s="1" t="s">
        <v>21</v>
      </c>
      <c r="G664" s="1" t="s">
        <v>132</v>
      </c>
      <c r="H664" s="1" t="s">
        <v>61</v>
      </c>
      <c r="I664" s="1" t="s">
        <v>36</v>
      </c>
      <c r="J664" s="2">
        <v>45726</v>
      </c>
      <c r="K664" s="2">
        <v>45787</v>
      </c>
      <c r="L664" s="1">
        <v>2</v>
      </c>
      <c r="M664" s="1" t="s">
        <v>48</v>
      </c>
      <c r="N664" s="1" t="s">
        <v>90</v>
      </c>
      <c r="O664" s="4">
        <v>31365.88</v>
      </c>
      <c r="P664" s="1">
        <v>3</v>
      </c>
      <c r="Q664" s="10" t="s">
        <v>29</v>
      </c>
      <c r="R664" s="14" t="str" cm="1">
        <f t="array" ref="R664">_xlfn.IFS(C664&lt;18,"Under 18",C664&lt;36,"18-35",C664&lt;51,"36-50",C664&lt;66,"51-65",C664&gt;=66,"66+")</f>
        <v>66+</v>
      </c>
      <c r="S664" s="18">
        <v>45717</v>
      </c>
    </row>
    <row r="665" spans="1:19">
      <c r="A665" s="21" t="s">
        <v>1257</v>
      </c>
      <c r="B665" s="1" t="s">
        <v>204</v>
      </c>
      <c r="C665" s="1">
        <v>1</v>
      </c>
      <c r="D665" s="1" t="s">
        <v>43</v>
      </c>
      <c r="E665" s="1" t="s">
        <v>247</v>
      </c>
      <c r="F665" s="1" t="s">
        <v>33</v>
      </c>
      <c r="G665" s="1" t="s">
        <v>110</v>
      </c>
      <c r="H665" s="1" t="s">
        <v>99</v>
      </c>
      <c r="I665" s="1" t="s">
        <v>24</v>
      </c>
      <c r="J665" s="2">
        <v>45538</v>
      </c>
      <c r="K665" s="2">
        <v>45364</v>
      </c>
      <c r="L665" s="1">
        <v>4</v>
      </c>
      <c r="M665" s="1" t="s">
        <v>56</v>
      </c>
      <c r="N665" s="1" t="s">
        <v>82</v>
      </c>
      <c r="O665" s="4">
        <v>61099.4</v>
      </c>
      <c r="P665" s="1">
        <v>4</v>
      </c>
      <c r="Q665" s="10" t="s">
        <v>29</v>
      </c>
      <c r="R665" s="14" t="str" cm="1">
        <f t="array" ref="R665">_xlfn.IFS(C665&lt;18,"Under 18",C665&lt;36,"18-35",C665&lt;51,"36-50",C665&lt;66,"51-65",C665&gt;=66,"66+")</f>
        <v>Under 18</v>
      </c>
      <c r="S665" s="18">
        <v>45536</v>
      </c>
    </row>
    <row r="666" spans="1:19">
      <c r="A666" s="21" t="s">
        <v>1258</v>
      </c>
      <c r="B666" s="1" t="s">
        <v>308</v>
      </c>
      <c r="C666" s="1">
        <v>38</v>
      </c>
      <c r="D666" s="1" t="s">
        <v>27</v>
      </c>
      <c r="E666" s="1" t="s">
        <v>159</v>
      </c>
      <c r="F666" s="1" t="s">
        <v>120</v>
      </c>
      <c r="G666" s="1" t="s">
        <v>53</v>
      </c>
      <c r="H666" s="1" t="s">
        <v>23</v>
      </c>
      <c r="I666" s="1" t="s">
        <v>36</v>
      </c>
      <c r="J666" s="2">
        <v>45966</v>
      </c>
      <c r="K666" s="2">
        <v>45797</v>
      </c>
      <c r="L666" s="1">
        <v>9</v>
      </c>
      <c r="M666" s="1" t="s">
        <v>97</v>
      </c>
      <c r="N666" s="1" t="s">
        <v>28</v>
      </c>
      <c r="O666" s="4">
        <v>75781.16</v>
      </c>
      <c r="P666" s="1">
        <v>2</v>
      </c>
      <c r="Q666" s="10" t="s">
        <v>29</v>
      </c>
      <c r="R666" s="14" t="str" cm="1">
        <f t="array" ref="R666">_xlfn.IFS(C666&lt;18,"Under 18",C666&lt;36,"18-35",C666&lt;51,"36-50",C666&lt;66,"51-65",C666&gt;=66,"66+")</f>
        <v>36-50</v>
      </c>
      <c r="S666" s="18">
        <v>45962</v>
      </c>
    </row>
    <row r="667" spans="1:19">
      <c r="A667" s="21" t="s">
        <v>1259</v>
      </c>
      <c r="B667" s="1" t="s">
        <v>574</v>
      </c>
      <c r="C667" s="1">
        <v>60</v>
      </c>
      <c r="D667" s="1" t="s">
        <v>43</v>
      </c>
      <c r="E667" s="1" t="s">
        <v>117</v>
      </c>
      <c r="F667" s="1" t="s">
        <v>120</v>
      </c>
      <c r="G667" s="1" t="s">
        <v>110</v>
      </c>
      <c r="H667" s="1" t="s">
        <v>93</v>
      </c>
      <c r="I667" s="1" t="s">
        <v>24</v>
      </c>
      <c r="J667" s="2">
        <v>45849</v>
      </c>
      <c r="K667" s="2">
        <v>45941</v>
      </c>
      <c r="L667" s="1">
        <v>3</v>
      </c>
      <c r="M667" s="1" t="s">
        <v>56</v>
      </c>
      <c r="N667" s="1" t="s">
        <v>39</v>
      </c>
      <c r="O667" s="4">
        <v>145015.67999999999</v>
      </c>
      <c r="P667" s="1">
        <v>4</v>
      </c>
      <c r="Q667" s="10" t="s">
        <v>58</v>
      </c>
      <c r="R667" s="14" t="str" cm="1">
        <f t="array" ref="R667">_xlfn.IFS(C667&lt;18,"Under 18",C667&lt;36,"18-35",C667&lt;51,"36-50",C667&lt;66,"51-65",C667&gt;=66,"66+")</f>
        <v>51-65</v>
      </c>
      <c r="S667" s="18">
        <v>45839</v>
      </c>
    </row>
    <row r="668" spans="1:19">
      <c r="A668" s="21" t="s">
        <v>1260</v>
      </c>
      <c r="B668" s="1" t="s">
        <v>920</v>
      </c>
      <c r="C668" s="1">
        <v>8</v>
      </c>
      <c r="D668" s="1" t="s">
        <v>27</v>
      </c>
      <c r="E668" s="1" t="s">
        <v>20</v>
      </c>
      <c r="F668" s="1" t="s">
        <v>120</v>
      </c>
      <c r="G668" s="1" t="s">
        <v>104</v>
      </c>
      <c r="H668" s="1" t="s">
        <v>76</v>
      </c>
      <c r="I668" s="1" t="s">
        <v>24</v>
      </c>
      <c r="J668" s="2">
        <v>45622</v>
      </c>
      <c r="K668" s="2">
        <v>45334</v>
      </c>
      <c r="L668" s="1">
        <v>6</v>
      </c>
      <c r="M668" s="1" t="s">
        <v>48</v>
      </c>
      <c r="N668" s="1" t="s">
        <v>82</v>
      </c>
      <c r="O668" s="4">
        <v>41103.599999999999</v>
      </c>
      <c r="P668" s="1">
        <v>5</v>
      </c>
      <c r="Q668" s="10" t="s">
        <v>58</v>
      </c>
      <c r="R668" s="14" t="str" cm="1">
        <f t="array" ref="R668">_xlfn.IFS(C668&lt;18,"Under 18",C668&lt;36,"18-35",C668&lt;51,"36-50",C668&lt;66,"51-65",C668&gt;=66,"66+")</f>
        <v>Under 18</v>
      </c>
      <c r="S668" s="18">
        <v>45597</v>
      </c>
    </row>
    <row r="669" spans="1:19">
      <c r="A669" s="21" t="s">
        <v>1261</v>
      </c>
      <c r="B669" s="1" t="s">
        <v>143</v>
      </c>
      <c r="C669" s="1">
        <v>53</v>
      </c>
      <c r="D669" s="1" t="s">
        <v>19</v>
      </c>
      <c r="E669" s="1" t="s">
        <v>202</v>
      </c>
      <c r="F669" s="1" t="s">
        <v>33</v>
      </c>
      <c r="G669" s="1" t="s">
        <v>22</v>
      </c>
      <c r="H669" s="1" t="s">
        <v>69</v>
      </c>
      <c r="I669" s="1" t="s">
        <v>36</v>
      </c>
      <c r="J669" s="2">
        <v>45908</v>
      </c>
      <c r="K669" s="2">
        <v>45882</v>
      </c>
      <c r="L669" s="1">
        <v>4</v>
      </c>
      <c r="M669" s="1" t="s">
        <v>38</v>
      </c>
      <c r="N669" s="1" t="s">
        <v>82</v>
      </c>
      <c r="O669" s="4">
        <v>56584.85</v>
      </c>
      <c r="P669" s="1">
        <v>3</v>
      </c>
      <c r="Q669" s="10" t="s">
        <v>72</v>
      </c>
      <c r="R669" s="14" t="str" cm="1">
        <f t="array" ref="R669">_xlfn.IFS(C669&lt;18,"Under 18",C669&lt;36,"18-35",C669&lt;51,"36-50",C669&lt;66,"51-65",C669&gt;=66,"66+")</f>
        <v>51-65</v>
      </c>
      <c r="S669" s="18">
        <v>45901</v>
      </c>
    </row>
    <row r="670" spans="1:19">
      <c r="A670" s="21" t="s">
        <v>1263</v>
      </c>
      <c r="B670" s="1" t="s">
        <v>348</v>
      </c>
      <c r="C670" s="1">
        <v>84</v>
      </c>
      <c r="D670" s="1" t="s">
        <v>19</v>
      </c>
      <c r="E670" s="1" t="s">
        <v>247</v>
      </c>
      <c r="F670" s="1" t="s">
        <v>33</v>
      </c>
      <c r="G670" s="1" t="s">
        <v>110</v>
      </c>
      <c r="H670" s="1" t="s">
        <v>23</v>
      </c>
      <c r="I670" s="1" t="s">
        <v>36</v>
      </c>
      <c r="J670" s="2">
        <v>45823</v>
      </c>
      <c r="K670" s="2">
        <v>45826</v>
      </c>
      <c r="L670" s="1">
        <v>3</v>
      </c>
      <c r="M670" s="1" t="s">
        <v>27</v>
      </c>
      <c r="N670" s="1" t="s">
        <v>63</v>
      </c>
      <c r="O670" s="4">
        <v>75453.899999999994</v>
      </c>
      <c r="P670" s="1">
        <v>3</v>
      </c>
      <c r="Q670" s="10" t="s">
        <v>29</v>
      </c>
      <c r="R670" s="14" t="str" cm="1">
        <f t="array" ref="R670">_xlfn.IFS(C670&lt;18,"Under 18",C670&lt;36,"18-35",C670&lt;51,"36-50",C670&lt;66,"51-65",C670&gt;=66,"66+")</f>
        <v>66+</v>
      </c>
      <c r="S670" s="18">
        <v>45809</v>
      </c>
    </row>
    <row r="671" spans="1:19">
      <c r="A671" s="21" t="s">
        <v>1265</v>
      </c>
      <c r="B671" s="1" t="s">
        <v>391</v>
      </c>
      <c r="C671" s="1">
        <v>2</v>
      </c>
      <c r="D671" s="1" t="s">
        <v>19</v>
      </c>
      <c r="E671" s="1" t="s">
        <v>202</v>
      </c>
      <c r="F671" s="1" t="s">
        <v>120</v>
      </c>
      <c r="G671" s="1" t="s">
        <v>104</v>
      </c>
      <c r="H671" s="1" t="s">
        <v>99</v>
      </c>
      <c r="I671" s="1" t="s">
        <v>24</v>
      </c>
      <c r="J671" s="2">
        <v>45312</v>
      </c>
      <c r="K671" s="2">
        <v>45313</v>
      </c>
      <c r="L671" s="1">
        <v>1</v>
      </c>
      <c r="M671" s="1" t="s">
        <v>48</v>
      </c>
      <c r="N671" s="1" t="s">
        <v>39</v>
      </c>
      <c r="O671" s="4">
        <v>23457.02</v>
      </c>
      <c r="P671" s="1">
        <v>3</v>
      </c>
      <c r="Q671" s="10" t="s">
        <v>58</v>
      </c>
      <c r="R671" s="14" t="str" cm="1">
        <f t="array" ref="R671">_xlfn.IFS(C671&lt;18,"Under 18",C671&lt;36,"18-35",C671&lt;51,"36-50",C671&lt;66,"51-65",C671&gt;=66,"66+")</f>
        <v>Under 18</v>
      </c>
      <c r="S671" s="18">
        <v>45292</v>
      </c>
    </row>
    <row r="672" spans="1:19">
      <c r="A672" s="21" t="s">
        <v>1266</v>
      </c>
      <c r="B672" s="1" t="s">
        <v>428</v>
      </c>
      <c r="C672" s="1">
        <v>84</v>
      </c>
      <c r="D672" s="1" t="s">
        <v>43</v>
      </c>
      <c r="E672" s="1" t="s">
        <v>202</v>
      </c>
      <c r="F672" s="1" t="s">
        <v>52</v>
      </c>
      <c r="G672" s="1" t="s">
        <v>22</v>
      </c>
      <c r="H672" s="1" t="s">
        <v>45</v>
      </c>
      <c r="I672" s="1" t="s">
        <v>24</v>
      </c>
      <c r="J672" s="2">
        <v>45426</v>
      </c>
      <c r="K672" s="2">
        <v>45438</v>
      </c>
      <c r="L672" s="1">
        <v>12</v>
      </c>
      <c r="M672" s="1" t="s">
        <v>27</v>
      </c>
      <c r="N672" s="1" t="s">
        <v>85</v>
      </c>
      <c r="O672" s="4">
        <v>61036.51</v>
      </c>
      <c r="P672" s="1">
        <v>5</v>
      </c>
      <c r="Q672" s="10" t="s">
        <v>72</v>
      </c>
      <c r="R672" s="14" t="str" cm="1">
        <f t="array" ref="R672">_xlfn.IFS(C672&lt;18,"Under 18",C672&lt;36,"18-35",C672&lt;51,"36-50",C672&lt;66,"51-65",C672&gt;=66,"66+")</f>
        <v>66+</v>
      </c>
      <c r="S672" s="18">
        <v>45413</v>
      </c>
    </row>
    <row r="673" spans="1:19">
      <c r="A673" s="21" t="s">
        <v>1267</v>
      </c>
      <c r="B673" s="1" t="s">
        <v>369</v>
      </c>
      <c r="C673" s="1">
        <v>76</v>
      </c>
      <c r="D673" s="1" t="s">
        <v>43</v>
      </c>
      <c r="E673" s="1" t="s">
        <v>32</v>
      </c>
      <c r="F673" s="1" t="s">
        <v>120</v>
      </c>
      <c r="G673" s="1" t="s">
        <v>36</v>
      </c>
      <c r="H673" s="1" t="s">
        <v>23</v>
      </c>
      <c r="I673" s="1" t="s">
        <v>24</v>
      </c>
      <c r="J673" s="2">
        <v>45490</v>
      </c>
      <c r="K673" s="2">
        <v>45501</v>
      </c>
      <c r="L673" s="1">
        <v>11</v>
      </c>
      <c r="M673" s="1" t="s">
        <v>27</v>
      </c>
      <c r="N673" s="1" t="s">
        <v>57</v>
      </c>
      <c r="O673" s="4">
        <v>82842.86</v>
      </c>
      <c r="P673" s="1">
        <v>3</v>
      </c>
      <c r="Q673" s="10" t="s">
        <v>58</v>
      </c>
      <c r="R673" s="14" t="str" cm="1">
        <f t="array" ref="R673">_xlfn.IFS(C673&lt;18,"Under 18",C673&lt;36,"18-35",C673&lt;51,"36-50",C673&lt;66,"51-65",C673&gt;=66,"66+")</f>
        <v>66+</v>
      </c>
      <c r="S673" s="18">
        <v>45474</v>
      </c>
    </row>
    <row r="674" spans="1:19">
      <c r="A674" s="21" t="s">
        <v>1269</v>
      </c>
      <c r="B674" s="1" t="s">
        <v>992</v>
      </c>
      <c r="C674" s="1">
        <v>38</v>
      </c>
      <c r="D674" s="1" t="s">
        <v>43</v>
      </c>
      <c r="E674" s="1" t="s">
        <v>51</v>
      </c>
      <c r="F674" s="1" t="s">
        <v>52</v>
      </c>
      <c r="G674" s="1" t="s">
        <v>132</v>
      </c>
      <c r="H674" s="1" t="s">
        <v>76</v>
      </c>
      <c r="I674" s="1" t="s">
        <v>36</v>
      </c>
      <c r="J674" s="2">
        <v>45416</v>
      </c>
      <c r="K674" s="2">
        <v>45539</v>
      </c>
      <c r="L674" s="1">
        <v>4</v>
      </c>
      <c r="M674" s="1" t="s">
        <v>97</v>
      </c>
      <c r="N674" s="1" t="s">
        <v>85</v>
      </c>
      <c r="O674" s="4">
        <v>13256.51</v>
      </c>
      <c r="P674" s="1">
        <v>4</v>
      </c>
      <c r="Q674" s="10" t="s">
        <v>72</v>
      </c>
      <c r="R674" s="14" t="str" cm="1">
        <f t="array" ref="R674">_xlfn.IFS(C674&lt;18,"Under 18",C674&lt;36,"18-35",C674&lt;51,"36-50",C674&lt;66,"51-65",C674&gt;=66,"66+")</f>
        <v>36-50</v>
      </c>
      <c r="S674" s="18">
        <v>45413</v>
      </c>
    </row>
    <row r="675" spans="1:19">
      <c r="A675" s="21" t="s">
        <v>1270</v>
      </c>
      <c r="B675" s="1" t="s">
        <v>291</v>
      </c>
      <c r="C675" s="1">
        <v>51</v>
      </c>
      <c r="D675" s="1" t="s">
        <v>19</v>
      </c>
      <c r="E675" s="1" t="s">
        <v>51</v>
      </c>
      <c r="F675" s="1" t="s">
        <v>21</v>
      </c>
      <c r="G675" s="1" t="s">
        <v>68</v>
      </c>
      <c r="H675" s="1" t="s">
        <v>88</v>
      </c>
      <c r="I675" s="1" t="s">
        <v>36</v>
      </c>
      <c r="J675" s="2">
        <v>45692</v>
      </c>
      <c r="K675" s="2">
        <v>45812</v>
      </c>
      <c r="L675" s="1">
        <v>4</v>
      </c>
      <c r="M675" s="1" t="s">
        <v>97</v>
      </c>
      <c r="N675" s="1" t="s">
        <v>90</v>
      </c>
      <c r="O675" s="4">
        <v>22495.3</v>
      </c>
      <c r="P675" s="1">
        <v>4</v>
      </c>
      <c r="Q675" s="10" t="s">
        <v>29</v>
      </c>
      <c r="R675" s="14" t="str" cm="1">
        <f t="array" ref="R675">_xlfn.IFS(C675&lt;18,"Under 18",C675&lt;36,"18-35",C675&lt;51,"36-50",C675&lt;66,"51-65",C675&gt;=66,"66+")</f>
        <v>51-65</v>
      </c>
      <c r="S675" s="18">
        <v>45689</v>
      </c>
    </row>
    <row r="676" spans="1:19">
      <c r="A676" s="21" t="s">
        <v>1271</v>
      </c>
      <c r="B676" s="1" t="s">
        <v>393</v>
      </c>
      <c r="C676" s="1">
        <v>11</v>
      </c>
      <c r="D676" s="1" t="s">
        <v>19</v>
      </c>
      <c r="E676" s="1" t="s">
        <v>66</v>
      </c>
      <c r="F676" s="1" t="s">
        <v>75</v>
      </c>
      <c r="G676" s="1" t="s">
        <v>132</v>
      </c>
      <c r="H676" s="1" t="s">
        <v>99</v>
      </c>
      <c r="I676" s="1" t="s">
        <v>62</v>
      </c>
      <c r="J676" s="2">
        <v>45704</v>
      </c>
      <c r="K676" s="2">
        <v>45714</v>
      </c>
      <c r="L676" s="1">
        <v>10</v>
      </c>
      <c r="M676" s="1" t="s">
        <v>27</v>
      </c>
      <c r="N676" s="1" t="s">
        <v>90</v>
      </c>
      <c r="O676" s="4">
        <v>85026.02</v>
      </c>
      <c r="P676" s="1">
        <v>3</v>
      </c>
      <c r="Q676" s="10" t="s">
        <v>58</v>
      </c>
      <c r="R676" s="14" t="str" cm="1">
        <f t="array" ref="R676">_xlfn.IFS(C676&lt;18,"Under 18",C676&lt;36,"18-35",C676&lt;51,"36-50",C676&lt;66,"51-65",C676&gt;=66,"66+")</f>
        <v>Under 18</v>
      </c>
      <c r="S676" s="18">
        <v>45689</v>
      </c>
    </row>
    <row r="677" spans="1:19">
      <c r="A677" s="21" t="s">
        <v>1273</v>
      </c>
      <c r="B677" s="1" t="s">
        <v>295</v>
      </c>
      <c r="C677" s="1">
        <v>1</v>
      </c>
      <c r="D677" s="1" t="s">
        <v>43</v>
      </c>
      <c r="E677" s="1" t="s">
        <v>51</v>
      </c>
      <c r="F677" s="1" t="s">
        <v>67</v>
      </c>
      <c r="G677" s="1" t="s">
        <v>104</v>
      </c>
      <c r="H677" s="1" t="s">
        <v>88</v>
      </c>
      <c r="I677" s="1" t="s">
        <v>24</v>
      </c>
      <c r="J677" s="2">
        <v>45850</v>
      </c>
      <c r="K677" s="2">
        <v>46006</v>
      </c>
      <c r="L677" s="1">
        <v>8</v>
      </c>
      <c r="M677" s="1" t="s">
        <v>48</v>
      </c>
      <c r="N677" s="1" t="s">
        <v>28</v>
      </c>
      <c r="O677" s="4">
        <v>102552.12</v>
      </c>
      <c r="P677" s="1">
        <v>3</v>
      </c>
      <c r="Q677" s="10" t="s">
        <v>58</v>
      </c>
      <c r="R677" s="14" t="str" cm="1">
        <f t="array" ref="R677">_xlfn.IFS(C677&lt;18,"Under 18",C677&lt;36,"18-35",C677&lt;51,"36-50",C677&lt;66,"51-65",C677&gt;=66,"66+")</f>
        <v>Under 18</v>
      </c>
      <c r="S677" s="18">
        <v>45839</v>
      </c>
    </row>
    <row r="678" spans="1:19">
      <c r="A678" s="21" t="s">
        <v>1274</v>
      </c>
      <c r="B678" s="1" t="s">
        <v>280</v>
      </c>
      <c r="C678" s="1">
        <v>90</v>
      </c>
      <c r="D678" s="1" t="s">
        <v>19</v>
      </c>
      <c r="E678" s="1" t="s">
        <v>137</v>
      </c>
      <c r="F678" s="1" t="s">
        <v>75</v>
      </c>
      <c r="G678" s="1" t="s">
        <v>34</v>
      </c>
      <c r="H678" s="1" t="s">
        <v>76</v>
      </c>
      <c r="I678" s="1" t="s">
        <v>62</v>
      </c>
      <c r="J678" s="2">
        <v>45676</v>
      </c>
      <c r="K678" s="2">
        <v>45679</v>
      </c>
      <c r="L678" s="1">
        <v>3</v>
      </c>
      <c r="M678" s="1" t="s">
        <v>48</v>
      </c>
      <c r="N678" s="1" t="s">
        <v>57</v>
      </c>
      <c r="O678" s="4">
        <v>84912.16</v>
      </c>
      <c r="P678" s="1">
        <v>4</v>
      </c>
      <c r="Q678" s="10" t="s">
        <v>40</v>
      </c>
      <c r="R678" s="14" t="str" cm="1">
        <f t="array" ref="R678">_xlfn.IFS(C678&lt;18,"Under 18",C678&lt;36,"18-35",C678&lt;51,"36-50",C678&lt;66,"51-65",C678&gt;=66,"66+")</f>
        <v>66+</v>
      </c>
      <c r="S678" s="18">
        <v>45658</v>
      </c>
    </row>
    <row r="679" spans="1:19">
      <c r="A679" s="21" t="s">
        <v>1275</v>
      </c>
      <c r="B679" s="1" t="s">
        <v>304</v>
      </c>
      <c r="C679" s="1">
        <v>87</v>
      </c>
      <c r="D679" s="1" t="s">
        <v>43</v>
      </c>
      <c r="E679" s="1" t="s">
        <v>159</v>
      </c>
      <c r="F679" s="1" t="s">
        <v>33</v>
      </c>
      <c r="G679" s="1" t="s">
        <v>110</v>
      </c>
      <c r="H679" s="1" t="s">
        <v>35</v>
      </c>
      <c r="I679" s="1" t="s">
        <v>36</v>
      </c>
      <c r="J679" s="2">
        <v>45827</v>
      </c>
      <c r="K679" s="2">
        <v>45832</v>
      </c>
      <c r="L679" s="1">
        <v>5</v>
      </c>
      <c r="M679" s="1" t="s">
        <v>38</v>
      </c>
      <c r="N679" s="1" t="s">
        <v>63</v>
      </c>
      <c r="O679" s="4">
        <v>60280.11</v>
      </c>
      <c r="P679" s="1">
        <v>5</v>
      </c>
      <c r="Q679" s="10" t="s">
        <v>29</v>
      </c>
      <c r="R679" s="14" t="str" cm="1">
        <f t="array" ref="R679">_xlfn.IFS(C679&lt;18,"Under 18",C679&lt;36,"18-35",C679&lt;51,"36-50",C679&lt;66,"51-65",C679&gt;=66,"66+")</f>
        <v>66+</v>
      </c>
      <c r="S679" s="18">
        <v>45809</v>
      </c>
    </row>
    <row r="680" spans="1:19">
      <c r="A680" s="21" t="s">
        <v>1276</v>
      </c>
      <c r="B680" s="1" t="s">
        <v>745</v>
      </c>
      <c r="C680" s="1">
        <v>22</v>
      </c>
      <c r="D680" s="1" t="s">
        <v>27</v>
      </c>
      <c r="E680" s="1" t="s">
        <v>32</v>
      </c>
      <c r="F680" s="1" t="s">
        <v>67</v>
      </c>
      <c r="G680" s="1" t="s">
        <v>104</v>
      </c>
      <c r="H680" s="1" t="s">
        <v>45</v>
      </c>
      <c r="I680" s="1" t="s">
        <v>62</v>
      </c>
      <c r="J680" s="2">
        <v>45777</v>
      </c>
      <c r="K680" s="2">
        <v>45693</v>
      </c>
      <c r="L680" s="1">
        <v>2</v>
      </c>
      <c r="M680" s="1" t="s">
        <v>38</v>
      </c>
      <c r="N680" s="1" t="s">
        <v>28</v>
      </c>
      <c r="O680" s="4">
        <v>84511.65</v>
      </c>
      <c r="P680" s="1">
        <v>1</v>
      </c>
      <c r="Q680" s="10" t="s">
        <v>72</v>
      </c>
      <c r="R680" s="14" t="str" cm="1">
        <f t="array" ref="R680">_xlfn.IFS(C680&lt;18,"Under 18",C680&lt;36,"18-35",C680&lt;51,"36-50",C680&lt;66,"51-65",C680&gt;=66,"66+")</f>
        <v>18-35</v>
      </c>
      <c r="S680" s="18">
        <v>45748</v>
      </c>
    </row>
    <row r="681" spans="1:19">
      <c r="A681" s="21" t="s">
        <v>1277</v>
      </c>
      <c r="B681" s="1" t="s">
        <v>179</v>
      </c>
      <c r="C681" s="1">
        <v>80</v>
      </c>
      <c r="D681" s="1" t="s">
        <v>43</v>
      </c>
      <c r="E681" s="1" t="s">
        <v>137</v>
      </c>
      <c r="F681" s="1" t="s">
        <v>67</v>
      </c>
      <c r="G681" s="1" t="s">
        <v>132</v>
      </c>
      <c r="H681" s="1" t="s">
        <v>88</v>
      </c>
      <c r="I681" s="1" t="s">
        <v>24</v>
      </c>
      <c r="J681" s="2">
        <v>45900</v>
      </c>
      <c r="K681" s="2">
        <v>45666</v>
      </c>
      <c r="L681" s="1">
        <v>1</v>
      </c>
      <c r="M681" s="1" t="s">
        <v>38</v>
      </c>
      <c r="N681" s="1" t="s">
        <v>82</v>
      </c>
      <c r="O681" s="4">
        <v>57903.99</v>
      </c>
      <c r="P681" s="1">
        <v>5</v>
      </c>
      <c r="Q681" s="10" t="s">
        <v>58</v>
      </c>
      <c r="R681" s="14" t="str" cm="1">
        <f t="array" ref="R681">_xlfn.IFS(C681&lt;18,"Under 18",C681&lt;36,"18-35",C681&lt;51,"36-50",C681&lt;66,"51-65",C681&gt;=66,"66+")</f>
        <v>66+</v>
      </c>
      <c r="S681" s="18">
        <v>45870</v>
      </c>
    </row>
    <row r="682" spans="1:19">
      <c r="A682" s="21" t="s">
        <v>1278</v>
      </c>
      <c r="B682" s="1" t="s">
        <v>354</v>
      </c>
      <c r="C682" s="1">
        <v>33</v>
      </c>
      <c r="D682" s="1" t="s">
        <v>27</v>
      </c>
      <c r="E682" s="1" t="s">
        <v>51</v>
      </c>
      <c r="F682" s="1" t="s">
        <v>67</v>
      </c>
      <c r="G682" s="1" t="s">
        <v>110</v>
      </c>
      <c r="H682" s="1" t="s">
        <v>45</v>
      </c>
      <c r="I682" s="1" t="s">
        <v>24</v>
      </c>
      <c r="J682" s="2">
        <v>45876</v>
      </c>
      <c r="K682" s="2">
        <v>45852</v>
      </c>
      <c r="L682" s="1">
        <v>6</v>
      </c>
      <c r="M682" s="1" t="s">
        <v>97</v>
      </c>
      <c r="N682" s="1" t="s">
        <v>82</v>
      </c>
      <c r="O682" s="4">
        <v>94869.98</v>
      </c>
      <c r="P682" s="1">
        <v>3</v>
      </c>
      <c r="Q682" s="10" t="s">
        <v>40</v>
      </c>
      <c r="R682" s="14" t="str" cm="1">
        <f t="array" ref="R682">_xlfn.IFS(C682&lt;18,"Under 18",C682&lt;36,"18-35",C682&lt;51,"36-50",C682&lt;66,"51-65",C682&gt;=66,"66+")</f>
        <v>18-35</v>
      </c>
      <c r="S682" s="18">
        <v>45870</v>
      </c>
    </row>
    <row r="683" spans="1:19">
      <c r="A683" s="21" t="s">
        <v>1279</v>
      </c>
      <c r="B683" s="1" t="s">
        <v>261</v>
      </c>
      <c r="C683" s="1">
        <v>79</v>
      </c>
      <c r="D683" s="1" t="s">
        <v>27</v>
      </c>
      <c r="E683" s="1" t="s">
        <v>159</v>
      </c>
      <c r="F683" s="1" t="s">
        <v>75</v>
      </c>
      <c r="G683" s="1" t="s">
        <v>132</v>
      </c>
      <c r="H683" s="1" t="s">
        <v>45</v>
      </c>
      <c r="I683" s="1" t="s">
        <v>62</v>
      </c>
      <c r="J683" s="2">
        <v>45776</v>
      </c>
      <c r="K683" s="2">
        <v>45777</v>
      </c>
      <c r="L683" s="1">
        <v>1</v>
      </c>
      <c r="M683" s="1" t="s">
        <v>48</v>
      </c>
      <c r="N683" s="1" t="s">
        <v>28</v>
      </c>
      <c r="O683" s="4">
        <v>79856.94</v>
      </c>
      <c r="P683" s="1">
        <v>4</v>
      </c>
      <c r="Q683" s="10" t="s">
        <v>29</v>
      </c>
      <c r="R683" s="14" t="str" cm="1">
        <f t="array" ref="R683">_xlfn.IFS(C683&lt;18,"Under 18",C683&lt;36,"18-35",C683&lt;51,"36-50",C683&lt;66,"51-65",C683&gt;=66,"66+")</f>
        <v>66+</v>
      </c>
      <c r="S683" s="18">
        <v>45748</v>
      </c>
    </row>
    <row r="684" spans="1:19">
      <c r="A684" s="21" t="s">
        <v>1281</v>
      </c>
      <c r="B684" s="1" t="s">
        <v>538</v>
      </c>
      <c r="C684" s="1">
        <v>66</v>
      </c>
      <c r="D684" s="1" t="s">
        <v>43</v>
      </c>
      <c r="E684" s="1" t="s">
        <v>247</v>
      </c>
      <c r="F684" s="1" t="s">
        <v>120</v>
      </c>
      <c r="G684" s="1" t="s">
        <v>22</v>
      </c>
      <c r="H684" s="1" t="s">
        <v>61</v>
      </c>
      <c r="I684" s="1" t="s">
        <v>24</v>
      </c>
      <c r="J684" s="2">
        <v>45964</v>
      </c>
      <c r="K684" s="2">
        <v>45731</v>
      </c>
      <c r="L684" s="1">
        <v>4</v>
      </c>
      <c r="M684" s="1" t="s">
        <v>38</v>
      </c>
      <c r="N684" s="1" t="s">
        <v>90</v>
      </c>
      <c r="O684" s="4">
        <v>52890.59</v>
      </c>
      <c r="P684" s="1">
        <v>4</v>
      </c>
      <c r="Q684" s="10" t="s">
        <v>72</v>
      </c>
      <c r="R684" s="14" t="str" cm="1">
        <f t="array" ref="R684">_xlfn.IFS(C684&lt;18,"Under 18",C684&lt;36,"18-35",C684&lt;51,"36-50",C684&lt;66,"51-65",C684&gt;=66,"66+")</f>
        <v>66+</v>
      </c>
      <c r="S684" s="18">
        <v>45962</v>
      </c>
    </row>
    <row r="685" spans="1:19">
      <c r="A685" s="21" t="s">
        <v>1282</v>
      </c>
      <c r="B685" s="1" t="s">
        <v>780</v>
      </c>
      <c r="C685" s="1">
        <v>78</v>
      </c>
      <c r="D685" s="1" t="s">
        <v>19</v>
      </c>
      <c r="E685" s="1" t="s">
        <v>51</v>
      </c>
      <c r="F685" s="1" t="s">
        <v>33</v>
      </c>
      <c r="G685" s="1" t="s">
        <v>36</v>
      </c>
      <c r="H685" s="1" t="s">
        <v>23</v>
      </c>
      <c r="I685" s="1" t="s">
        <v>24</v>
      </c>
      <c r="J685" s="2">
        <v>45462</v>
      </c>
      <c r="K685" s="2">
        <v>45472</v>
      </c>
      <c r="L685" s="1">
        <v>10</v>
      </c>
      <c r="M685" s="1" t="s">
        <v>38</v>
      </c>
      <c r="N685" s="1" t="s">
        <v>85</v>
      </c>
      <c r="O685" s="4">
        <v>55300.27</v>
      </c>
      <c r="P685" s="1">
        <v>4</v>
      </c>
      <c r="Q685" s="10" t="s">
        <v>72</v>
      </c>
      <c r="R685" s="14" t="str" cm="1">
        <f t="array" ref="R685">_xlfn.IFS(C685&lt;18,"Under 18",C685&lt;36,"18-35",C685&lt;51,"36-50",C685&lt;66,"51-65",C685&gt;=66,"66+")</f>
        <v>66+</v>
      </c>
      <c r="S685" s="18">
        <v>45444</v>
      </c>
    </row>
    <row r="686" spans="1:19">
      <c r="A686" s="21" t="s">
        <v>1283</v>
      </c>
      <c r="B686" s="1" t="s">
        <v>524</v>
      </c>
      <c r="C686" s="1">
        <v>47</v>
      </c>
      <c r="D686" s="1" t="s">
        <v>43</v>
      </c>
      <c r="E686" s="1" t="s">
        <v>159</v>
      </c>
      <c r="F686" s="1" t="s">
        <v>120</v>
      </c>
      <c r="G686" s="1" t="s">
        <v>132</v>
      </c>
      <c r="H686" s="1" t="s">
        <v>76</v>
      </c>
      <c r="I686" s="1" t="s">
        <v>24</v>
      </c>
      <c r="J686" s="2">
        <v>45978</v>
      </c>
      <c r="K686" s="2">
        <v>45985</v>
      </c>
      <c r="L686" s="1">
        <v>7</v>
      </c>
      <c r="M686" s="1" t="s">
        <v>56</v>
      </c>
      <c r="N686" s="1" t="s">
        <v>28</v>
      </c>
      <c r="O686" s="4">
        <v>39317.03</v>
      </c>
      <c r="P686" s="1">
        <v>5</v>
      </c>
      <c r="Q686" s="10" t="s">
        <v>40</v>
      </c>
      <c r="R686" s="14" t="str" cm="1">
        <f t="array" ref="R686">_xlfn.IFS(C686&lt;18,"Under 18",C686&lt;36,"18-35",C686&lt;51,"36-50",C686&lt;66,"51-65",C686&gt;=66,"66+")</f>
        <v>36-50</v>
      </c>
      <c r="S686" s="18">
        <v>45962</v>
      </c>
    </row>
    <row r="687" spans="1:19">
      <c r="A687" s="21" t="s">
        <v>1284</v>
      </c>
      <c r="B687" s="1" t="s">
        <v>216</v>
      </c>
      <c r="C687" s="1">
        <v>43</v>
      </c>
      <c r="D687" s="1" t="s">
        <v>19</v>
      </c>
      <c r="E687" s="1" t="s">
        <v>117</v>
      </c>
      <c r="F687" s="1" t="s">
        <v>120</v>
      </c>
      <c r="G687" s="1" t="s">
        <v>68</v>
      </c>
      <c r="H687" s="1" t="s">
        <v>99</v>
      </c>
      <c r="I687" s="1" t="s">
        <v>24</v>
      </c>
      <c r="J687" s="2">
        <v>45992</v>
      </c>
      <c r="K687" s="2">
        <v>45673</v>
      </c>
      <c r="L687" s="1">
        <v>4</v>
      </c>
      <c r="M687" s="1" t="s">
        <v>48</v>
      </c>
      <c r="N687" s="1" t="s">
        <v>90</v>
      </c>
      <c r="O687" s="4">
        <v>59246.92</v>
      </c>
      <c r="P687" s="1">
        <v>4</v>
      </c>
      <c r="Q687" s="10" t="s">
        <v>72</v>
      </c>
      <c r="R687" s="14" t="str" cm="1">
        <f t="array" ref="R687">_xlfn.IFS(C687&lt;18,"Under 18",C687&lt;36,"18-35",C687&lt;51,"36-50",C687&lt;66,"51-65",C687&gt;=66,"66+")</f>
        <v>36-50</v>
      </c>
      <c r="S687" s="18">
        <v>45992</v>
      </c>
    </row>
    <row r="688" spans="1:19">
      <c r="A688" s="21" t="s">
        <v>1286</v>
      </c>
      <c r="B688" s="1" t="s">
        <v>261</v>
      </c>
      <c r="C688" s="1">
        <v>61</v>
      </c>
      <c r="D688" s="1" t="s">
        <v>27</v>
      </c>
      <c r="E688" s="1" t="s">
        <v>66</v>
      </c>
      <c r="F688" s="1" t="s">
        <v>75</v>
      </c>
      <c r="G688" s="1" t="s">
        <v>22</v>
      </c>
      <c r="H688" s="1" t="s">
        <v>99</v>
      </c>
      <c r="I688" s="1" t="s">
        <v>62</v>
      </c>
      <c r="J688" s="2">
        <v>45910</v>
      </c>
      <c r="K688" s="2">
        <v>45943</v>
      </c>
      <c r="L688" s="1">
        <v>4</v>
      </c>
      <c r="M688" s="1" t="s">
        <v>48</v>
      </c>
      <c r="N688" s="1" t="s">
        <v>28</v>
      </c>
      <c r="O688" s="4">
        <v>38975.97</v>
      </c>
      <c r="P688" s="1">
        <v>4</v>
      </c>
      <c r="Q688" s="10" t="s">
        <v>58</v>
      </c>
      <c r="R688" s="14" t="str" cm="1">
        <f t="array" ref="R688">_xlfn.IFS(C688&lt;18,"Under 18",C688&lt;36,"18-35",C688&lt;51,"36-50",C688&lt;66,"51-65",C688&gt;=66,"66+")</f>
        <v>51-65</v>
      </c>
      <c r="S688" s="18">
        <v>45901</v>
      </c>
    </row>
    <row r="689" spans="1:19">
      <c r="A689" s="21" t="s">
        <v>1287</v>
      </c>
      <c r="B689" s="1" t="s">
        <v>123</v>
      </c>
      <c r="C689" s="1">
        <v>82</v>
      </c>
      <c r="D689" s="1" t="s">
        <v>27</v>
      </c>
      <c r="E689" s="1" t="s">
        <v>44</v>
      </c>
      <c r="F689" s="1" t="s">
        <v>52</v>
      </c>
      <c r="G689" s="1" t="s">
        <v>132</v>
      </c>
      <c r="H689" s="1" t="s">
        <v>69</v>
      </c>
      <c r="I689" s="1" t="s">
        <v>62</v>
      </c>
      <c r="J689" s="2">
        <v>45385</v>
      </c>
      <c r="K689" s="2">
        <v>45415</v>
      </c>
      <c r="L689" s="1">
        <v>1</v>
      </c>
      <c r="M689" s="1" t="s">
        <v>27</v>
      </c>
      <c r="N689" s="1" t="s">
        <v>28</v>
      </c>
      <c r="O689" s="4">
        <v>65834.12</v>
      </c>
      <c r="P689" s="1">
        <v>4</v>
      </c>
      <c r="Q689" s="10" t="s">
        <v>58</v>
      </c>
      <c r="R689" s="14" t="str" cm="1">
        <f t="array" ref="R689">_xlfn.IFS(C689&lt;18,"Under 18",C689&lt;36,"18-35",C689&lt;51,"36-50",C689&lt;66,"51-65",C689&gt;=66,"66+")</f>
        <v>66+</v>
      </c>
      <c r="S689" s="18">
        <v>45383</v>
      </c>
    </row>
    <row r="690" spans="1:19">
      <c r="A690" s="21" t="s">
        <v>1288</v>
      </c>
      <c r="B690" s="1" t="s">
        <v>830</v>
      </c>
      <c r="C690" s="1">
        <v>54</v>
      </c>
      <c r="D690" s="1" t="s">
        <v>27</v>
      </c>
      <c r="E690" s="1" t="s">
        <v>66</v>
      </c>
      <c r="F690" s="1" t="s">
        <v>52</v>
      </c>
      <c r="G690" s="1" t="s">
        <v>110</v>
      </c>
      <c r="H690" s="1" t="s">
        <v>105</v>
      </c>
      <c r="I690" s="1" t="s">
        <v>24</v>
      </c>
      <c r="J690" s="2">
        <v>45977</v>
      </c>
      <c r="K690" s="2">
        <v>45978</v>
      </c>
      <c r="L690" s="1">
        <v>1</v>
      </c>
      <c r="M690" s="1" t="s">
        <v>48</v>
      </c>
      <c r="N690" s="1" t="s">
        <v>82</v>
      </c>
      <c r="O690" s="4">
        <v>28990.48</v>
      </c>
      <c r="P690" s="1">
        <v>3</v>
      </c>
      <c r="Q690" s="10" t="s">
        <v>40</v>
      </c>
      <c r="R690" s="14" t="str" cm="1">
        <f t="array" ref="R690">_xlfn.IFS(C690&lt;18,"Under 18",C690&lt;36,"18-35",C690&lt;51,"36-50",C690&lt;66,"51-65",C690&gt;=66,"66+")</f>
        <v>51-65</v>
      </c>
      <c r="S690" s="18">
        <v>45962</v>
      </c>
    </row>
    <row r="691" spans="1:19">
      <c r="A691" s="21" t="s">
        <v>1289</v>
      </c>
      <c r="B691" s="1" t="s">
        <v>50</v>
      </c>
      <c r="C691" s="1">
        <v>72</v>
      </c>
      <c r="D691" s="1" t="s">
        <v>43</v>
      </c>
      <c r="E691" s="1" t="s">
        <v>32</v>
      </c>
      <c r="F691" s="1" t="s">
        <v>21</v>
      </c>
      <c r="G691" s="1" t="s">
        <v>22</v>
      </c>
      <c r="H691" s="1" t="s">
        <v>69</v>
      </c>
      <c r="I691" s="1" t="s">
        <v>62</v>
      </c>
      <c r="J691" s="2">
        <v>45412</v>
      </c>
      <c r="K691" s="2">
        <v>45387</v>
      </c>
      <c r="L691" s="1">
        <v>4</v>
      </c>
      <c r="M691" s="1" t="s">
        <v>27</v>
      </c>
      <c r="N691" s="1" t="s">
        <v>63</v>
      </c>
      <c r="O691" s="4">
        <v>79909.919999999998</v>
      </c>
      <c r="P691" s="1">
        <v>2</v>
      </c>
      <c r="Q691" s="10" t="s">
        <v>72</v>
      </c>
      <c r="R691" s="14" t="str" cm="1">
        <f t="array" ref="R691">_xlfn.IFS(C691&lt;18,"Under 18",C691&lt;36,"18-35",C691&lt;51,"36-50",C691&lt;66,"51-65",C691&gt;=66,"66+")</f>
        <v>66+</v>
      </c>
      <c r="S691" s="18">
        <v>45383</v>
      </c>
    </row>
    <row r="692" spans="1:19">
      <c r="A692" s="21" t="s">
        <v>1290</v>
      </c>
      <c r="B692" s="1" t="s">
        <v>837</v>
      </c>
      <c r="C692" s="1">
        <v>22</v>
      </c>
      <c r="D692" s="1" t="s">
        <v>19</v>
      </c>
      <c r="E692" s="1" t="s">
        <v>117</v>
      </c>
      <c r="F692" s="1" t="s">
        <v>75</v>
      </c>
      <c r="G692" s="1" t="s">
        <v>132</v>
      </c>
      <c r="H692" s="1" t="s">
        <v>105</v>
      </c>
      <c r="I692" s="1" t="s">
        <v>62</v>
      </c>
      <c r="J692" s="2">
        <v>45573</v>
      </c>
      <c r="K692" s="2">
        <v>45517</v>
      </c>
      <c r="L692" s="1">
        <v>3</v>
      </c>
      <c r="M692" s="1" t="s">
        <v>38</v>
      </c>
      <c r="N692" s="1" t="s">
        <v>85</v>
      </c>
      <c r="O692" s="4">
        <v>73123.509999999995</v>
      </c>
      <c r="P692" s="1">
        <v>4</v>
      </c>
      <c r="Q692" s="10" t="s">
        <v>40</v>
      </c>
      <c r="R692" s="14" t="str" cm="1">
        <f t="array" ref="R692">_xlfn.IFS(C692&lt;18,"Under 18",C692&lt;36,"18-35",C692&lt;51,"36-50",C692&lt;66,"51-65",C692&gt;=66,"66+")</f>
        <v>18-35</v>
      </c>
      <c r="S692" s="18">
        <v>45566</v>
      </c>
    </row>
    <row r="693" spans="1:19">
      <c r="A693" s="21" t="s">
        <v>1291</v>
      </c>
      <c r="B693" s="1" t="s">
        <v>1050</v>
      </c>
      <c r="C693" s="1">
        <v>18</v>
      </c>
      <c r="D693" s="1" t="s">
        <v>27</v>
      </c>
      <c r="E693" s="1" t="s">
        <v>32</v>
      </c>
      <c r="F693" s="1" t="s">
        <v>33</v>
      </c>
      <c r="G693" s="1" t="s">
        <v>132</v>
      </c>
      <c r="H693" s="1" t="s">
        <v>35</v>
      </c>
      <c r="I693" s="1" t="s">
        <v>62</v>
      </c>
      <c r="J693" s="2">
        <v>45615</v>
      </c>
      <c r="K693" s="2">
        <v>45617</v>
      </c>
      <c r="L693" s="1">
        <v>2</v>
      </c>
      <c r="M693" s="1" t="s">
        <v>27</v>
      </c>
      <c r="N693" s="1" t="s">
        <v>82</v>
      </c>
      <c r="O693" s="4">
        <v>83487.31</v>
      </c>
      <c r="P693" s="1">
        <v>3</v>
      </c>
      <c r="Q693" s="10" t="s">
        <v>40</v>
      </c>
      <c r="R693" s="14" t="str" cm="1">
        <f t="array" ref="R693">_xlfn.IFS(C693&lt;18,"Under 18",C693&lt;36,"18-35",C693&lt;51,"36-50",C693&lt;66,"51-65",C693&gt;=66,"66+")</f>
        <v>18-35</v>
      </c>
      <c r="S693" s="18">
        <v>45597</v>
      </c>
    </row>
    <row r="694" spans="1:19">
      <c r="A694" s="21" t="s">
        <v>1292</v>
      </c>
      <c r="B694" s="1" t="s">
        <v>275</v>
      </c>
      <c r="C694" s="1">
        <v>83</v>
      </c>
      <c r="D694" s="1" t="s">
        <v>27</v>
      </c>
      <c r="E694" s="1" t="s">
        <v>117</v>
      </c>
      <c r="F694" s="1" t="s">
        <v>21</v>
      </c>
      <c r="G694" s="1" t="s">
        <v>36</v>
      </c>
      <c r="H694" s="1" t="s">
        <v>35</v>
      </c>
      <c r="I694" s="1" t="s">
        <v>62</v>
      </c>
      <c r="J694" s="2">
        <v>45781</v>
      </c>
      <c r="K694" s="2">
        <v>45965</v>
      </c>
      <c r="L694" s="1">
        <v>6</v>
      </c>
      <c r="M694" s="1" t="s">
        <v>27</v>
      </c>
      <c r="N694" s="1" t="s">
        <v>90</v>
      </c>
      <c r="O694" s="4">
        <v>51270.26</v>
      </c>
      <c r="P694" s="1">
        <v>3</v>
      </c>
      <c r="Q694" s="10" t="s">
        <v>40</v>
      </c>
      <c r="R694" s="14" t="str" cm="1">
        <f t="array" ref="R694">_xlfn.IFS(C694&lt;18,"Under 18",C694&lt;36,"18-35",C694&lt;51,"36-50",C694&lt;66,"51-65",C694&gt;=66,"66+")</f>
        <v>66+</v>
      </c>
      <c r="S694" s="18">
        <v>45778</v>
      </c>
    </row>
    <row r="695" spans="1:19">
      <c r="A695" s="21" t="s">
        <v>1293</v>
      </c>
      <c r="B695" s="1" t="s">
        <v>169</v>
      </c>
      <c r="C695" s="1">
        <v>12</v>
      </c>
      <c r="D695" s="1" t="s">
        <v>27</v>
      </c>
      <c r="E695" s="1" t="s">
        <v>44</v>
      </c>
      <c r="F695" s="1" t="s">
        <v>120</v>
      </c>
      <c r="G695" s="1" t="s">
        <v>22</v>
      </c>
      <c r="H695" s="1" t="s">
        <v>23</v>
      </c>
      <c r="I695" s="1" t="s">
        <v>62</v>
      </c>
      <c r="J695" s="2">
        <v>45359</v>
      </c>
      <c r="K695" s="2">
        <v>45420</v>
      </c>
      <c r="L695" s="1">
        <v>2</v>
      </c>
      <c r="M695" s="1" t="s">
        <v>27</v>
      </c>
      <c r="N695" s="1" t="s">
        <v>57</v>
      </c>
      <c r="O695" s="4">
        <v>60058.25</v>
      </c>
      <c r="P695" s="1">
        <v>3</v>
      </c>
      <c r="Q695" s="10" t="s">
        <v>72</v>
      </c>
      <c r="R695" s="14" t="str" cm="1">
        <f t="array" ref="R695">_xlfn.IFS(C695&lt;18,"Under 18",C695&lt;36,"18-35",C695&lt;51,"36-50",C695&lt;66,"51-65",C695&gt;=66,"66+")</f>
        <v>Under 18</v>
      </c>
      <c r="S695" s="18">
        <v>45352</v>
      </c>
    </row>
    <row r="696" spans="1:19">
      <c r="A696" s="21" t="s">
        <v>1294</v>
      </c>
      <c r="B696" s="1" t="s">
        <v>348</v>
      </c>
      <c r="C696" s="1">
        <v>42</v>
      </c>
      <c r="D696" s="1" t="s">
        <v>27</v>
      </c>
      <c r="E696" s="1" t="s">
        <v>117</v>
      </c>
      <c r="F696" s="1" t="s">
        <v>21</v>
      </c>
      <c r="G696" s="1" t="s">
        <v>110</v>
      </c>
      <c r="H696" s="1" t="s">
        <v>76</v>
      </c>
      <c r="I696" s="1" t="s">
        <v>62</v>
      </c>
      <c r="J696" s="2">
        <v>45399</v>
      </c>
      <c r="K696" s="2">
        <v>45402</v>
      </c>
      <c r="L696" s="1">
        <v>3</v>
      </c>
      <c r="M696" s="1" t="s">
        <v>27</v>
      </c>
      <c r="N696" s="1" t="s">
        <v>85</v>
      </c>
      <c r="O696" s="4">
        <v>70207.149999999994</v>
      </c>
      <c r="P696" s="1">
        <v>5</v>
      </c>
      <c r="Q696" s="10" t="s">
        <v>72</v>
      </c>
      <c r="R696" s="14" t="str" cm="1">
        <f t="array" ref="R696">_xlfn.IFS(C696&lt;18,"Under 18",C696&lt;36,"18-35",C696&lt;51,"36-50",C696&lt;66,"51-65",C696&gt;=66,"66+")</f>
        <v>36-50</v>
      </c>
      <c r="S696" s="18">
        <v>45383</v>
      </c>
    </row>
    <row r="697" spans="1:19">
      <c r="A697" s="21" t="s">
        <v>1295</v>
      </c>
      <c r="B697" s="1" t="s">
        <v>693</v>
      </c>
      <c r="C697" s="1">
        <v>57</v>
      </c>
      <c r="D697" s="1" t="s">
        <v>27</v>
      </c>
      <c r="E697" s="1" t="s">
        <v>159</v>
      </c>
      <c r="F697" s="1" t="s">
        <v>52</v>
      </c>
      <c r="G697" s="1" t="s">
        <v>36</v>
      </c>
      <c r="H697" s="1" t="s">
        <v>93</v>
      </c>
      <c r="I697" s="1" t="s">
        <v>62</v>
      </c>
      <c r="J697" s="2">
        <v>45995</v>
      </c>
      <c r="K697" s="2">
        <v>45764</v>
      </c>
      <c r="L697" s="1">
        <v>5</v>
      </c>
      <c r="M697" s="1" t="s">
        <v>38</v>
      </c>
      <c r="N697" s="1" t="s">
        <v>28</v>
      </c>
      <c r="O697" s="4">
        <v>72889.039999999994</v>
      </c>
      <c r="P697" s="1">
        <v>3</v>
      </c>
      <c r="Q697" s="10" t="s">
        <v>29</v>
      </c>
      <c r="R697" s="14" t="str" cm="1">
        <f t="array" ref="R697">_xlfn.IFS(C697&lt;18,"Under 18",C697&lt;36,"18-35",C697&lt;51,"36-50",C697&lt;66,"51-65",C697&gt;=66,"66+")</f>
        <v>51-65</v>
      </c>
      <c r="S697" s="18">
        <v>45992</v>
      </c>
    </row>
    <row r="698" spans="1:19">
      <c r="A698" s="21" t="s">
        <v>1296</v>
      </c>
      <c r="B698" s="1" t="s">
        <v>507</v>
      </c>
      <c r="C698" s="1">
        <v>65</v>
      </c>
      <c r="D698" s="1" t="s">
        <v>19</v>
      </c>
      <c r="E698" s="1" t="s">
        <v>44</v>
      </c>
      <c r="F698" s="1" t="s">
        <v>21</v>
      </c>
      <c r="G698" s="1" t="s">
        <v>36</v>
      </c>
      <c r="H698" s="1" t="s">
        <v>69</v>
      </c>
      <c r="I698" s="1" t="s">
        <v>36</v>
      </c>
      <c r="J698" s="2">
        <v>45841</v>
      </c>
      <c r="K698" s="2">
        <v>45731</v>
      </c>
      <c r="L698" s="1">
        <v>8</v>
      </c>
      <c r="M698" s="1" t="s">
        <v>38</v>
      </c>
      <c r="N698" s="1" t="s">
        <v>39</v>
      </c>
      <c r="O698" s="4">
        <v>17605.66</v>
      </c>
      <c r="P698" s="1">
        <v>4</v>
      </c>
      <c r="Q698" s="10" t="s">
        <v>72</v>
      </c>
      <c r="R698" s="14" t="str" cm="1">
        <f t="array" ref="R698">_xlfn.IFS(C698&lt;18,"Under 18",C698&lt;36,"18-35",C698&lt;51,"36-50",C698&lt;66,"51-65",C698&gt;=66,"66+")</f>
        <v>51-65</v>
      </c>
      <c r="S698" s="18">
        <v>45839</v>
      </c>
    </row>
    <row r="699" spans="1:19">
      <c r="A699" s="21" t="s">
        <v>1297</v>
      </c>
      <c r="B699" s="1" t="s">
        <v>570</v>
      </c>
      <c r="C699" s="1">
        <v>12</v>
      </c>
      <c r="D699" s="1" t="s">
        <v>43</v>
      </c>
      <c r="E699" s="1" t="s">
        <v>20</v>
      </c>
      <c r="F699" s="1" t="s">
        <v>33</v>
      </c>
      <c r="G699" s="1" t="s">
        <v>34</v>
      </c>
      <c r="H699" s="1" t="s">
        <v>35</v>
      </c>
      <c r="I699" s="1" t="s">
        <v>36</v>
      </c>
      <c r="J699" s="2">
        <v>45436</v>
      </c>
      <c r="K699" s="2">
        <v>45440</v>
      </c>
      <c r="L699" s="1">
        <v>4</v>
      </c>
      <c r="M699" s="1" t="s">
        <v>56</v>
      </c>
      <c r="N699" s="1" t="s">
        <v>85</v>
      </c>
      <c r="O699" s="4">
        <v>36079.53</v>
      </c>
      <c r="P699" s="1">
        <v>3</v>
      </c>
      <c r="Q699" s="10" t="s">
        <v>40</v>
      </c>
      <c r="R699" s="14" t="str" cm="1">
        <f t="array" ref="R699">_xlfn.IFS(C699&lt;18,"Under 18",C699&lt;36,"18-35",C699&lt;51,"36-50",C699&lt;66,"51-65",C699&gt;=66,"66+")</f>
        <v>Under 18</v>
      </c>
      <c r="S699" s="18">
        <v>45413</v>
      </c>
    </row>
    <row r="700" spans="1:19">
      <c r="A700" s="21" t="s">
        <v>1298</v>
      </c>
      <c r="B700" s="1" t="s">
        <v>369</v>
      </c>
      <c r="C700" s="1">
        <v>1</v>
      </c>
      <c r="D700" s="1" t="s">
        <v>43</v>
      </c>
      <c r="E700" s="1" t="s">
        <v>32</v>
      </c>
      <c r="F700" s="1" t="s">
        <v>33</v>
      </c>
      <c r="G700" s="1" t="s">
        <v>36</v>
      </c>
      <c r="H700" s="1" t="s">
        <v>61</v>
      </c>
      <c r="I700" s="1" t="s">
        <v>36</v>
      </c>
      <c r="J700" s="2">
        <v>45632</v>
      </c>
      <c r="K700" s="2">
        <v>45456</v>
      </c>
      <c r="L700" s="1">
        <v>1</v>
      </c>
      <c r="M700" s="1" t="s">
        <v>38</v>
      </c>
      <c r="N700" s="1" t="s">
        <v>39</v>
      </c>
      <c r="O700" s="4">
        <v>78636.81</v>
      </c>
      <c r="P700" s="1">
        <v>4</v>
      </c>
      <c r="Q700" s="10" t="s">
        <v>29</v>
      </c>
      <c r="R700" s="14" t="str" cm="1">
        <f t="array" ref="R700">_xlfn.IFS(C700&lt;18,"Under 18",C700&lt;36,"18-35",C700&lt;51,"36-50",C700&lt;66,"51-65",C700&gt;=66,"66+")</f>
        <v>Under 18</v>
      </c>
      <c r="S700" s="18">
        <v>45627</v>
      </c>
    </row>
    <row r="701" spans="1:19">
      <c r="A701" s="21" t="s">
        <v>1299</v>
      </c>
      <c r="B701" s="1" t="s">
        <v>892</v>
      </c>
      <c r="C701" s="1">
        <v>52</v>
      </c>
      <c r="D701" s="1" t="s">
        <v>43</v>
      </c>
      <c r="E701" s="1" t="s">
        <v>20</v>
      </c>
      <c r="F701" s="1" t="s">
        <v>67</v>
      </c>
      <c r="G701" s="1" t="s">
        <v>36</v>
      </c>
      <c r="H701" s="1" t="s">
        <v>23</v>
      </c>
      <c r="I701" s="1" t="s">
        <v>36</v>
      </c>
      <c r="J701" s="2">
        <v>45581</v>
      </c>
      <c r="K701" s="2">
        <v>45588</v>
      </c>
      <c r="L701" s="1">
        <v>7</v>
      </c>
      <c r="M701" s="1" t="s">
        <v>56</v>
      </c>
      <c r="N701" s="1" t="s">
        <v>82</v>
      </c>
      <c r="O701" s="4">
        <v>17230.95</v>
      </c>
      <c r="P701" s="1">
        <v>4</v>
      </c>
      <c r="Q701" s="10" t="s">
        <v>40</v>
      </c>
      <c r="R701" s="14" t="str" cm="1">
        <f t="array" ref="R701">_xlfn.IFS(C701&lt;18,"Under 18",C701&lt;36,"18-35",C701&lt;51,"36-50",C701&lt;66,"51-65",C701&gt;=66,"66+")</f>
        <v>51-65</v>
      </c>
      <c r="S701" s="18">
        <v>45566</v>
      </c>
    </row>
    <row r="702" spans="1:19">
      <c r="A702" s="21" t="s">
        <v>1300</v>
      </c>
      <c r="B702" s="1" t="s">
        <v>688</v>
      </c>
      <c r="C702" s="1">
        <v>44</v>
      </c>
      <c r="D702" s="1" t="s">
        <v>27</v>
      </c>
      <c r="E702" s="1" t="s">
        <v>137</v>
      </c>
      <c r="F702" s="1" t="s">
        <v>75</v>
      </c>
      <c r="G702" s="1" t="s">
        <v>22</v>
      </c>
      <c r="H702" s="1" t="s">
        <v>61</v>
      </c>
      <c r="I702" s="1" t="s">
        <v>62</v>
      </c>
      <c r="J702" s="2">
        <v>45323</v>
      </c>
      <c r="K702" s="2">
        <v>45474</v>
      </c>
      <c r="L702" s="1">
        <v>5</v>
      </c>
      <c r="M702" s="1" t="s">
        <v>97</v>
      </c>
      <c r="N702" s="1" t="s">
        <v>63</v>
      </c>
      <c r="O702" s="4">
        <v>22079.83</v>
      </c>
      <c r="P702" s="1">
        <v>3</v>
      </c>
      <c r="Q702" s="10" t="s">
        <v>29</v>
      </c>
      <c r="R702" s="14" t="str" cm="1">
        <f t="array" ref="R702">_xlfn.IFS(C702&lt;18,"Under 18",C702&lt;36,"18-35",C702&lt;51,"36-50",C702&lt;66,"51-65",C702&gt;=66,"66+")</f>
        <v>36-50</v>
      </c>
      <c r="S702" s="18">
        <v>45323</v>
      </c>
    </row>
    <row r="703" spans="1:19">
      <c r="A703" s="21" t="s">
        <v>1301</v>
      </c>
      <c r="B703" s="1" t="s">
        <v>492</v>
      </c>
      <c r="C703" s="1">
        <v>55</v>
      </c>
      <c r="D703" s="1" t="s">
        <v>19</v>
      </c>
      <c r="E703" s="1" t="s">
        <v>159</v>
      </c>
      <c r="F703" s="1" t="s">
        <v>75</v>
      </c>
      <c r="G703" s="1" t="s">
        <v>34</v>
      </c>
      <c r="H703" s="1" t="s">
        <v>105</v>
      </c>
      <c r="I703" s="1" t="s">
        <v>62</v>
      </c>
      <c r="J703" s="2">
        <v>45583</v>
      </c>
      <c r="K703" s="2">
        <v>45586</v>
      </c>
      <c r="L703" s="1">
        <v>3</v>
      </c>
      <c r="M703" s="1" t="s">
        <v>48</v>
      </c>
      <c r="N703" s="1" t="s">
        <v>63</v>
      </c>
      <c r="O703" s="4">
        <v>129479.06</v>
      </c>
      <c r="P703" s="1">
        <v>3</v>
      </c>
      <c r="Q703" s="10" t="s">
        <v>58</v>
      </c>
      <c r="R703" s="14" t="str" cm="1">
        <f t="array" ref="R703">_xlfn.IFS(C703&lt;18,"Under 18",C703&lt;36,"18-35",C703&lt;51,"36-50",C703&lt;66,"51-65",C703&gt;=66,"66+")</f>
        <v>51-65</v>
      </c>
      <c r="S703" s="18">
        <v>45566</v>
      </c>
    </row>
    <row r="704" spans="1:19">
      <c r="A704" s="21" t="s">
        <v>1302</v>
      </c>
      <c r="B704" s="1" t="s">
        <v>412</v>
      </c>
      <c r="C704" s="1">
        <v>2</v>
      </c>
      <c r="D704" s="1" t="s">
        <v>19</v>
      </c>
      <c r="E704" s="1" t="s">
        <v>202</v>
      </c>
      <c r="F704" s="1" t="s">
        <v>120</v>
      </c>
      <c r="G704" s="1" t="s">
        <v>104</v>
      </c>
      <c r="H704" s="1" t="s">
        <v>99</v>
      </c>
      <c r="I704" s="1" t="s">
        <v>62</v>
      </c>
      <c r="J704" s="2">
        <v>45618</v>
      </c>
      <c r="K704" s="2">
        <v>45623</v>
      </c>
      <c r="L704" s="1">
        <v>5</v>
      </c>
      <c r="M704" s="1" t="s">
        <v>38</v>
      </c>
      <c r="N704" s="1" t="s">
        <v>63</v>
      </c>
      <c r="O704" s="4">
        <v>47488.18</v>
      </c>
      <c r="P704" s="1">
        <v>5</v>
      </c>
      <c r="Q704" s="10" t="s">
        <v>72</v>
      </c>
      <c r="R704" s="14" t="str" cm="1">
        <f t="array" ref="R704">_xlfn.IFS(C704&lt;18,"Under 18",C704&lt;36,"18-35",C704&lt;51,"36-50",C704&lt;66,"51-65",C704&gt;=66,"66+")</f>
        <v>Under 18</v>
      </c>
      <c r="S704" s="18">
        <v>45597</v>
      </c>
    </row>
    <row r="705" spans="1:19">
      <c r="A705" s="21" t="s">
        <v>1304</v>
      </c>
      <c r="B705" s="1" t="s">
        <v>321</v>
      </c>
      <c r="C705" s="1">
        <v>78</v>
      </c>
      <c r="D705" s="1" t="s">
        <v>43</v>
      </c>
      <c r="E705" s="1" t="s">
        <v>66</v>
      </c>
      <c r="F705" s="1" t="s">
        <v>75</v>
      </c>
      <c r="G705" s="1" t="s">
        <v>53</v>
      </c>
      <c r="H705" s="1" t="s">
        <v>45</v>
      </c>
      <c r="I705" s="1" t="s">
        <v>62</v>
      </c>
      <c r="J705" s="2">
        <v>45806</v>
      </c>
      <c r="K705" s="2">
        <v>45814</v>
      </c>
      <c r="L705" s="1">
        <v>8</v>
      </c>
      <c r="M705" s="1" t="s">
        <v>27</v>
      </c>
      <c r="N705" s="1" t="s">
        <v>82</v>
      </c>
      <c r="O705" s="4">
        <v>180517.55</v>
      </c>
      <c r="P705" s="1">
        <v>4</v>
      </c>
      <c r="Q705" s="10" t="s">
        <v>29</v>
      </c>
      <c r="R705" s="14" t="str" cm="1">
        <f t="array" ref="R705">_xlfn.IFS(C705&lt;18,"Under 18",C705&lt;36,"18-35",C705&lt;51,"36-50",C705&lt;66,"51-65",C705&gt;=66,"66+")</f>
        <v>66+</v>
      </c>
      <c r="S705" s="18">
        <v>45778</v>
      </c>
    </row>
    <row r="706" spans="1:19">
      <c r="A706" s="21" t="s">
        <v>1305</v>
      </c>
      <c r="B706" s="1" t="s">
        <v>42</v>
      </c>
      <c r="C706" s="1">
        <v>66</v>
      </c>
      <c r="D706" s="1" t="s">
        <v>27</v>
      </c>
      <c r="E706" s="1" t="s">
        <v>117</v>
      </c>
      <c r="F706" s="1" t="s">
        <v>33</v>
      </c>
      <c r="G706" s="1" t="s">
        <v>22</v>
      </c>
      <c r="H706" s="1" t="s">
        <v>93</v>
      </c>
      <c r="I706" s="1" t="s">
        <v>62</v>
      </c>
      <c r="J706" s="2">
        <v>45934</v>
      </c>
      <c r="K706" s="2">
        <v>45965</v>
      </c>
      <c r="L706" s="1">
        <v>1</v>
      </c>
      <c r="M706" s="1" t="s">
        <v>38</v>
      </c>
      <c r="N706" s="1" t="s">
        <v>39</v>
      </c>
      <c r="O706" s="4">
        <v>45598.3</v>
      </c>
      <c r="P706" s="1">
        <v>2</v>
      </c>
      <c r="Q706" s="10" t="s">
        <v>72</v>
      </c>
      <c r="R706" s="14" t="str" cm="1">
        <f t="array" ref="R706">_xlfn.IFS(C706&lt;18,"Under 18",C706&lt;36,"18-35",C706&lt;51,"36-50",C706&lt;66,"51-65",C706&gt;=66,"66+")</f>
        <v>66+</v>
      </c>
      <c r="S706" s="18">
        <v>45931</v>
      </c>
    </row>
    <row r="707" spans="1:19">
      <c r="A707" s="21" t="s">
        <v>1306</v>
      </c>
      <c r="B707" s="1" t="s">
        <v>585</v>
      </c>
      <c r="C707" s="1">
        <v>70</v>
      </c>
      <c r="D707" s="1" t="s">
        <v>43</v>
      </c>
      <c r="E707" s="1" t="s">
        <v>20</v>
      </c>
      <c r="F707" s="1" t="s">
        <v>21</v>
      </c>
      <c r="G707" s="1" t="s">
        <v>53</v>
      </c>
      <c r="H707" s="1" t="s">
        <v>105</v>
      </c>
      <c r="I707" s="1" t="s">
        <v>36</v>
      </c>
      <c r="J707" s="2">
        <v>45329</v>
      </c>
      <c r="K707" s="2">
        <v>45419</v>
      </c>
      <c r="L707" s="1">
        <v>3</v>
      </c>
      <c r="M707" s="1" t="s">
        <v>27</v>
      </c>
      <c r="N707" s="1" t="s">
        <v>28</v>
      </c>
      <c r="O707" s="4">
        <v>101440.56</v>
      </c>
      <c r="P707" s="1">
        <v>4</v>
      </c>
      <c r="Q707" s="10" t="s">
        <v>29</v>
      </c>
      <c r="R707" s="14" t="str" cm="1">
        <f t="array" ref="R707">_xlfn.IFS(C707&lt;18,"Under 18",C707&lt;36,"18-35",C707&lt;51,"36-50",C707&lt;66,"51-65",C707&gt;=66,"66+")</f>
        <v>66+</v>
      </c>
      <c r="S707" s="18">
        <v>45323</v>
      </c>
    </row>
    <row r="708" spans="1:19">
      <c r="A708" s="21" t="s">
        <v>1307</v>
      </c>
      <c r="B708" s="1" t="s">
        <v>1209</v>
      </c>
      <c r="C708" s="1">
        <v>19</v>
      </c>
      <c r="D708" s="1" t="s">
        <v>27</v>
      </c>
      <c r="E708" s="1" t="s">
        <v>137</v>
      </c>
      <c r="F708" s="1" t="s">
        <v>67</v>
      </c>
      <c r="G708" s="1" t="s">
        <v>104</v>
      </c>
      <c r="H708" s="1" t="s">
        <v>99</v>
      </c>
      <c r="I708" s="1" t="s">
        <v>24</v>
      </c>
      <c r="J708" s="2">
        <v>45797</v>
      </c>
      <c r="K708" s="2">
        <v>45801</v>
      </c>
      <c r="L708" s="1">
        <v>4</v>
      </c>
      <c r="M708" s="1" t="s">
        <v>48</v>
      </c>
      <c r="N708" s="1" t="s">
        <v>82</v>
      </c>
      <c r="O708" s="4">
        <v>17587.14</v>
      </c>
      <c r="P708" s="1">
        <v>4</v>
      </c>
      <c r="Q708" s="10" t="s">
        <v>40</v>
      </c>
      <c r="R708" s="14" t="str" cm="1">
        <f t="array" ref="R708">_xlfn.IFS(C708&lt;18,"Under 18",C708&lt;36,"18-35",C708&lt;51,"36-50",C708&lt;66,"51-65",C708&gt;=66,"66+")</f>
        <v>18-35</v>
      </c>
      <c r="S708" s="18">
        <v>45778</v>
      </c>
    </row>
    <row r="709" spans="1:19">
      <c r="A709" s="21" t="s">
        <v>1308</v>
      </c>
      <c r="B709" s="1" t="s">
        <v>507</v>
      </c>
      <c r="C709" s="1">
        <v>55</v>
      </c>
      <c r="D709" s="1" t="s">
        <v>43</v>
      </c>
      <c r="E709" s="1" t="s">
        <v>202</v>
      </c>
      <c r="F709" s="1" t="s">
        <v>120</v>
      </c>
      <c r="G709" s="1" t="s">
        <v>36</v>
      </c>
      <c r="H709" s="1" t="s">
        <v>45</v>
      </c>
      <c r="I709" s="1" t="s">
        <v>24</v>
      </c>
      <c r="J709" s="2">
        <v>45314</v>
      </c>
      <c r="K709" s="2">
        <v>45320</v>
      </c>
      <c r="L709" s="1">
        <v>6</v>
      </c>
      <c r="M709" s="1" t="s">
        <v>97</v>
      </c>
      <c r="N709" s="1" t="s">
        <v>85</v>
      </c>
      <c r="O709" s="4">
        <v>69936.070000000007</v>
      </c>
      <c r="P709" s="1">
        <v>4</v>
      </c>
      <c r="Q709" s="10" t="s">
        <v>58</v>
      </c>
      <c r="R709" s="14" t="str" cm="1">
        <f t="array" ref="R709">_xlfn.IFS(C709&lt;18,"Under 18",C709&lt;36,"18-35",C709&lt;51,"36-50",C709&lt;66,"51-65",C709&gt;=66,"66+")</f>
        <v>51-65</v>
      </c>
      <c r="S709" s="18">
        <v>45292</v>
      </c>
    </row>
    <row r="710" spans="1:19">
      <c r="A710" s="21" t="s">
        <v>1310</v>
      </c>
      <c r="B710" s="1" t="s">
        <v>128</v>
      </c>
      <c r="C710" s="1">
        <v>36</v>
      </c>
      <c r="D710" s="1" t="s">
        <v>27</v>
      </c>
      <c r="E710" s="1" t="s">
        <v>202</v>
      </c>
      <c r="F710" s="1" t="s">
        <v>33</v>
      </c>
      <c r="G710" s="1" t="s">
        <v>36</v>
      </c>
      <c r="H710" s="1" t="s">
        <v>35</v>
      </c>
      <c r="I710" s="1" t="s">
        <v>24</v>
      </c>
      <c r="J710" s="2">
        <v>45820</v>
      </c>
      <c r="K710" s="2">
        <v>45881</v>
      </c>
      <c r="L710" s="1">
        <v>2</v>
      </c>
      <c r="M710" s="1" t="s">
        <v>56</v>
      </c>
      <c r="N710" s="1" t="s">
        <v>82</v>
      </c>
      <c r="O710" s="4">
        <v>61509.2</v>
      </c>
      <c r="P710" s="1">
        <v>3</v>
      </c>
      <c r="Q710" s="10" t="s">
        <v>40</v>
      </c>
      <c r="R710" s="14" t="str" cm="1">
        <f t="array" ref="R710">_xlfn.IFS(C710&lt;18,"Under 18",C710&lt;36,"18-35",C710&lt;51,"36-50",C710&lt;66,"51-65",C710&gt;=66,"66+")</f>
        <v>36-50</v>
      </c>
      <c r="S710" s="18">
        <v>45809</v>
      </c>
    </row>
    <row r="711" spans="1:19">
      <c r="A711" s="21" t="s">
        <v>1311</v>
      </c>
      <c r="B711" s="1" t="s">
        <v>335</v>
      </c>
      <c r="C711" s="1">
        <v>60</v>
      </c>
      <c r="D711" s="1" t="s">
        <v>27</v>
      </c>
      <c r="E711" s="1" t="s">
        <v>44</v>
      </c>
      <c r="F711" s="1" t="s">
        <v>120</v>
      </c>
      <c r="G711" s="1" t="s">
        <v>53</v>
      </c>
      <c r="H711" s="1" t="s">
        <v>61</v>
      </c>
      <c r="I711" s="1" t="s">
        <v>24</v>
      </c>
      <c r="J711" s="2">
        <v>46001</v>
      </c>
      <c r="K711" s="2">
        <v>45943</v>
      </c>
      <c r="L711" s="1">
        <v>1</v>
      </c>
      <c r="M711" s="1" t="s">
        <v>97</v>
      </c>
      <c r="N711" s="1" t="s">
        <v>57</v>
      </c>
      <c r="O711" s="4">
        <v>24295.69</v>
      </c>
      <c r="P711" s="1">
        <v>5</v>
      </c>
      <c r="Q711" s="10" t="s">
        <v>72</v>
      </c>
      <c r="R711" s="14" t="str" cm="1">
        <f t="array" ref="R711">_xlfn.IFS(C711&lt;18,"Under 18",C711&lt;36,"18-35",C711&lt;51,"36-50",C711&lt;66,"51-65",C711&gt;=66,"66+")</f>
        <v>51-65</v>
      </c>
      <c r="S711" s="18">
        <v>45992</v>
      </c>
    </row>
    <row r="712" spans="1:19">
      <c r="A712" s="21" t="s">
        <v>1312</v>
      </c>
      <c r="B712" s="1" t="s">
        <v>521</v>
      </c>
      <c r="C712" s="1">
        <v>44</v>
      </c>
      <c r="D712" s="1" t="s">
        <v>43</v>
      </c>
      <c r="E712" s="1" t="s">
        <v>159</v>
      </c>
      <c r="F712" s="1" t="s">
        <v>67</v>
      </c>
      <c r="G712" s="1" t="s">
        <v>36</v>
      </c>
      <c r="H712" s="1" t="s">
        <v>105</v>
      </c>
      <c r="I712" s="1" t="s">
        <v>62</v>
      </c>
      <c r="J712" s="2">
        <v>45619</v>
      </c>
      <c r="K712" s="2">
        <v>45623</v>
      </c>
      <c r="L712" s="1">
        <v>4</v>
      </c>
      <c r="M712" s="1" t="s">
        <v>48</v>
      </c>
      <c r="N712" s="1" t="s">
        <v>85</v>
      </c>
      <c r="O712" s="4">
        <v>41414.49</v>
      </c>
      <c r="P712" s="1">
        <v>4</v>
      </c>
      <c r="Q712" s="10" t="s">
        <v>40</v>
      </c>
      <c r="R712" s="14" t="str" cm="1">
        <f t="array" ref="R712">_xlfn.IFS(C712&lt;18,"Under 18",C712&lt;36,"18-35",C712&lt;51,"36-50",C712&lt;66,"51-65",C712&gt;=66,"66+")</f>
        <v>36-50</v>
      </c>
      <c r="S712" s="18">
        <v>45597</v>
      </c>
    </row>
    <row r="713" spans="1:19">
      <c r="A713" s="21" t="s">
        <v>1313</v>
      </c>
      <c r="B713" s="1" t="s">
        <v>299</v>
      </c>
      <c r="C713" s="1">
        <v>39</v>
      </c>
      <c r="D713" s="1" t="s">
        <v>43</v>
      </c>
      <c r="E713" s="1" t="s">
        <v>20</v>
      </c>
      <c r="F713" s="1" t="s">
        <v>33</v>
      </c>
      <c r="G713" s="1" t="s">
        <v>53</v>
      </c>
      <c r="H713" s="1" t="s">
        <v>69</v>
      </c>
      <c r="I713" s="1" t="s">
        <v>24</v>
      </c>
      <c r="J713" s="2">
        <v>45614</v>
      </c>
      <c r="K713" s="2">
        <v>45619</v>
      </c>
      <c r="L713" s="1">
        <v>5</v>
      </c>
      <c r="M713" s="1" t="s">
        <v>56</v>
      </c>
      <c r="N713" s="1" t="s">
        <v>57</v>
      </c>
      <c r="O713" s="4">
        <v>91190.25</v>
      </c>
      <c r="P713" s="1">
        <v>1</v>
      </c>
      <c r="Q713" s="10" t="s">
        <v>72</v>
      </c>
      <c r="R713" s="14" t="str" cm="1">
        <f t="array" ref="R713">_xlfn.IFS(C713&lt;18,"Under 18",C713&lt;36,"18-35",C713&lt;51,"36-50",C713&lt;66,"51-65",C713&gt;=66,"66+")</f>
        <v>36-50</v>
      </c>
      <c r="S713" s="18">
        <v>45597</v>
      </c>
    </row>
    <row r="714" spans="1:19">
      <c r="A714" s="21" t="s">
        <v>1314</v>
      </c>
      <c r="B714" s="1" t="s">
        <v>709</v>
      </c>
      <c r="C714" s="1">
        <v>13</v>
      </c>
      <c r="D714" s="1" t="s">
        <v>43</v>
      </c>
      <c r="E714" s="1" t="s">
        <v>247</v>
      </c>
      <c r="F714" s="1" t="s">
        <v>120</v>
      </c>
      <c r="G714" s="1" t="s">
        <v>36</v>
      </c>
      <c r="H714" s="1" t="s">
        <v>23</v>
      </c>
      <c r="I714" s="1" t="s">
        <v>24</v>
      </c>
      <c r="J714" s="2">
        <v>45604</v>
      </c>
      <c r="K714" s="2">
        <v>45634</v>
      </c>
      <c r="L714" s="1">
        <v>1</v>
      </c>
      <c r="M714" s="1" t="s">
        <v>48</v>
      </c>
      <c r="N714" s="1" t="s">
        <v>63</v>
      </c>
      <c r="O714" s="4">
        <v>41821.68</v>
      </c>
      <c r="P714" s="1">
        <v>5</v>
      </c>
      <c r="Q714" s="10" t="s">
        <v>40</v>
      </c>
      <c r="R714" s="14" t="str" cm="1">
        <f t="array" ref="R714">_xlfn.IFS(C714&lt;18,"Under 18",C714&lt;36,"18-35",C714&lt;51,"36-50",C714&lt;66,"51-65",C714&gt;=66,"66+")</f>
        <v>Under 18</v>
      </c>
      <c r="S714" s="18">
        <v>45597</v>
      </c>
    </row>
    <row r="715" spans="1:19">
      <c r="A715" s="21" t="s">
        <v>1315</v>
      </c>
      <c r="B715" s="1" t="s">
        <v>553</v>
      </c>
      <c r="C715" s="1">
        <v>65</v>
      </c>
      <c r="D715" s="1" t="s">
        <v>27</v>
      </c>
      <c r="E715" s="1" t="s">
        <v>117</v>
      </c>
      <c r="F715" s="1" t="s">
        <v>75</v>
      </c>
      <c r="G715" s="1" t="s">
        <v>104</v>
      </c>
      <c r="H715" s="1" t="s">
        <v>105</v>
      </c>
      <c r="I715" s="1" t="s">
        <v>24</v>
      </c>
      <c r="J715" s="2">
        <v>45837</v>
      </c>
      <c r="K715" s="2">
        <v>45664</v>
      </c>
      <c r="L715" s="1">
        <v>2</v>
      </c>
      <c r="M715" s="1" t="s">
        <v>38</v>
      </c>
      <c r="N715" s="1" t="s">
        <v>39</v>
      </c>
      <c r="O715" s="4">
        <v>72308.11</v>
      </c>
      <c r="P715" s="1">
        <v>4</v>
      </c>
      <c r="Q715" s="10" t="s">
        <v>58</v>
      </c>
      <c r="R715" s="14" t="str" cm="1">
        <f t="array" ref="R715">_xlfn.IFS(C715&lt;18,"Under 18",C715&lt;36,"18-35",C715&lt;51,"36-50",C715&lt;66,"51-65",C715&gt;=66,"66+")</f>
        <v>51-65</v>
      </c>
      <c r="S715" s="18">
        <v>45809</v>
      </c>
    </row>
    <row r="716" spans="1:19">
      <c r="A716" s="21" t="s">
        <v>1317</v>
      </c>
      <c r="B716" s="1" t="s">
        <v>1318</v>
      </c>
      <c r="C716" s="1">
        <v>84</v>
      </c>
      <c r="D716" s="1" t="s">
        <v>19</v>
      </c>
      <c r="E716" s="1" t="s">
        <v>44</v>
      </c>
      <c r="F716" s="1" t="s">
        <v>67</v>
      </c>
      <c r="G716" s="1" t="s">
        <v>36</v>
      </c>
      <c r="H716" s="1" t="s">
        <v>76</v>
      </c>
      <c r="I716" s="1" t="s">
        <v>24</v>
      </c>
      <c r="J716" s="2">
        <v>45991</v>
      </c>
      <c r="K716" s="2">
        <v>45728</v>
      </c>
      <c r="L716" s="1">
        <v>3</v>
      </c>
      <c r="M716" s="1" t="s">
        <v>48</v>
      </c>
      <c r="N716" s="1" t="s">
        <v>90</v>
      </c>
      <c r="O716" s="4">
        <v>25787.87</v>
      </c>
      <c r="P716" s="1">
        <v>1</v>
      </c>
      <c r="Q716" s="10" t="s">
        <v>58</v>
      </c>
      <c r="R716" s="14" t="str" cm="1">
        <f t="array" ref="R716">_xlfn.IFS(C716&lt;18,"Under 18",C716&lt;36,"18-35",C716&lt;51,"36-50",C716&lt;66,"51-65",C716&gt;=66,"66+")</f>
        <v>66+</v>
      </c>
      <c r="S716" s="18">
        <v>45962</v>
      </c>
    </row>
    <row r="717" spans="1:19">
      <c r="A717" s="21" t="s">
        <v>1319</v>
      </c>
      <c r="B717" s="1" t="s">
        <v>172</v>
      </c>
      <c r="C717" s="1">
        <v>3</v>
      </c>
      <c r="D717" s="1" t="s">
        <v>43</v>
      </c>
      <c r="E717" s="1" t="s">
        <v>66</v>
      </c>
      <c r="F717" s="1" t="s">
        <v>33</v>
      </c>
      <c r="G717" s="1" t="s">
        <v>22</v>
      </c>
      <c r="H717" s="1" t="s">
        <v>88</v>
      </c>
      <c r="I717" s="1" t="s">
        <v>62</v>
      </c>
      <c r="J717" s="2">
        <v>45916</v>
      </c>
      <c r="K717" s="2">
        <v>45917</v>
      </c>
      <c r="L717" s="1">
        <v>1</v>
      </c>
      <c r="M717" s="1" t="s">
        <v>56</v>
      </c>
      <c r="N717" s="1" t="s">
        <v>85</v>
      </c>
      <c r="O717" s="4">
        <v>13658.52</v>
      </c>
      <c r="P717" s="1">
        <v>4</v>
      </c>
      <c r="Q717" s="10" t="s">
        <v>58</v>
      </c>
      <c r="R717" s="14" t="str" cm="1">
        <f t="array" ref="R717">_xlfn.IFS(C717&lt;18,"Under 18",C717&lt;36,"18-35",C717&lt;51,"36-50",C717&lt;66,"51-65",C717&gt;=66,"66+")</f>
        <v>Under 18</v>
      </c>
      <c r="S717" s="18">
        <v>45901</v>
      </c>
    </row>
    <row r="718" spans="1:19">
      <c r="A718" s="21" t="s">
        <v>1320</v>
      </c>
      <c r="B718" s="1" t="s">
        <v>492</v>
      </c>
      <c r="C718" s="1">
        <v>26</v>
      </c>
      <c r="D718" s="1" t="s">
        <v>43</v>
      </c>
      <c r="E718" s="1" t="s">
        <v>44</v>
      </c>
      <c r="F718" s="1" t="s">
        <v>120</v>
      </c>
      <c r="G718" s="1" t="s">
        <v>104</v>
      </c>
      <c r="H718" s="1" t="s">
        <v>61</v>
      </c>
      <c r="I718" s="1" t="s">
        <v>36</v>
      </c>
      <c r="J718" s="2">
        <v>45427</v>
      </c>
      <c r="K718" s="2">
        <v>45432</v>
      </c>
      <c r="L718" s="1">
        <v>5</v>
      </c>
      <c r="M718" s="1" t="s">
        <v>56</v>
      </c>
      <c r="N718" s="1" t="s">
        <v>57</v>
      </c>
      <c r="O718" s="4">
        <v>70163.009999999995</v>
      </c>
      <c r="P718" s="1">
        <v>5</v>
      </c>
      <c r="Q718" s="10" t="s">
        <v>72</v>
      </c>
      <c r="R718" s="14" t="str" cm="1">
        <f t="array" ref="R718">_xlfn.IFS(C718&lt;18,"Under 18",C718&lt;36,"18-35",C718&lt;51,"36-50",C718&lt;66,"51-65",C718&gt;=66,"66+")</f>
        <v>18-35</v>
      </c>
      <c r="S718" s="18">
        <v>45413</v>
      </c>
    </row>
    <row r="719" spans="1:19">
      <c r="A719" s="21" t="s">
        <v>1322</v>
      </c>
      <c r="B719" s="1" t="s">
        <v>780</v>
      </c>
      <c r="C719" s="1">
        <v>1</v>
      </c>
      <c r="D719" s="1" t="s">
        <v>27</v>
      </c>
      <c r="E719" s="1" t="s">
        <v>44</v>
      </c>
      <c r="F719" s="1" t="s">
        <v>52</v>
      </c>
      <c r="G719" s="1" t="s">
        <v>104</v>
      </c>
      <c r="H719" s="1" t="s">
        <v>76</v>
      </c>
      <c r="I719" s="1" t="s">
        <v>24</v>
      </c>
      <c r="J719" s="2">
        <v>45353</v>
      </c>
      <c r="K719" s="2">
        <v>45537</v>
      </c>
      <c r="L719" s="1">
        <v>6</v>
      </c>
      <c r="M719" s="1" t="s">
        <v>48</v>
      </c>
      <c r="N719" s="1" t="s">
        <v>57</v>
      </c>
      <c r="O719" s="4">
        <v>17136.689999999999</v>
      </c>
      <c r="P719" s="1">
        <v>4</v>
      </c>
      <c r="Q719" s="10" t="s">
        <v>58</v>
      </c>
      <c r="R719" s="14" t="str" cm="1">
        <f t="array" ref="R719">_xlfn.IFS(C719&lt;18,"Under 18",C719&lt;36,"18-35",C719&lt;51,"36-50",C719&lt;66,"51-65",C719&gt;=66,"66+")</f>
        <v>Under 18</v>
      </c>
      <c r="S719" s="18">
        <v>45352</v>
      </c>
    </row>
    <row r="720" spans="1:19">
      <c r="A720" s="21" t="s">
        <v>1323</v>
      </c>
      <c r="B720" s="1" t="s">
        <v>780</v>
      </c>
      <c r="C720" s="1">
        <v>8</v>
      </c>
      <c r="D720" s="1" t="s">
        <v>43</v>
      </c>
      <c r="E720" s="1" t="s">
        <v>66</v>
      </c>
      <c r="F720" s="1" t="s">
        <v>120</v>
      </c>
      <c r="G720" s="1" t="s">
        <v>104</v>
      </c>
      <c r="H720" s="1" t="s">
        <v>76</v>
      </c>
      <c r="I720" s="1" t="s">
        <v>62</v>
      </c>
      <c r="J720" s="2">
        <v>45963</v>
      </c>
      <c r="K720" s="2">
        <v>45707</v>
      </c>
      <c r="L720" s="1">
        <v>8</v>
      </c>
      <c r="M720" s="1" t="s">
        <v>38</v>
      </c>
      <c r="N720" s="1" t="s">
        <v>85</v>
      </c>
      <c r="O720" s="4">
        <v>86852.4</v>
      </c>
      <c r="P720" s="1">
        <v>2</v>
      </c>
      <c r="Q720" s="10" t="s">
        <v>29</v>
      </c>
      <c r="R720" s="14" t="str" cm="1">
        <f t="array" ref="R720">_xlfn.IFS(C720&lt;18,"Under 18",C720&lt;36,"18-35",C720&lt;51,"36-50",C720&lt;66,"51-65",C720&gt;=66,"66+")</f>
        <v>Under 18</v>
      </c>
      <c r="S720" s="18">
        <v>45962</v>
      </c>
    </row>
    <row r="721" spans="1:19">
      <c r="A721" s="21" t="s">
        <v>1325</v>
      </c>
      <c r="B721" s="1" t="s">
        <v>131</v>
      </c>
      <c r="C721" s="1">
        <v>62</v>
      </c>
      <c r="D721" s="1" t="s">
        <v>19</v>
      </c>
      <c r="E721" s="1" t="s">
        <v>159</v>
      </c>
      <c r="F721" s="1" t="s">
        <v>120</v>
      </c>
      <c r="G721" s="1" t="s">
        <v>104</v>
      </c>
      <c r="H721" s="1" t="s">
        <v>93</v>
      </c>
      <c r="I721" s="1" t="s">
        <v>62</v>
      </c>
      <c r="J721" s="2">
        <v>45562</v>
      </c>
      <c r="K721" s="2">
        <v>45564</v>
      </c>
      <c r="L721" s="1">
        <v>2</v>
      </c>
      <c r="M721" s="1" t="s">
        <v>38</v>
      </c>
      <c r="N721" s="1" t="s">
        <v>90</v>
      </c>
      <c r="O721" s="4">
        <v>66932.679999999993</v>
      </c>
      <c r="P721" s="1">
        <v>5</v>
      </c>
      <c r="Q721" s="10" t="s">
        <v>40</v>
      </c>
      <c r="R721" s="14" t="str" cm="1">
        <f t="array" ref="R721">_xlfn.IFS(C721&lt;18,"Under 18",C721&lt;36,"18-35",C721&lt;51,"36-50",C721&lt;66,"51-65",C721&gt;=66,"66+")</f>
        <v>51-65</v>
      </c>
      <c r="S721" s="18">
        <v>45536</v>
      </c>
    </row>
    <row r="722" spans="1:19">
      <c r="A722" s="21" t="s">
        <v>1326</v>
      </c>
      <c r="B722" s="1" t="s">
        <v>699</v>
      </c>
      <c r="C722" s="1">
        <v>77</v>
      </c>
      <c r="D722" s="1" t="s">
        <v>19</v>
      </c>
      <c r="E722" s="1" t="s">
        <v>159</v>
      </c>
      <c r="F722" s="1" t="s">
        <v>52</v>
      </c>
      <c r="G722" s="1" t="s">
        <v>53</v>
      </c>
      <c r="H722" s="1" t="s">
        <v>69</v>
      </c>
      <c r="I722" s="1" t="s">
        <v>62</v>
      </c>
      <c r="J722" s="2">
        <v>45435</v>
      </c>
      <c r="K722" s="2">
        <v>45439</v>
      </c>
      <c r="L722" s="1">
        <v>4</v>
      </c>
      <c r="M722" s="1" t="s">
        <v>38</v>
      </c>
      <c r="N722" s="1" t="s">
        <v>85</v>
      </c>
      <c r="O722" s="4">
        <v>56259.82</v>
      </c>
      <c r="P722" s="1">
        <v>5</v>
      </c>
      <c r="Q722" s="10" t="s">
        <v>29</v>
      </c>
      <c r="R722" s="14" t="str" cm="1">
        <f t="array" ref="R722">_xlfn.IFS(C722&lt;18,"Under 18",C722&lt;36,"18-35",C722&lt;51,"36-50",C722&lt;66,"51-65",C722&gt;=66,"66+")</f>
        <v>66+</v>
      </c>
      <c r="S722" s="18">
        <v>45413</v>
      </c>
    </row>
    <row r="723" spans="1:19">
      <c r="A723" s="21" t="s">
        <v>1327</v>
      </c>
      <c r="B723" s="1" t="s">
        <v>176</v>
      </c>
      <c r="C723" s="1">
        <v>19</v>
      </c>
      <c r="D723" s="1" t="s">
        <v>27</v>
      </c>
      <c r="E723" s="1" t="s">
        <v>51</v>
      </c>
      <c r="F723" s="1" t="s">
        <v>52</v>
      </c>
      <c r="G723" s="1" t="s">
        <v>132</v>
      </c>
      <c r="H723" s="1" t="s">
        <v>69</v>
      </c>
      <c r="I723" s="1" t="s">
        <v>24</v>
      </c>
      <c r="J723" s="2">
        <v>45591</v>
      </c>
      <c r="K723" s="2">
        <v>45593</v>
      </c>
      <c r="L723" s="1">
        <v>2</v>
      </c>
      <c r="M723" s="1" t="s">
        <v>97</v>
      </c>
      <c r="N723" s="1" t="s">
        <v>57</v>
      </c>
      <c r="O723" s="4">
        <v>34115.83</v>
      </c>
      <c r="P723" s="1">
        <v>4</v>
      </c>
      <c r="Q723" s="10" t="s">
        <v>29</v>
      </c>
      <c r="R723" s="14" t="str" cm="1">
        <f t="array" ref="R723">_xlfn.IFS(C723&lt;18,"Under 18",C723&lt;36,"18-35",C723&lt;51,"36-50",C723&lt;66,"51-65",C723&gt;=66,"66+")</f>
        <v>18-35</v>
      </c>
      <c r="S723" s="18">
        <v>45566</v>
      </c>
    </row>
    <row r="724" spans="1:19">
      <c r="A724" s="21" t="s">
        <v>1328</v>
      </c>
      <c r="B724" s="1" t="s">
        <v>266</v>
      </c>
      <c r="C724" s="1">
        <v>45</v>
      </c>
      <c r="D724" s="1" t="s">
        <v>27</v>
      </c>
      <c r="E724" s="1" t="s">
        <v>202</v>
      </c>
      <c r="F724" s="1" t="s">
        <v>52</v>
      </c>
      <c r="G724" s="1" t="s">
        <v>104</v>
      </c>
      <c r="H724" s="1" t="s">
        <v>35</v>
      </c>
      <c r="I724" s="1" t="s">
        <v>36</v>
      </c>
      <c r="J724" s="2">
        <v>45510</v>
      </c>
      <c r="K724" s="2">
        <v>45602</v>
      </c>
      <c r="L724" s="1">
        <v>3</v>
      </c>
      <c r="M724" s="1" t="s">
        <v>38</v>
      </c>
      <c r="N724" s="1" t="s">
        <v>85</v>
      </c>
      <c r="O724" s="4">
        <v>75567.100000000006</v>
      </c>
      <c r="P724" s="1">
        <v>4</v>
      </c>
      <c r="Q724" s="10" t="s">
        <v>40</v>
      </c>
      <c r="R724" s="14" t="str" cm="1">
        <f t="array" ref="R724">_xlfn.IFS(C724&lt;18,"Under 18",C724&lt;36,"18-35",C724&lt;51,"36-50",C724&lt;66,"51-65",C724&gt;=66,"66+")</f>
        <v>36-50</v>
      </c>
      <c r="S724" s="18">
        <v>45505</v>
      </c>
    </row>
    <row r="725" spans="1:19">
      <c r="A725" s="21" t="s">
        <v>1329</v>
      </c>
      <c r="B725" s="1" t="s">
        <v>524</v>
      </c>
      <c r="C725" s="1">
        <v>27</v>
      </c>
      <c r="D725" s="1" t="s">
        <v>19</v>
      </c>
      <c r="E725" s="1" t="s">
        <v>20</v>
      </c>
      <c r="F725" s="1" t="s">
        <v>120</v>
      </c>
      <c r="G725" s="1" t="s">
        <v>22</v>
      </c>
      <c r="H725" s="1" t="s">
        <v>61</v>
      </c>
      <c r="I725" s="1" t="s">
        <v>24</v>
      </c>
      <c r="J725" s="2">
        <v>45328</v>
      </c>
      <c r="K725" s="2">
        <v>45479</v>
      </c>
      <c r="L725" s="1">
        <v>5</v>
      </c>
      <c r="M725" s="1" t="s">
        <v>48</v>
      </c>
      <c r="N725" s="1" t="s">
        <v>57</v>
      </c>
      <c r="O725" s="4">
        <v>38024.61</v>
      </c>
      <c r="P725" s="1">
        <v>4</v>
      </c>
      <c r="Q725" s="10" t="s">
        <v>72</v>
      </c>
      <c r="R725" s="14" t="str" cm="1">
        <f t="array" ref="R725">_xlfn.IFS(C725&lt;18,"Under 18",C725&lt;36,"18-35",C725&lt;51,"36-50",C725&lt;66,"51-65",C725&gt;=66,"66+")</f>
        <v>18-35</v>
      </c>
      <c r="S725" s="18">
        <v>45323</v>
      </c>
    </row>
    <row r="726" spans="1:19">
      <c r="A726" s="21" t="s">
        <v>1330</v>
      </c>
      <c r="B726" s="1" t="s">
        <v>712</v>
      </c>
      <c r="C726" s="1">
        <v>43</v>
      </c>
      <c r="D726" s="1" t="s">
        <v>27</v>
      </c>
      <c r="E726" s="1" t="s">
        <v>66</v>
      </c>
      <c r="F726" s="1" t="s">
        <v>52</v>
      </c>
      <c r="G726" s="1" t="s">
        <v>22</v>
      </c>
      <c r="H726" s="1" t="s">
        <v>99</v>
      </c>
      <c r="I726" s="1" t="s">
        <v>24</v>
      </c>
      <c r="J726" s="2">
        <v>45538</v>
      </c>
      <c r="K726" s="2">
        <v>45364</v>
      </c>
      <c r="L726" s="1">
        <v>4</v>
      </c>
      <c r="M726" s="1" t="s">
        <v>56</v>
      </c>
      <c r="N726" s="1" t="s">
        <v>85</v>
      </c>
      <c r="O726" s="4">
        <v>44604.2</v>
      </c>
      <c r="P726" s="1">
        <v>4</v>
      </c>
      <c r="Q726" s="10" t="s">
        <v>58</v>
      </c>
      <c r="R726" s="14" t="str" cm="1">
        <f t="array" ref="R726">_xlfn.IFS(C726&lt;18,"Under 18",C726&lt;36,"18-35",C726&lt;51,"36-50",C726&lt;66,"51-65",C726&gt;=66,"66+")</f>
        <v>36-50</v>
      </c>
      <c r="S726" s="18">
        <v>45536</v>
      </c>
    </row>
    <row r="727" spans="1:19">
      <c r="A727" s="21" t="s">
        <v>1331</v>
      </c>
      <c r="B727" s="1" t="s">
        <v>396</v>
      </c>
      <c r="C727" s="1">
        <v>23</v>
      </c>
      <c r="D727" s="1" t="s">
        <v>19</v>
      </c>
      <c r="E727" s="1" t="s">
        <v>20</v>
      </c>
      <c r="F727" s="1" t="s">
        <v>21</v>
      </c>
      <c r="G727" s="1" t="s">
        <v>132</v>
      </c>
      <c r="H727" s="1" t="s">
        <v>45</v>
      </c>
      <c r="I727" s="1" t="s">
        <v>36</v>
      </c>
      <c r="J727" s="2">
        <v>45915</v>
      </c>
      <c r="K727" s="2">
        <v>45919</v>
      </c>
      <c r="L727" s="1">
        <v>4</v>
      </c>
      <c r="M727" s="1" t="s">
        <v>27</v>
      </c>
      <c r="N727" s="1" t="s">
        <v>39</v>
      </c>
      <c r="O727" s="4">
        <v>78148.289999999994</v>
      </c>
      <c r="P727" s="1">
        <v>3</v>
      </c>
      <c r="Q727" s="10" t="s">
        <v>58</v>
      </c>
      <c r="R727" s="14" t="str" cm="1">
        <f t="array" ref="R727">_xlfn.IFS(C727&lt;18,"Under 18",C727&lt;36,"18-35",C727&lt;51,"36-50",C727&lt;66,"51-65",C727&gt;=66,"66+")</f>
        <v>18-35</v>
      </c>
      <c r="S727" s="18">
        <v>45901</v>
      </c>
    </row>
    <row r="728" spans="1:19">
      <c r="A728" s="21" t="s">
        <v>1332</v>
      </c>
      <c r="B728" s="1" t="s">
        <v>792</v>
      </c>
      <c r="C728" s="1">
        <v>60</v>
      </c>
      <c r="D728" s="1" t="s">
        <v>19</v>
      </c>
      <c r="E728" s="1" t="s">
        <v>51</v>
      </c>
      <c r="F728" s="1" t="s">
        <v>67</v>
      </c>
      <c r="G728" s="1" t="s">
        <v>132</v>
      </c>
      <c r="H728" s="1" t="s">
        <v>93</v>
      </c>
      <c r="I728" s="1" t="s">
        <v>36</v>
      </c>
      <c r="J728" s="2">
        <v>45723</v>
      </c>
      <c r="K728" s="2">
        <v>45784</v>
      </c>
      <c r="L728" s="1">
        <v>2</v>
      </c>
      <c r="M728" s="1" t="s">
        <v>27</v>
      </c>
      <c r="N728" s="1" t="s">
        <v>57</v>
      </c>
      <c r="O728" s="4">
        <v>20497.669999999998</v>
      </c>
      <c r="P728" s="1">
        <v>2</v>
      </c>
      <c r="Q728" s="10" t="s">
        <v>40</v>
      </c>
      <c r="R728" s="14" t="str" cm="1">
        <f t="array" ref="R728">_xlfn.IFS(C728&lt;18,"Under 18",C728&lt;36,"18-35",C728&lt;51,"36-50",C728&lt;66,"51-65",C728&gt;=66,"66+")</f>
        <v>51-65</v>
      </c>
      <c r="S728" s="18">
        <v>45717</v>
      </c>
    </row>
    <row r="729" spans="1:19">
      <c r="A729" s="21" t="s">
        <v>1333</v>
      </c>
      <c r="B729" s="1" t="s">
        <v>502</v>
      </c>
      <c r="C729" s="1">
        <v>73</v>
      </c>
      <c r="D729" s="1" t="s">
        <v>19</v>
      </c>
      <c r="E729" s="1" t="s">
        <v>117</v>
      </c>
      <c r="F729" s="1" t="s">
        <v>33</v>
      </c>
      <c r="G729" s="1" t="s">
        <v>132</v>
      </c>
      <c r="H729" s="1" t="s">
        <v>69</v>
      </c>
      <c r="I729" s="1" t="s">
        <v>24</v>
      </c>
      <c r="J729" s="2">
        <v>45887</v>
      </c>
      <c r="K729" s="2">
        <v>45900</v>
      </c>
      <c r="L729" s="1">
        <v>13</v>
      </c>
      <c r="M729" s="1" t="s">
        <v>38</v>
      </c>
      <c r="N729" s="1" t="s">
        <v>57</v>
      </c>
      <c r="O729" s="4">
        <v>88526.14</v>
      </c>
      <c r="P729" s="1">
        <v>4</v>
      </c>
      <c r="Q729" s="10" t="s">
        <v>29</v>
      </c>
      <c r="R729" s="14" t="str" cm="1">
        <f t="array" ref="R729">_xlfn.IFS(C729&lt;18,"Under 18",C729&lt;36,"18-35",C729&lt;51,"36-50",C729&lt;66,"51-65",C729&gt;=66,"66+")</f>
        <v>66+</v>
      </c>
      <c r="S729" s="18">
        <v>45870</v>
      </c>
    </row>
    <row r="730" spans="1:19">
      <c r="A730" s="21" t="s">
        <v>1335</v>
      </c>
      <c r="B730" s="1" t="s">
        <v>565</v>
      </c>
      <c r="C730" s="1">
        <v>43</v>
      </c>
      <c r="D730" s="1" t="s">
        <v>27</v>
      </c>
      <c r="E730" s="1" t="s">
        <v>159</v>
      </c>
      <c r="F730" s="1" t="s">
        <v>75</v>
      </c>
      <c r="G730" s="1" t="s">
        <v>68</v>
      </c>
      <c r="H730" s="1" t="s">
        <v>23</v>
      </c>
      <c r="I730" s="1" t="s">
        <v>36</v>
      </c>
      <c r="J730" s="2">
        <v>45905</v>
      </c>
      <c r="K730" s="2">
        <v>45966</v>
      </c>
      <c r="L730" s="1">
        <v>2</v>
      </c>
      <c r="M730" s="1" t="s">
        <v>97</v>
      </c>
      <c r="N730" s="1" t="s">
        <v>28</v>
      </c>
      <c r="O730" s="4">
        <v>30178.61</v>
      </c>
      <c r="P730" s="1">
        <v>3</v>
      </c>
      <c r="Q730" s="10" t="s">
        <v>40</v>
      </c>
      <c r="R730" s="14" t="str" cm="1">
        <f t="array" ref="R730">_xlfn.IFS(C730&lt;18,"Under 18",C730&lt;36,"18-35",C730&lt;51,"36-50",C730&lt;66,"51-65",C730&gt;=66,"66+")</f>
        <v>36-50</v>
      </c>
      <c r="S730" s="18">
        <v>45901</v>
      </c>
    </row>
    <row r="731" spans="1:19">
      <c r="A731" s="21" t="s">
        <v>1336</v>
      </c>
      <c r="B731" s="1" t="s">
        <v>84</v>
      </c>
      <c r="C731" s="1">
        <v>66</v>
      </c>
      <c r="D731" s="1" t="s">
        <v>43</v>
      </c>
      <c r="E731" s="1" t="s">
        <v>20</v>
      </c>
      <c r="F731" s="1" t="s">
        <v>75</v>
      </c>
      <c r="G731" s="1" t="s">
        <v>68</v>
      </c>
      <c r="H731" s="1" t="s">
        <v>45</v>
      </c>
      <c r="I731" s="1" t="s">
        <v>36</v>
      </c>
      <c r="J731" s="2">
        <v>45799</v>
      </c>
      <c r="K731" s="2">
        <v>45800</v>
      </c>
      <c r="L731" s="1">
        <v>1</v>
      </c>
      <c r="M731" s="1" t="s">
        <v>56</v>
      </c>
      <c r="N731" s="1" t="s">
        <v>82</v>
      </c>
      <c r="O731" s="4">
        <v>79546.559999999998</v>
      </c>
      <c r="P731" s="1">
        <v>4</v>
      </c>
      <c r="Q731" s="10" t="s">
        <v>40</v>
      </c>
      <c r="R731" s="14" t="str" cm="1">
        <f t="array" ref="R731">_xlfn.IFS(C731&lt;18,"Under 18",C731&lt;36,"18-35",C731&lt;51,"36-50",C731&lt;66,"51-65",C731&gt;=66,"66+")</f>
        <v>66+</v>
      </c>
      <c r="S731" s="18">
        <v>45778</v>
      </c>
    </row>
    <row r="732" spans="1:19">
      <c r="A732" s="21" t="s">
        <v>1337</v>
      </c>
      <c r="B732" s="1" t="s">
        <v>830</v>
      </c>
      <c r="C732" s="1">
        <v>41</v>
      </c>
      <c r="D732" s="1" t="s">
        <v>27</v>
      </c>
      <c r="E732" s="1" t="s">
        <v>66</v>
      </c>
      <c r="F732" s="1" t="s">
        <v>21</v>
      </c>
      <c r="G732" s="1" t="s">
        <v>132</v>
      </c>
      <c r="H732" s="1" t="s">
        <v>69</v>
      </c>
      <c r="I732" s="1" t="s">
        <v>24</v>
      </c>
      <c r="J732" s="2">
        <v>45775</v>
      </c>
      <c r="K732" s="2">
        <v>45752</v>
      </c>
      <c r="L732" s="1">
        <v>6</v>
      </c>
      <c r="M732" s="1" t="s">
        <v>56</v>
      </c>
      <c r="N732" s="1" t="s">
        <v>82</v>
      </c>
      <c r="O732" s="4">
        <v>61047.77</v>
      </c>
      <c r="P732" s="1">
        <v>4</v>
      </c>
      <c r="Q732" s="10" t="s">
        <v>58</v>
      </c>
      <c r="R732" s="14" t="str" cm="1">
        <f t="array" ref="R732">_xlfn.IFS(C732&lt;18,"Under 18",C732&lt;36,"18-35",C732&lt;51,"36-50",C732&lt;66,"51-65",C732&gt;=66,"66+")</f>
        <v>36-50</v>
      </c>
      <c r="S732" s="18">
        <v>45748</v>
      </c>
    </row>
    <row r="733" spans="1:19">
      <c r="A733" s="21" t="s">
        <v>1338</v>
      </c>
      <c r="B733" s="1" t="s">
        <v>693</v>
      </c>
      <c r="C733" s="1">
        <v>84</v>
      </c>
      <c r="D733" s="1" t="s">
        <v>27</v>
      </c>
      <c r="E733" s="1" t="s">
        <v>159</v>
      </c>
      <c r="F733" s="1" t="s">
        <v>120</v>
      </c>
      <c r="G733" s="1" t="s">
        <v>104</v>
      </c>
      <c r="H733" s="1" t="s">
        <v>105</v>
      </c>
      <c r="I733" s="1" t="s">
        <v>62</v>
      </c>
      <c r="J733" s="2">
        <v>45691</v>
      </c>
      <c r="K733" s="2">
        <v>45750</v>
      </c>
      <c r="L733" s="1">
        <v>2</v>
      </c>
      <c r="M733" s="1" t="s">
        <v>27</v>
      </c>
      <c r="N733" s="1" t="s">
        <v>57</v>
      </c>
      <c r="O733" s="4">
        <v>39067.75</v>
      </c>
      <c r="P733" s="1">
        <v>3</v>
      </c>
      <c r="Q733" s="10" t="s">
        <v>58</v>
      </c>
      <c r="R733" s="14" t="str" cm="1">
        <f t="array" ref="R733">_xlfn.IFS(C733&lt;18,"Under 18",C733&lt;36,"18-35",C733&lt;51,"36-50",C733&lt;66,"51-65",C733&gt;=66,"66+")</f>
        <v>66+</v>
      </c>
      <c r="S733" s="18">
        <v>45689</v>
      </c>
    </row>
    <row r="734" spans="1:19">
      <c r="A734" s="21" t="s">
        <v>1339</v>
      </c>
      <c r="B734" s="1" t="s">
        <v>688</v>
      </c>
      <c r="C734" s="1">
        <v>1</v>
      </c>
      <c r="D734" s="1" t="s">
        <v>43</v>
      </c>
      <c r="E734" s="1" t="s">
        <v>117</v>
      </c>
      <c r="F734" s="1" t="s">
        <v>120</v>
      </c>
      <c r="G734" s="1" t="s">
        <v>104</v>
      </c>
      <c r="H734" s="1" t="s">
        <v>105</v>
      </c>
      <c r="I734" s="1" t="s">
        <v>36</v>
      </c>
      <c r="J734" s="2">
        <v>45348</v>
      </c>
      <c r="K734" s="2">
        <v>45351</v>
      </c>
      <c r="L734" s="1">
        <v>3</v>
      </c>
      <c r="M734" s="1" t="s">
        <v>38</v>
      </c>
      <c r="N734" s="1" t="s">
        <v>57</v>
      </c>
      <c r="O734" s="4">
        <v>13422.01</v>
      </c>
      <c r="P734" s="1">
        <v>5</v>
      </c>
      <c r="Q734" s="10" t="s">
        <v>58</v>
      </c>
      <c r="R734" s="14" t="str" cm="1">
        <f t="array" ref="R734">_xlfn.IFS(C734&lt;18,"Under 18",C734&lt;36,"18-35",C734&lt;51,"36-50",C734&lt;66,"51-65",C734&gt;=66,"66+")</f>
        <v>Under 18</v>
      </c>
      <c r="S734" s="18">
        <v>45323</v>
      </c>
    </row>
    <row r="735" spans="1:19">
      <c r="A735" s="21" t="s">
        <v>1340</v>
      </c>
      <c r="B735" s="1" t="s">
        <v>656</v>
      </c>
      <c r="C735" s="1">
        <v>42</v>
      </c>
      <c r="D735" s="1" t="s">
        <v>27</v>
      </c>
      <c r="E735" s="1" t="s">
        <v>44</v>
      </c>
      <c r="F735" s="1" t="s">
        <v>33</v>
      </c>
      <c r="G735" s="1" t="s">
        <v>104</v>
      </c>
      <c r="H735" s="1" t="s">
        <v>105</v>
      </c>
      <c r="I735" s="1" t="s">
        <v>36</v>
      </c>
      <c r="J735" s="2">
        <v>45865</v>
      </c>
      <c r="K735" s="2">
        <v>45867</v>
      </c>
      <c r="L735" s="1">
        <v>2</v>
      </c>
      <c r="M735" s="1" t="s">
        <v>97</v>
      </c>
      <c r="N735" s="1" t="s">
        <v>63</v>
      </c>
      <c r="O735" s="4">
        <v>19798.919999999998</v>
      </c>
      <c r="P735" s="1">
        <v>3</v>
      </c>
      <c r="Q735" s="10" t="s">
        <v>58</v>
      </c>
      <c r="R735" s="14" t="str" cm="1">
        <f t="array" ref="R735">_xlfn.IFS(C735&lt;18,"Under 18",C735&lt;36,"18-35",C735&lt;51,"36-50",C735&lt;66,"51-65",C735&gt;=66,"66+")</f>
        <v>36-50</v>
      </c>
      <c r="S735" s="18">
        <v>45839</v>
      </c>
    </row>
    <row r="736" spans="1:19">
      <c r="A736" s="21" t="s">
        <v>1342</v>
      </c>
      <c r="B736" s="1" t="s">
        <v>613</v>
      </c>
      <c r="C736" s="1">
        <v>32</v>
      </c>
      <c r="D736" s="1" t="s">
        <v>43</v>
      </c>
      <c r="E736" s="1" t="s">
        <v>32</v>
      </c>
      <c r="F736" s="1" t="s">
        <v>120</v>
      </c>
      <c r="G736" s="1" t="s">
        <v>53</v>
      </c>
      <c r="H736" s="1" t="s">
        <v>105</v>
      </c>
      <c r="I736" s="1" t="s">
        <v>24</v>
      </c>
      <c r="J736" s="2">
        <v>45913</v>
      </c>
      <c r="K736" s="2">
        <v>45916</v>
      </c>
      <c r="L736" s="1">
        <v>3</v>
      </c>
      <c r="M736" s="1" t="s">
        <v>97</v>
      </c>
      <c r="N736" s="1" t="s">
        <v>39</v>
      </c>
      <c r="O736" s="4">
        <v>81734.61</v>
      </c>
      <c r="P736" s="1">
        <v>3</v>
      </c>
      <c r="Q736" s="10" t="s">
        <v>29</v>
      </c>
      <c r="R736" s="14" t="str" cm="1">
        <f t="array" ref="R736">_xlfn.IFS(C736&lt;18,"Under 18",C736&lt;36,"18-35",C736&lt;51,"36-50",C736&lt;66,"51-65",C736&gt;=66,"66+")</f>
        <v>18-35</v>
      </c>
      <c r="S736" s="18">
        <v>45901</v>
      </c>
    </row>
    <row r="737" spans="1:19">
      <c r="A737" s="21" t="s">
        <v>1343</v>
      </c>
      <c r="B737" s="1" t="s">
        <v>179</v>
      </c>
      <c r="C737" s="1">
        <v>20</v>
      </c>
      <c r="D737" s="1" t="s">
        <v>27</v>
      </c>
      <c r="E737" s="1" t="s">
        <v>202</v>
      </c>
      <c r="F737" s="1" t="s">
        <v>21</v>
      </c>
      <c r="G737" s="1" t="s">
        <v>132</v>
      </c>
      <c r="H737" s="1" t="s">
        <v>88</v>
      </c>
      <c r="I737" s="1" t="s">
        <v>36</v>
      </c>
      <c r="J737" s="2">
        <v>45333</v>
      </c>
      <c r="K737" s="2">
        <v>45393</v>
      </c>
      <c r="L737" s="1">
        <v>2</v>
      </c>
      <c r="M737" s="1" t="s">
        <v>38</v>
      </c>
      <c r="N737" s="1" t="s">
        <v>39</v>
      </c>
      <c r="O737" s="4">
        <v>53809.52</v>
      </c>
      <c r="P737" s="1">
        <v>5</v>
      </c>
      <c r="Q737" s="10" t="s">
        <v>40</v>
      </c>
      <c r="R737" s="14" t="str" cm="1">
        <f t="array" ref="R737">_xlfn.IFS(C737&lt;18,"Under 18",C737&lt;36,"18-35",C737&lt;51,"36-50",C737&lt;66,"51-65",C737&gt;=66,"66+")</f>
        <v>18-35</v>
      </c>
      <c r="S737" s="18">
        <v>45323</v>
      </c>
    </row>
    <row r="738" spans="1:19">
      <c r="A738" s="21" t="s">
        <v>1344</v>
      </c>
      <c r="B738" s="1" t="s">
        <v>259</v>
      </c>
      <c r="C738" s="1">
        <v>58</v>
      </c>
      <c r="D738" s="1" t="s">
        <v>27</v>
      </c>
      <c r="E738" s="1" t="s">
        <v>66</v>
      </c>
      <c r="F738" s="1" t="s">
        <v>75</v>
      </c>
      <c r="G738" s="1" t="s">
        <v>53</v>
      </c>
      <c r="H738" s="1" t="s">
        <v>88</v>
      </c>
      <c r="I738" s="1" t="s">
        <v>24</v>
      </c>
      <c r="J738" s="2">
        <v>45481</v>
      </c>
      <c r="K738" s="2">
        <v>45543</v>
      </c>
      <c r="L738" s="1">
        <v>2</v>
      </c>
      <c r="M738" s="1" t="s">
        <v>97</v>
      </c>
      <c r="N738" s="1" t="s">
        <v>57</v>
      </c>
      <c r="O738" s="4">
        <v>55022.57</v>
      </c>
      <c r="P738" s="1">
        <v>3</v>
      </c>
      <c r="Q738" s="10" t="s">
        <v>58</v>
      </c>
      <c r="R738" s="14" t="str" cm="1">
        <f t="array" ref="R738">_xlfn.IFS(C738&lt;18,"Under 18",C738&lt;36,"18-35",C738&lt;51,"36-50",C738&lt;66,"51-65",C738&gt;=66,"66+")</f>
        <v>51-65</v>
      </c>
      <c r="S738" s="18">
        <v>45474</v>
      </c>
    </row>
    <row r="739" spans="1:19">
      <c r="A739" s="21" t="s">
        <v>1345</v>
      </c>
      <c r="B739" s="1" t="s">
        <v>393</v>
      </c>
      <c r="C739" s="1">
        <v>63</v>
      </c>
      <c r="D739" s="1" t="s">
        <v>19</v>
      </c>
      <c r="E739" s="1" t="s">
        <v>32</v>
      </c>
      <c r="F739" s="1" t="s">
        <v>52</v>
      </c>
      <c r="G739" s="1" t="s">
        <v>34</v>
      </c>
      <c r="H739" s="1" t="s">
        <v>23</v>
      </c>
      <c r="I739" s="1" t="s">
        <v>36</v>
      </c>
      <c r="J739" s="2">
        <v>45833</v>
      </c>
      <c r="K739" s="2">
        <v>45834</v>
      </c>
      <c r="L739" s="1">
        <v>1</v>
      </c>
      <c r="M739" s="1" t="s">
        <v>27</v>
      </c>
      <c r="N739" s="1" t="s">
        <v>28</v>
      </c>
      <c r="O739" s="4">
        <v>113175.44</v>
      </c>
      <c r="P739" s="1">
        <v>4</v>
      </c>
      <c r="Q739" s="10" t="s">
        <v>72</v>
      </c>
      <c r="R739" s="14" t="str" cm="1">
        <f t="array" ref="R739">_xlfn.IFS(C739&lt;18,"Under 18",C739&lt;36,"18-35",C739&lt;51,"36-50",C739&lt;66,"51-65",C739&gt;=66,"66+")</f>
        <v>51-65</v>
      </c>
      <c r="S739" s="18">
        <v>45809</v>
      </c>
    </row>
    <row r="740" spans="1:19">
      <c r="A740" s="21" t="s">
        <v>1346</v>
      </c>
      <c r="B740" s="1" t="s">
        <v>920</v>
      </c>
      <c r="C740" s="1">
        <v>69</v>
      </c>
      <c r="D740" s="1" t="s">
        <v>19</v>
      </c>
      <c r="E740" s="1" t="s">
        <v>159</v>
      </c>
      <c r="F740" s="1" t="s">
        <v>52</v>
      </c>
      <c r="G740" s="1" t="s">
        <v>132</v>
      </c>
      <c r="H740" s="1" t="s">
        <v>45</v>
      </c>
      <c r="I740" s="1" t="s">
        <v>36</v>
      </c>
      <c r="J740" s="2">
        <v>45906</v>
      </c>
      <c r="K740" s="2">
        <v>45822</v>
      </c>
      <c r="L740" s="1">
        <v>5</v>
      </c>
      <c r="M740" s="1" t="s">
        <v>38</v>
      </c>
      <c r="N740" s="1" t="s">
        <v>28</v>
      </c>
      <c r="O740" s="4">
        <v>67999.42</v>
      </c>
      <c r="P740" s="1">
        <v>4</v>
      </c>
      <c r="Q740" s="10" t="s">
        <v>29</v>
      </c>
      <c r="R740" s="14" t="str" cm="1">
        <f t="array" ref="R740">_xlfn.IFS(C740&lt;18,"Under 18",C740&lt;36,"18-35",C740&lt;51,"36-50",C740&lt;66,"51-65",C740&gt;=66,"66+")</f>
        <v>66+</v>
      </c>
      <c r="S740" s="18">
        <v>45901</v>
      </c>
    </row>
    <row r="741" spans="1:19">
      <c r="A741" s="21" t="s">
        <v>1347</v>
      </c>
      <c r="B741" s="1" t="s">
        <v>229</v>
      </c>
      <c r="C741" s="1">
        <v>83</v>
      </c>
      <c r="D741" s="1" t="s">
        <v>27</v>
      </c>
      <c r="E741" s="1" t="s">
        <v>202</v>
      </c>
      <c r="F741" s="1" t="s">
        <v>75</v>
      </c>
      <c r="G741" s="1" t="s">
        <v>36</v>
      </c>
      <c r="H741" s="1" t="s">
        <v>99</v>
      </c>
      <c r="I741" s="1" t="s">
        <v>36</v>
      </c>
      <c r="J741" s="2">
        <v>45639</v>
      </c>
      <c r="K741" s="2">
        <v>45643</v>
      </c>
      <c r="L741" s="1">
        <v>4</v>
      </c>
      <c r="M741" s="1" t="s">
        <v>38</v>
      </c>
      <c r="N741" s="1" t="s">
        <v>57</v>
      </c>
      <c r="O741" s="4">
        <v>41307.019999999997</v>
      </c>
      <c r="P741" s="1">
        <v>3</v>
      </c>
      <c r="Q741" s="10" t="s">
        <v>29</v>
      </c>
      <c r="R741" s="14" t="str" cm="1">
        <f t="array" ref="R741">_xlfn.IFS(C741&lt;18,"Under 18",C741&lt;36,"18-35",C741&lt;51,"36-50",C741&lt;66,"51-65",C741&gt;=66,"66+")</f>
        <v>66+</v>
      </c>
      <c r="S741" s="18">
        <v>45627</v>
      </c>
    </row>
    <row r="742" spans="1:19">
      <c r="A742" s="21" t="s">
        <v>1348</v>
      </c>
      <c r="B742" s="1" t="s">
        <v>453</v>
      </c>
      <c r="C742" s="1">
        <v>34</v>
      </c>
      <c r="D742" s="1" t="s">
        <v>19</v>
      </c>
      <c r="E742" s="1" t="s">
        <v>20</v>
      </c>
      <c r="F742" s="1" t="s">
        <v>21</v>
      </c>
      <c r="G742" s="1" t="s">
        <v>132</v>
      </c>
      <c r="H742" s="1" t="s">
        <v>69</v>
      </c>
      <c r="I742" s="1" t="s">
        <v>36</v>
      </c>
      <c r="J742" s="2">
        <v>45890</v>
      </c>
      <c r="K742" s="2">
        <v>45898</v>
      </c>
      <c r="L742" s="1">
        <v>8</v>
      </c>
      <c r="M742" s="1" t="s">
        <v>38</v>
      </c>
      <c r="N742" s="1" t="s">
        <v>85</v>
      </c>
      <c r="O742" s="4">
        <v>99438.78</v>
      </c>
      <c r="P742" s="1">
        <v>5</v>
      </c>
      <c r="Q742" s="10" t="s">
        <v>72</v>
      </c>
      <c r="R742" s="14" t="str" cm="1">
        <f t="array" ref="R742">_xlfn.IFS(C742&lt;18,"Under 18",C742&lt;36,"18-35",C742&lt;51,"36-50",C742&lt;66,"51-65",C742&gt;=66,"66+")</f>
        <v>18-35</v>
      </c>
      <c r="S742" s="18">
        <v>45870</v>
      </c>
    </row>
    <row r="743" spans="1:19">
      <c r="A743" s="21" t="s">
        <v>1349</v>
      </c>
      <c r="B743" s="1" t="s">
        <v>745</v>
      </c>
      <c r="C743" s="1">
        <v>4</v>
      </c>
      <c r="D743" s="1" t="s">
        <v>27</v>
      </c>
      <c r="E743" s="1" t="s">
        <v>117</v>
      </c>
      <c r="F743" s="1" t="s">
        <v>21</v>
      </c>
      <c r="G743" s="1" t="s">
        <v>22</v>
      </c>
      <c r="H743" s="1" t="s">
        <v>88</v>
      </c>
      <c r="I743" s="1" t="s">
        <v>62</v>
      </c>
      <c r="J743" s="2">
        <v>45878</v>
      </c>
      <c r="K743" s="2">
        <v>45916</v>
      </c>
      <c r="L743" s="1">
        <v>8</v>
      </c>
      <c r="M743" s="1" t="s">
        <v>38</v>
      </c>
      <c r="N743" s="1" t="s">
        <v>85</v>
      </c>
      <c r="O743" s="4">
        <v>94438.24</v>
      </c>
      <c r="P743" s="1">
        <v>5</v>
      </c>
      <c r="Q743" s="10" t="s">
        <v>29</v>
      </c>
      <c r="R743" s="14" t="str" cm="1">
        <f t="array" ref="R743">_xlfn.IFS(C743&lt;18,"Under 18",C743&lt;36,"18-35",C743&lt;51,"36-50",C743&lt;66,"51-65",C743&gt;=66,"66+")</f>
        <v>Under 18</v>
      </c>
      <c r="S743" s="18">
        <v>45870</v>
      </c>
    </row>
    <row r="744" spans="1:19">
      <c r="A744" s="21" t="s">
        <v>1350</v>
      </c>
      <c r="B744" s="1" t="s">
        <v>486</v>
      </c>
      <c r="C744" s="1">
        <v>46</v>
      </c>
      <c r="D744" s="1" t="s">
        <v>19</v>
      </c>
      <c r="E744" s="1" t="s">
        <v>159</v>
      </c>
      <c r="F744" s="1" t="s">
        <v>33</v>
      </c>
      <c r="G744" s="1" t="s">
        <v>34</v>
      </c>
      <c r="H744" s="1" t="s">
        <v>93</v>
      </c>
      <c r="I744" s="1" t="s">
        <v>36</v>
      </c>
      <c r="J744" s="2">
        <v>45432</v>
      </c>
      <c r="K744" s="2">
        <v>45433</v>
      </c>
      <c r="L744" s="1">
        <v>1</v>
      </c>
      <c r="M744" s="1" t="s">
        <v>56</v>
      </c>
      <c r="N744" s="1" t="s">
        <v>39</v>
      </c>
      <c r="O744" s="4">
        <v>148307.18</v>
      </c>
      <c r="P744" s="1">
        <v>3</v>
      </c>
      <c r="Q744" s="10" t="s">
        <v>58</v>
      </c>
      <c r="R744" s="14" t="str" cm="1">
        <f t="array" ref="R744">_xlfn.IFS(C744&lt;18,"Under 18",C744&lt;36,"18-35",C744&lt;51,"36-50",C744&lt;66,"51-65",C744&gt;=66,"66+")</f>
        <v>36-50</v>
      </c>
      <c r="S744" s="18">
        <v>45413</v>
      </c>
    </row>
    <row r="745" spans="1:19">
      <c r="A745" s="21" t="s">
        <v>1352</v>
      </c>
      <c r="B745" s="1" t="s">
        <v>519</v>
      </c>
      <c r="C745" s="1">
        <v>76</v>
      </c>
      <c r="D745" s="1" t="s">
        <v>19</v>
      </c>
      <c r="E745" s="1" t="s">
        <v>247</v>
      </c>
      <c r="F745" s="1" t="s">
        <v>33</v>
      </c>
      <c r="G745" s="1" t="s">
        <v>22</v>
      </c>
      <c r="H745" s="1" t="s">
        <v>35</v>
      </c>
      <c r="I745" s="1" t="s">
        <v>36</v>
      </c>
      <c r="J745" s="2">
        <v>45416</v>
      </c>
      <c r="K745" s="2">
        <v>45539</v>
      </c>
      <c r="L745" s="1">
        <v>4</v>
      </c>
      <c r="M745" s="1" t="s">
        <v>56</v>
      </c>
      <c r="N745" s="1" t="s">
        <v>28</v>
      </c>
      <c r="O745" s="4">
        <v>67232.259999999995</v>
      </c>
      <c r="P745" s="1">
        <v>3</v>
      </c>
      <c r="Q745" s="10" t="s">
        <v>40</v>
      </c>
      <c r="R745" s="14" t="str" cm="1">
        <f t="array" ref="R745">_xlfn.IFS(C745&lt;18,"Under 18",C745&lt;36,"18-35",C745&lt;51,"36-50",C745&lt;66,"51-65",C745&gt;=66,"66+")</f>
        <v>66+</v>
      </c>
      <c r="S745" s="18">
        <v>45413</v>
      </c>
    </row>
    <row r="746" spans="1:19">
      <c r="A746" s="21" t="s">
        <v>1353</v>
      </c>
      <c r="B746" s="1" t="s">
        <v>766</v>
      </c>
      <c r="C746" s="1">
        <v>62</v>
      </c>
      <c r="D746" s="1" t="s">
        <v>43</v>
      </c>
      <c r="E746" s="1" t="s">
        <v>117</v>
      </c>
      <c r="F746" s="1" t="s">
        <v>21</v>
      </c>
      <c r="G746" s="1" t="s">
        <v>22</v>
      </c>
      <c r="H746" s="1" t="s">
        <v>88</v>
      </c>
      <c r="I746" s="1" t="s">
        <v>24</v>
      </c>
      <c r="J746" s="2">
        <v>45753</v>
      </c>
      <c r="K746" s="2">
        <v>45844</v>
      </c>
      <c r="L746" s="1">
        <v>3</v>
      </c>
      <c r="M746" s="1" t="s">
        <v>48</v>
      </c>
      <c r="N746" s="1" t="s">
        <v>63</v>
      </c>
      <c r="O746" s="4">
        <v>38308.65</v>
      </c>
      <c r="P746" s="1">
        <v>3</v>
      </c>
      <c r="Q746" s="10" t="s">
        <v>58</v>
      </c>
      <c r="R746" s="14" t="str" cm="1">
        <f t="array" ref="R746">_xlfn.IFS(C746&lt;18,"Under 18",C746&lt;36,"18-35",C746&lt;51,"36-50",C746&lt;66,"51-65",C746&gt;=66,"66+")</f>
        <v>51-65</v>
      </c>
      <c r="S746" s="18">
        <v>45748</v>
      </c>
    </row>
    <row r="747" spans="1:19">
      <c r="A747" s="21" t="s">
        <v>1354</v>
      </c>
      <c r="B747" s="1" t="s">
        <v>169</v>
      </c>
      <c r="C747" s="1">
        <v>61</v>
      </c>
      <c r="D747" s="1" t="s">
        <v>19</v>
      </c>
      <c r="E747" s="1" t="s">
        <v>202</v>
      </c>
      <c r="F747" s="1" t="s">
        <v>75</v>
      </c>
      <c r="G747" s="1" t="s">
        <v>110</v>
      </c>
      <c r="H747" s="1" t="s">
        <v>61</v>
      </c>
      <c r="I747" s="1" t="s">
        <v>24</v>
      </c>
      <c r="J747" s="2">
        <v>45514</v>
      </c>
      <c r="K747" s="2">
        <v>45579</v>
      </c>
      <c r="L747" s="1">
        <v>6</v>
      </c>
      <c r="M747" s="1" t="s">
        <v>56</v>
      </c>
      <c r="N747" s="1" t="s">
        <v>39</v>
      </c>
      <c r="O747" s="4">
        <v>30144.82</v>
      </c>
      <c r="P747" s="1">
        <v>4</v>
      </c>
      <c r="Q747" s="10" t="s">
        <v>40</v>
      </c>
      <c r="R747" s="14" t="str" cm="1">
        <f t="array" ref="R747">_xlfn.IFS(C747&lt;18,"Under 18",C747&lt;36,"18-35",C747&lt;51,"36-50",C747&lt;66,"51-65",C747&gt;=66,"66+")</f>
        <v>51-65</v>
      </c>
      <c r="S747" s="18">
        <v>45505</v>
      </c>
    </row>
    <row r="748" spans="1:19">
      <c r="A748" s="21" t="s">
        <v>1355</v>
      </c>
      <c r="B748" s="1" t="s">
        <v>361</v>
      </c>
      <c r="C748" s="1">
        <v>48</v>
      </c>
      <c r="D748" s="1" t="s">
        <v>27</v>
      </c>
      <c r="E748" s="1" t="s">
        <v>20</v>
      </c>
      <c r="F748" s="1" t="s">
        <v>120</v>
      </c>
      <c r="G748" s="1" t="s">
        <v>110</v>
      </c>
      <c r="H748" s="1" t="s">
        <v>35</v>
      </c>
      <c r="I748" s="1" t="s">
        <v>62</v>
      </c>
      <c r="J748" s="2">
        <v>45716</v>
      </c>
      <c r="K748" s="2">
        <v>45719</v>
      </c>
      <c r="L748" s="1">
        <v>3</v>
      </c>
      <c r="M748" s="1" t="s">
        <v>38</v>
      </c>
      <c r="N748" s="1" t="s">
        <v>39</v>
      </c>
      <c r="O748" s="4">
        <v>78554.47</v>
      </c>
      <c r="P748" s="1">
        <v>5</v>
      </c>
      <c r="Q748" s="10" t="s">
        <v>40</v>
      </c>
      <c r="R748" s="14" t="str" cm="1">
        <f t="array" ref="R748">_xlfn.IFS(C748&lt;18,"Under 18",C748&lt;36,"18-35",C748&lt;51,"36-50",C748&lt;66,"51-65",C748&gt;=66,"66+")</f>
        <v>36-50</v>
      </c>
      <c r="S748" s="18">
        <v>45689</v>
      </c>
    </row>
    <row r="749" spans="1:19">
      <c r="A749" s="21" t="s">
        <v>1356</v>
      </c>
      <c r="B749" s="1" t="s">
        <v>223</v>
      </c>
      <c r="C749" s="1">
        <v>80</v>
      </c>
      <c r="D749" s="1" t="s">
        <v>43</v>
      </c>
      <c r="E749" s="1" t="s">
        <v>66</v>
      </c>
      <c r="F749" s="1" t="s">
        <v>75</v>
      </c>
      <c r="G749" s="1" t="s">
        <v>34</v>
      </c>
      <c r="H749" s="1" t="s">
        <v>35</v>
      </c>
      <c r="I749" s="1" t="s">
        <v>36</v>
      </c>
      <c r="J749" s="2">
        <v>45321</v>
      </c>
      <c r="K749" s="2">
        <v>45324</v>
      </c>
      <c r="L749" s="1">
        <v>3</v>
      </c>
      <c r="M749" s="1" t="s">
        <v>38</v>
      </c>
      <c r="N749" s="1" t="s">
        <v>85</v>
      </c>
      <c r="O749" s="4">
        <v>97722.52</v>
      </c>
      <c r="P749" s="1">
        <v>4</v>
      </c>
      <c r="Q749" s="10" t="s">
        <v>72</v>
      </c>
      <c r="R749" s="14" t="str" cm="1">
        <f t="array" ref="R749">_xlfn.IFS(C749&lt;18,"Under 18",C749&lt;36,"18-35",C749&lt;51,"36-50",C749&lt;66,"51-65",C749&gt;=66,"66+")</f>
        <v>66+</v>
      </c>
      <c r="S749" s="18">
        <v>45292</v>
      </c>
    </row>
    <row r="750" spans="1:19">
      <c r="A750" s="21" t="s">
        <v>1357</v>
      </c>
      <c r="B750" s="1" t="s">
        <v>324</v>
      </c>
      <c r="C750" s="1">
        <v>54</v>
      </c>
      <c r="D750" s="1" t="s">
        <v>19</v>
      </c>
      <c r="E750" s="1" t="s">
        <v>159</v>
      </c>
      <c r="F750" s="1" t="s">
        <v>33</v>
      </c>
      <c r="G750" s="1" t="s">
        <v>104</v>
      </c>
      <c r="H750" s="1" t="s">
        <v>35</v>
      </c>
      <c r="I750" s="1" t="s">
        <v>62</v>
      </c>
      <c r="J750" s="2">
        <v>45407</v>
      </c>
      <c r="K750" s="2">
        <v>45411</v>
      </c>
      <c r="L750" s="1">
        <v>4</v>
      </c>
      <c r="M750" s="1" t="s">
        <v>56</v>
      </c>
      <c r="N750" s="1" t="s">
        <v>82</v>
      </c>
      <c r="O750" s="4">
        <v>74554.84</v>
      </c>
      <c r="P750" s="1">
        <v>5</v>
      </c>
      <c r="Q750" s="10" t="s">
        <v>40</v>
      </c>
      <c r="R750" s="14" t="str" cm="1">
        <f t="array" ref="R750">_xlfn.IFS(C750&lt;18,"Under 18",C750&lt;36,"18-35",C750&lt;51,"36-50",C750&lt;66,"51-65",C750&gt;=66,"66+")</f>
        <v>51-65</v>
      </c>
      <c r="S750" s="18">
        <v>45383</v>
      </c>
    </row>
    <row r="751" spans="1:19">
      <c r="A751" s="21" t="s">
        <v>1358</v>
      </c>
      <c r="B751" s="1" t="s">
        <v>1359</v>
      </c>
      <c r="C751" s="1">
        <v>79</v>
      </c>
      <c r="D751" s="1" t="s">
        <v>27</v>
      </c>
      <c r="E751" s="1" t="s">
        <v>32</v>
      </c>
      <c r="F751" s="1" t="s">
        <v>52</v>
      </c>
      <c r="G751" s="1" t="s">
        <v>132</v>
      </c>
      <c r="H751" s="1" t="s">
        <v>35</v>
      </c>
      <c r="I751" s="1" t="s">
        <v>36</v>
      </c>
      <c r="J751" s="2">
        <v>45508</v>
      </c>
      <c r="K751" s="2">
        <v>45630</v>
      </c>
      <c r="L751" s="1">
        <v>4</v>
      </c>
      <c r="M751" s="1" t="s">
        <v>97</v>
      </c>
      <c r="N751" s="1" t="s">
        <v>82</v>
      </c>
      <c r="O751" s="4">
        <v>28009.71</v>
      </c>
      <c r="P751" s="1">
        <v>3</v>
      </c>
      <c r="Q751" s="10" t="s">
        <v>72</v>
      </c>
      <c r="R751" s="14" t="str" cm="1">
        <f t="array" ref="R751">_xlfn.IFS(C751&lt;18,"Under 18",C751&lt;36,"18-35",C751&lt;51,"36-50",C751&lt;66,"51-65",C751&gt;=66,"66+")</f>
        <v>66+</v>
      </c>
      <c r="S751" s="18">
        <v>45505</v>
      </c>
    </row>
    <row r="752" spans="1:19">
      <c r="A752" s="21" t="s">
        <v>1360</v>
      </c>
      <c r="B752" s="1" t="s">
        <v>735</v>
      </c>
      <c r="C752" s="1">
        <v>32</v>
      </c>
      <c r="D752" s="1" t="s">
        <v>19</v>
      </c>
      <c r="E752" s="1" t="s">
        <v>247</v>
      </c>
      <c r="F752" s="1" t="s">
        <v>33</v>
      </c>
      <c r="G752" s="1" t="s">
        <v>104</v>
      </c>
      <c r="H752" s="1" t="s">
        <v>69</v>
      </c>
      <c r="I752" s="1" t="s">
        <v>62</v>
      </c>
      <c r="J752" s="2">
        <v>45548</v>
      </c>
      <c r="K752" s="2">
        <v>45555</v>
      </c>
      <c r="L752" s="1">
        <v>7</v>
      </c>
      <c r="M752" s="1" t="s">
        <v>56</v>
      </c>
      <c r="N752" s="1" t="s">
        <v>90</v>
      </c>
      <c r="O752" s="4">
        <v>49953.94</v>
      </c>
      <c r="P752" s="1">
        <v>4</v>
      </c>
      <c r="Q752" s="10" t="s">
        <v>72</v>
      </c>
      <c r="R752" s="14" t="str" cm="1">
        <f t="array" ref="R752">_xlfn.IFS(C752&lt;18,"Under 18",C752&lt;36,"18-35",C752&lt;51,"36-50",C752&lt;66,"51-65",C752&gt;=66,"66+")</f>
        <v>18-35</v>
      </c>
      <c r="S752" s="18">
        <v>45536</v>
      </c>
    </row>
    <row r="753" spans="1:19">
      <c r="A753" s="21" t="s">
        <v>1361</v>
      </c>
      <c r="B753" s="1" t="s">
        <v>670</v>
      </c>
      <c r="C753" s="1">
        <v>50</v>
      </c>
      <c r="D753" s="1" t="s">
        <v>27</v>
      </c>
      <c r="E753" s="1" t="s">
        <v>247</v>
      </c>
      <c r="F753" s="1" t="s">
        <v>21</v>
      </c>
      <c r="G753" s="1" t="s">
        <v>132</v>
      </c>
      <c r="H753" s="1" t="s">
        <v>35</v>
      </c>
      <c r="I753" s="1" t="s">
        <v>24</v>
      </c>
      <c r="J753" s="2">
        <v>45341</v>
      </c>
      <c r="K753" s="2">
        <v>45346</v>
      </c>
      <c r="L753" s="1">
        <v>5</v>
      </c>
      <c r="M753" s="1" t="s">
        <v>27</v>
      </c>
      <c r="N753" s="1" t="s">
        <v>57</v>
      </c>
      <c r="O753" s="4">
        <v>40963.74</v>
      </c>
      <c r="P753" s="1">
        <v>1</v>
      </c>
      <c r="Q753" s="10" t="s">
        <v>58</v>
      </c>
      <c r="R753" s="14" t="str" cm="1">
        <f t="array" ref="R753">_xlfn.IFS(C753&lt;18,"Under 18",C753&lt;36,"18-35",C753&lt;51,"36-50",C753&lt;66,"51-65",C753&gt;=66,"66+")</f>
        <v>36-50</v>
      </c>
      <c r="S753" s="18">
        <v>45323</v>
      </c>
    </row>
    <row r="754" spans="1:19">
      <c r="A754" s="21" t="s">
        <v>1362</v>
      </c>
      <c r="B754" s="1" t="s">
        <v>699</v>
      </c>
      <c r="C754" s="1">
        <v>28</v>
      </c>
      <c r="D754" s="1" t="s">
        <v>43</v>
      </c>
      <c r="E754" s="1" t="s">
        <v>247</v>
      </c>
      <c r="F754" s="1" t="s">
        <v>33</v>
      </c>
      <c r="G754" s="1" t="s">
        <v>68</v>
      </c>
      <c r="H754" s="1" t="s">
        <v>23</v>
      </c>
      <c r="I754" s="1" t="s">
        <v>24</v>
      </c>
      <c r="J754" s="2">
        <v>45928</v>
      </c>
      <c r="K754" s="2">
        <v>45698</v>
      </c>
      <c r="L754" s="1">
        <v>4</v>
      </c>
      <c r="M754" s="1" t="s">
        <v>97</v>
      </c>
      <c r="N754" s="1" t="s">
        <v>63</v>
      </c>
      <c r="O754" s="4">
        <v>79443.649999999994</v>
      </c>
      <c r="P754" s="1">
        <v>4</v>
      </c>
      <c r="Q754" s="10" t="s">
        <v>72</v>
      </c>
      <c r="R754" s="14" t="str" cm="1">
        <f t="array" ref="R754">_xlfn.IFS(C754&lt;18,"Under 18",C754&lt;36,"18-35",C754&lt;51,"36-50",C754&lt;66,"51-65",C754&gt;=66,"66+")</f>
        <v>18-35</v>
      </c>
      <c r="S754" s="18">
        <v>45901</v>
      </c>
    </row>
    <row r="755" spans="1:19">
      <c r="A755" s="21" t="s">
        <v>1363</v>
      </c>
      <c r="B755" s="1" t="s">
        <v>264</v>
      </c>
      <c r="C755" s="1">
        <v>86</v>
      </c>
      <c r="D755" s="1" t="s">
        <v>43</v>
      </c>
      <c r="E755" s="1" t="s">
        <v>51</v>
      </c>
      <c r="F755" s="1" t="s">
        <v>52</v>
      </c>
      <c r="G755" s="1" t="s">
        <v>34</v>
      </c>
      <c r="H755" s="1" t="s">
        <v>23</v>
      </c>
      <c r="I755" s="1" t="s">
        <v>62</v>
      </c>
      <c r="J755" s="2">
        <v>45823</v>
      </c>
      <c r="K755" s="2">
        <v>45824</v>
      </c>
      <c r="L755" s="1">
        <v>1</v>
      </c>
      <c r="M755" s="1" t="s">
        <v>56</v>
      </c>
      <c r="N755" s="1" t="s">
        <v>39</v>
      </c>
      <c r="O755" s="4">
        <v>29794.13</v>
      </c>
      <c r="P755" s="1">
        <v>4</v>
      </c>
      <c r="Q755" s="10" t="s">
        <v>40</v>
      </c>
      <c r="R755" s="14" t="str" cm="1">
        <f t="array" ref="R755">_xlfn.IFS(C755&lt;18,"Under 18",C755&lt;36,"18-35",C755&lt;51,"36-50",C755&lt;66,"51-65",C755&gt;=66,"66+")</f>
        <v>66+</v>
      </c>
      <c r="S755" s="18">
        <v>45809</v>
      </c>
    </row>
    <row r="756" spans="1:19">
      <c r="A756" s="21" t="s">
        <v>1364</v>
      </c>
      <c r="B756" s="1" t="s">
        <v>524</v>
      </c>
      <c r="C756" s="1">
        <v>40</v>
      </c>
      <c r="D756" s="1" t="s">
        <v>43</v>
      </c>
      <c r="E756" s="1" t="s">
        <v>247</v>
      </c>
      <c r="F756" s="1" t="s">
        <v>67</v>
      </c>
      <c r="G756" s="1" t="s">
        <v>132</v>
      </c>
      <c r="H756" s="1" t="s">
        <v>35</v>
      </c>
      <c r="I756" s="1" t="s">
        <v>24</v>
      </c>
      <c r="J756" s="2">
        <v>45738</v>
      </c>
      <c r="K756" s="2">
        <v>45741</v>
      </c>
      <c r="L756" s="1">
        <v>3</v>
      </c>
      <c r="M756" s="1" t="s">
        <v>56</v>
      </c>
      <c r="N756" s="1" t="s">
        <v>90</v>
      </c>
      <c r="O756" s="4">
        <v>73320.94</v>
      </c>
      <c r="P756" s="1">
        <v>3</v>
      </c>
      <c r="Q756" s="10" t="s">
        <v>72</v>
      </c>
      <c r="R756" s="14" t="str" cm="1">
        <f t="array" ref="R756">_xlfn.IFS(C756&lt;18,"Under 18",C756&lt;36,"18-35",C756&lt;51,"36-50",C756&lt;66,"51-65",C756&gt;=66,"66+")</f>
        <v>36-50</v>
      </c>
      <c r="S756" s="18">
        <v>45717</v>
      </c>
    </row>
    <row r="757" spans="1:19">
      <c r="A757" s="21" t="s">
        <v>1365</v>
      </c>
      <c r="B757" s="1" t="s">
        <v>529</v>
      </c>
      <c r="C757" s="1">
        <v>69</v>
      </c>
      <c r="D757" s="1" t="s">
        <v>43</v>
      </c>
      <c r="E757" s="1" t="s">
        <v>66</v>
      </c>
      <c r="F757" s="1" t="s">
        <v>67</v>
      </c>
      <c r="G757" s="1" t="s">
        <v>110</v>
      </c>
      <c r="H757" s="1" t="s">
        <v>88</v>
      </c>
      <c r="I757" s="1" t="s">
        <v>24</v>
      </c>
      <c r="J757" s="2">
        <v>45815</v>
      </c>
      <c r="K757" s="2">
        <v>45998</v>
      </c>
      <c r="L757" s="1">
        <v>6</v>
      </c>
      <c r="M757" s="1" t="s">
        <v>97</v>
      </c>
      <c r="N757" s="1" t="s">
        <v>39</v>
      </c>
      <c r="O757" s="4">
        <v>42751.21</v>
      </c>
      <c r="P757" s="1">
        <v>4</v>
      </c>
      <c r="Q757" s="10" t="s">
        <v>29</v>
      </c>
      <c r="R757" s="14" t="str" cm="1">
        <f t="array" ref="R757">_xlfn.IFS(C757&lt;18,"Under 18",C757&lt;36,"18-35",C757&lt;51,"36-50",C757&lt;66,"51-65",C757&gt;=66,"66+")</f>
        <v>66+</v>
      </c>
      <c r="S757" s="18">
        <v>45809</v>
      </c>
    </row>
    <row r="758" spans="1:19">
      <c r="A758" s="21" t="s">
        <v>1366</v>
      </c>
      <c r="B758" s="1" t="s">
        <v>396</v>
      </c>
      <c r="C758" s="1">
        <v>36</v>
      </c>
      <c r="D758" s="1" t="s">
        <v>19</v>
      </c>
      <c r="E758" s="1" t="s">
        <v>32</v>
      </c>
      <c r="F758" s="1" t="s">
        <v>120</v>
      </c>
      <c r="G758" s="1" t="s">
        <v>36</v>
      </c>
      <c r="H758" s="1" t="s">
        <v>93</v>
      </c>
      <c r="I758" s="1" t="s">
        <v>24</v>
      </c>
      <c r="J758" s="2">
        <v>45702</v>
      </c>
      <c r="K758" s="2">
        <v>45705</v>
      </c>
      <c r="L758" s="1">
        <v>3</v>
      </c>
      <c r="M758" s="1" t="s">
        <v>27</v>
      </c>
      <c r="N758" s="1" t="s">
        <v>63</v>
      </c>
      <c r="O758" s="4">
        <v>46164.3</v>
      </c>
      <c r="P758" s="1">
        <v>3</v>
      </c>
      <c r="Q758" s="10" t="s">
        <v>40</v>
      </c>
      <c r="R758" s="14" t="str" cm="1">
        <f t="array" ref="R758">_xlfn.IFS(C758&lt;18,"Under 18",C758&lt;36,"18-35",C758&lt;51,"36-50",C758&lt;66,"51-65",C758&gt;=66,"66+")</f>
        <v>36-50</v>
      </c>
      <c r="S758" s="18">
        <v>45689</v>
      </c>
    </row>
    <row r="759" spans="1:19">
      <c r="A759" s="21" t="s">
        <v>1368</v>
      </c>
      <c r="B759" s="1" t="s">
        <v>204</v>
      </c>
      <c r="C759" s="1">
        <v>27</v>
      </c>
      <c r="D759" s="1" t="s">
        <v>27</v>
      </c>
      <c r="E759" s="1" t="s">
        <v>20</v>
      </c>
      <c r="F759" s="1" t="s">
        <v>120</v>
      </c>
      <c r="G759" s="1" t="s">
        <v>110</v>
      </c>
      <c r="H759" s="1" t="s">
        <v>61</v>
      </c>
      <c r="I759" s="1" t="s">
        <v>36</v>
      </c>
      <c r="J759" s="2">
        <v>45919</v>
      </c>
      <c r="K759" s="2">
        <v>45922</v>
      </c>
      <c r="L759" s="1">
        <v>3</v>
      </c>
      <c r="M759" s="1" t="s">
        <v>56</v>
      </c>
      <c r="N759" s="1" t="s">
        <v>82</v>
      </c>
      <c r="O759" s="4">
        <v>54492.84</v>
      </c>
      <c r="P759" s="1">
        <v>4</v>
      </c>
      <c r="Q759" s="10" t="s">
        <v>29</v>
      </c>
      <c r="R759" s="14" t="str" cm="1">
        <f t="array" ref="R759">_xlfn.IFS(C759&lt;18,"Under 18",C759&lt;36,"18-35",C759&lt;51,"36-50",C759&lt;66,"51-65",C759&gt;=66,"66+")</f>
        <v>18-35</v>
      </c>
      <c r="S759" s="18">
        <v>45901</v>
      </c>
    </row>
    <row r="760" spans="1:19">
      <c r="A760" s="21" t="s">
        <v>1370</v>
      </c>
      <c r="B760" s="1" t="s">
        <v>403</v>
      </c>
      <c r="C760" s="1">
        <v>52</v>
      </c>
      <c r="D760" s="1" t="s">
        <v>19</v>
      </c>
      <c r="E760" s="1" t="s">
        <v>44</v>
      </c>
      <c r="F760" s="1" t="s">
        <v>33</v>
      </c>
      <c r="G760" s="1" t="s">
        <v>68</v>
      </c>
      <c r="H760" s="1" t="s">
        <v>88</v>
      </c>
      <c r="I760" s="1" t="s">
        <v>36</v>
      </c>
      <c r="J760" s="2">
        <v>45891</v>
      </c>
      <c r="K760" s="2">
        <v>45892</v>
      </c>
      <c r="L760" s="1">
        <v>1</v>
      </c>
      <c r="M760" s="1" t="s">
        <v>97</v>
      </c>
      <c r="N760" s="1" t="s">
        <v>82</v>
      </c>
      <c r="O760" s="4">
        <v>12786.14</v>
      </c>
      <c r="P760" s="1">
        <v>2</v>
      </c>
      <c r="Q760" s="10" t="s">
        <v>72</v>
      </c>
      <c r="R760" s="14" t="str" cm="1">
        <f t="array" ref="R760">_xlfn.IFS(C760&lt;18,"Under 18",C760&lt;36,"18-35",C760&lt;51,"36-50",C760&lt;66,"51-65",C760&gt;=66,"66+")</f>
        <v>51-65</v>
      </c>
      <c r="S760" s="18">
        <v>45870</v>
      </c>
    </row>
    <row r="761" spans="1:19">
      <c r="A761" s="21" t="s">
        <v>1372</v>
      </c>
      <c r="B761" s="1" t="s">
        <v>780</v>
      </c>
      <c r="C761" s="1">
        <v>70</v>
      </c>
      <c r="D761" s="1" t="s">
        <v>27</v>
      </c>
      <c r="E761" s="1" t="s">
        <v>159</v>
      </c>
      <c r="F761" s="1" t="s">
        <v>33</v>
      </c>
      <c r="G761" s="1" t="s">
        <v>53</v>
      </c>
      <c r="H761" s="1" t="s">
        <v>105</v>
      </c>
      <c r="I761" s="1" t="s">
        <v>24</v>
      </c>
      <c r="J761" s="2">
        <v>45916</v>
      </c>
      <c r="K761" s="2">
        <v>45917</v>
      </c>
      <c r="L761" s="1">
        <v>1</v>
      </c>
      <c r="M761" s="1" t="s">
        <v>56</v>
      </c>
      <c r="N761" s="1" t="s">
        <v>63</v>
      </c>
      <c r="O761" s="4">
        <v>100573.5</v>
      </c>
      <c r="P761" s="1">
        <v>5</v>
      </c>
      <c r="Q761" s="10" t="s">
        <v>58</v>
      </c>
      <c r="R761" s="14" t="str" cm="1">
        <f t="array" ref="R761">_xlfn.IFS(C761&lt;18,"Under 18",C761&lt;36,"18-35",C761&lt;51,"36-50",C761&lt;66,"51-65",C761&gt;=66,"66+")</f>
        <v>66+</v>
      </c>
      <c r="S761" s="18">
        <v>45901</v>
      </c>
    </row>
    <row r="762" spans="1:19">
      <c r="A762" s="21" t="s">
        <v>1373</v>
      </c>
      <c r="B762" s="1" t="s">
        <v>494</v>
      </c>
      <c r="C762" s="1">
        <v>38</v>
      </c>
      <c r="D762" s="1" t="s">
        <v>19</v>
      </c>
      <c r="E762" s="1" t="s">
        <v>202</v>
      </c>
      <c r="F762" s="1" t="s">
        <v>52</v>
      </c>
      <c r="G762" s="1" t="s">
        <v>53</v>
      </c>
      <c r="H762" s="1" t="s">
        <v>61</v>
      </c>
      <c r="I762" s="1" t="s">
        <v>36</v>
      </c>
      <c r="J762" s="2">
        <v>45827</v>
      </c>
      <c r="K762" s="2">
        <v>45828</v>
      </c>
      <c r="L762" s="1">
        <v>1</v>
      </c>
      <c r="M762" s="1" t="s">
        <v>38</v>
      </c>
      <c r="N762" s="1" t="s">
        <v>39</v>
      </c>
      <c r="O762" s="4">
        <v>135714.81</v>
      </c>
      <c r="P762" s="1">
        <v>5</v>
      </c>
      <c r="Q762" s="10" t="s">
        <v>40</v>
      </c>
      <c r="R762" s="14" t="str" cm="1">
        <f t="array" ref="R762">_xlfn.IFS(C762&lt;18,"Under 18",C762&lt;36,"18-35",C762&lt;51,"36-50",C762&lt;66,"51-65",C762&gt;=66,"66+")</f>
        <v>36-50</v>
      </c>
      <c r="S762" s="18">
        <v>45809</v>
      </c>
    </row>
    <row r="763" spans="1:19">
      <c r="A763" s="21" t="s">
        <v>1374</v>
      </c>
      <c r="B763" s="1" t="s">
        <v>92</v>
      </c>
      <c r="C763" s="1">
        <v>33</v>
      </c>
      <c r="D763" s="1" t="s">
        <v>27</v>
      </c>
      <c r="E763" s="1" t="s">
        <v>20</v>
      </c>
      <c r="F763" s="1" t="s">
        <v>67</v>
      </c>
      <c r="G763" s="1" t="s">
        <v>53</v>
      </c>
      <c r="H763" s="1" t="s">
        <v>45</v>
      </c>
      <c r="I763" s="1" t="s">
        <v>62</v>
      </c>
      <c r="J763" s="2">
        <v>45753</v>
      </c>
      <c r="K763" s="2">
        <v>45844</v>
      </c>
      <c r="L763" s="1">
        <v>3</v>
      </c>
      <c r="M763" s="1" t="s">
        <v>38</v>
      </c>
      <c r="N763" s="1" t="s">
        <v>28</v>
      </c>
      <c r="O763" s="4">
        <v>23839.35</v>
      </c>
      <c r="P763" s="1">
        <v>4</v>
      </c>
      <c r="Q763" s="10" t="s">
        <v>58</v>
      </c>
      <c r="R763" s="14" t="str" cm="1">
        <f t="array" ref="R763">_xlfn.IFS(C763&lt;18,"Under 18",C763&lt;36,"18-35",C763&lt;51,"36-50",C763&lt;66,"51-65",C763&gt;=66,"66+")</f>
        <v>18-35</v>
      </c>
      <c r="S763" s="18">
        <v>45748</v>
      </c>
    </row>
    <row r="764" spans="1:19">
      <c r="A764" s="21" t="s">
        <v>1375</v>
      </c>
      <c r="B764" s="1" t="s">
        <v>264</v>
      </c>
      <c r="C764" s="1">
        <v>72</v>
      </c>
      <c r="D764" s="1" t="s">
        <v>27</v>
      </c>
      <c r="E764" s="1" t="s">
        <v>32</v>
      </c>
      <c r="F764" s="1" t="s">
        <v>21</v>
      </c>
      <c r="G764" s="1" t="s">
        <v>36</v>
      </c>
      <c r="H764" s="1" t="s">
        <v>99</v>
      </c>
      <c r="I764" s="1" t="s">
        <v>62</v>
      </c>
      <c r="J764" s="2">
        <v>45696</v>
      </c>
      <c r="K764" s="2">
        <v>45846</v>
      </c>
      <c r="L764" s="1">
        <v>5</v>
      </c>
      <c r="M764" s="1" t="s">
        <v>27</v>
      </c>
      <c r="N764" s="1" t="s">
        <v>63</v>
      </c>
      <c r="O764" s="4">
        <v>55921.35</v>
      </c>
      <c r="P764" s="1">
        <v>4</v>
      </c>
      <c r="Q764" s="10" t="s">
        <v>58</v>
      </c>
      <c r="R764" s="14" t="str" cm="1">
        <f t="array" ref="R764">_xlfn.IFS(C764&lt;18,"Under 18",C764&lt;36,"18-35",C764&lt;51,"36-50",C764&lt;66,"51-65",C764&gt;=66,"66+")</f>
        <v>66+</v>
      </c>
      <c r="S764" s="18">
        <v>45689</v>
      </c>
    </row>
    <row r="765" spans="1:19">
      <c r="A765" s="21" t="s">
        <v>1376</v>
      </c>
      <c r="B765" s="1" t="s">
        <v>412</v>
      </c>
      <c r="C765" s="1">
        <v>51</v>
      </c>
      <c r="D765" s="1" t="s">
        <v>27</v>
      </c>
      <c r="E765" s="1" t="s">
        <v>202</v>
      </c>
      <c r="F765" s="1" t="s">
        <v>21</v>
      </c>
      <c r="G765" s="1" t="s">
        <v>104</v>
      </c>
      <c r="H765" s="1" t="s">
        <v>69</v>
      </c>
      <c r="I765" s="1" t="s">
        <v>24</v>
      </c>
      <c r="J765" s="2">
        <v>45567</v>
      </c>
      <c r="K765" s="2">
        <v>45338</v>
      </c>
      <c r="L765" s="1">
        <v>6</v>
      </c>
      <c r="M765" s="1" t="s">
        <v>56</v>
      </c>
      <c r="N765" s="1" t="s">
        <v>28</v>
      </c>
      <c r="O765" s="4">
        <v>75029.02</v>
      </c>
      <c r="P765" s="1">
        <v>1</v>
      </c>
      <c r="Q765" s="10" t="s">
        <v>40</v>
      </c>
      <c r="R765" s="14" t="str" cm="1">
        <f t="array" ref="R765">_xlfn.IFS(C765&lt;18,"Under 18",C765&lt;36,"18-35",C765&lt;51,"36-50",C765&lt;66,"51-65",C765&gt;=66,"66+")</f>
        <v>51-65</v>
      </c>
      <c r="S765" s="18">
        <v>45566</v>
      </c>
    </row>
    <row r="766" spans="1:19">
      <c r="A766" s="21" t="s">
        <v>1377</v>
      </c>
      <c r="B766" s="1" t="s">
        <v>712</v>
      </c>
      <c r="C766" s="1">
        <v>13</v>
      </c>
      <c r="D766" s="1" t="s">
        <v>43</v>
      </c>
      <c r="E766" s="1" t="s">
        <v>159</v>
      </c>
      <c r="F766" s="1" t="s">
        <v>75</v>
      </c>
      <c r="G766" s="1" t="s">
        <v>68</v>
      </c>
      <c r="H766" s="1" t="s">
        <v>88</v>
      </c>
      <c r="I766" s="1" t="s">
        <v>62</v>
      </c>
      <c r="J766" s="2">
        <v>45714</v>
      </c>
      <c r="K766" s="2">
        <v>45780</v>
      </c>
      <c r="L766" s="1">
        <v>7</v>
      </c>
      <c r="M766" s="1" t="s">
        <v>97</v>
      </c>
      <c r="N766" s="1" t="s">
        <v>63</v>
      </c>
      <c r="O766" s="4">
        <v>71740.899999999994</v>
      </c>
      <c r="P766" s="1">
        <v>4</v>
      </c>
      <c r="Q766" s="10" t="s">
        <v>40</v>
      </c>
      <c r="R766" s="14" t="str" cm="1">
        <f t="array" ref="R766">_xlfn.IFS(C766&lt;18,"Under 18",C766&lt;36,"18-35",C766&lt;51,"36-50",C766&lt;66,"51-65",C766&gt;=66,"66+")</f>
        <v>Under 18</v>
      </c>
      <c r="S766" s="18">
        <v>45689</v>
      </c>
    </row>
    <row r="767" spans="1:19">
      <c r="A767" s="21" t="s">
        <v>1378</v>
      </c>
      <c r="B767" s="1" t="s">
        <v>529</v>
      </c>
      <c r="C767" s="1">
        <v>21</v>
      </c>
      <c r="D767" s="1" t="s">
        <v>19</v>
      </c>
      <c r="E767" s="1" t="s">
        <v>247</v>
      </c>
      <c r="F767" s="1" t="s">
        <v>120</v>
      </c>
      <c r="G767" s="1" t="s">
        <v>53</v>
      </c>
      <c r="H767" s="1" t="s">
        <v>35</v>
      </c>
      <c r="I767" s="1" t="s">
        <v>36</v>
      </c>
      <c r="J767" s="2">
        <v>45863</v>
      </c>
      <c r="K767" s="2">
        <v>45869</v>
      </c>
      <c r="L767" s="1">
        <v>6</v>
      </c>
      <c r="M767" s="1" t="s">
        <v>48</v>
      </c>
      <c r="N767" s="1" t="s">
        <v>63</v>
      </c>
      <c r="O767" s="4">
        <v>145191.48000000001</v>
      </c>
      <c r="P767" s="1">
        <v>4</v>
      </c>
      <c r="Q767" s="10" t="s">
        <v>58</v>
      </c>
      <c r="R767" s="14" t="str" cm="1">
        <f t="array" ref="R767">_xlfn.IFS(C767&lt;18,"Under 18",C767&lt;36,"18-35",C767&lt;51,"36-50",C767&lt;66,"51-65",C767&gt;=66,"66+")</f>
        <v>18-35</v>
      </c>
      <c r="S767" s="18">
        <v>45839</v>
      </c>
    </row>
    <row r="768" spans="1:19">
      <c r="A768" s="21" t="s">
        <v>1380</v>
      </c>
      <c r="B768" s="1" t="s">
        <v>499</v>
      </c>
      <c r="C768" s="1">
        <v>41</v>
      </c>
      <c r="D768" s="1" t="s">
        <v>27</v>
      </c>
      <c r="E768" s="1" t="s">
        <v>66</v>
      </c>
      <c r="F768" s="1" t="s">
        <v>120</v>
      </c>
      <c r="G768" s="1" t="s">
        <v>68</v>
      </c>
      <c r="H768" s="1" t="s">
        <v>93</v>
      </c>
      <c r="I768" s="1" t="s">
        <v>36</v>
      </c>
      <c r="J768" s="2">
        <v>45801</v>
      </c>
      <c r="K768" s="2">
        <v>45802</v>
      </c>
      <c r="L768" s="1">
        <v>1</v>
      </c>
      <c r="M768" s="1" t="s">
        <v>48</v>
      </c>
      <c r="N768" s="1" t="s">
        <v>85</v>
      </c>
      <c r="O768" s="4">
        <v>37593.360000000001</v>
      </c>
      <c r="P768" s="1">
        <v>5</v>
      </c>
      <c r="Q768" s="10" t="s">
        <v>40</v>
      </c>
      <c r="R768" s="14" t="str" cm="1">
        <f t="array" ref="R768">_xlfn.IFS(C768&lt;18,"Under 18",C768&lt;36,"18-35",C768&lt;51,"36-50",C768&lt;66,"51-65",C768&gt;=66,"66+")</f>
        <v>36-50</v>
      </c>
      <c r="S768" s="18">
        <v>45778</v>
      </c>
    </row>
    <row r="769" spans="1:19">
      <c r="A769" s="21" t="s">
        <v>1381</v>
      </c>
      <c r="B769" s="1" t="s">
        <v>229</v>
      </c>
      <c r="C769" s="1">
        <v>65</v>
      </c>
      <c r="D769" s="1" t="s">
        <v>27</v>
      </c>
      <c r="E769" s="1" t="s">
        <v>117</v>
      </c>
      <c r="F769" s="1" t="s">
        <v>21</v>
      </c>
      <c r="G769" s="1" t="s">
        <v>110</v>
      </c>
      <c r="H769" s="1" t="s">
        <v>76</v>
      </c>
      <c r="I769" s="1" t="s">
        <v>24</v>
      </c>
      <c r="J769" s="2">
        <v>45949</v>
      </c>
      <c r="K769" s="2">
        <v>45951</v>
      </c>
      <c r="L769" s="1">
        <v>2</v>
      </c>
      <c r="M769" s="1" t="s">
        <v>38</v>
      </c>
      <c r="N769" s="1" t="s">
        <v>90</v>
      </c>
      <c r="O769" s="4">
        <v>72483.679999999993</v>
      </c>
      <c r="P769" s="1">
        <v>2</v>
      </c>
      <c r="Q769" s="10" t="s">
        <v>40</v>
      </c>
      <c r="R769" s="14" t="str" cm="1">
        <f t="array" ref="R769">_xlfn.IFS(C769&lt;18,"Under 18",C769&lt;36,"18-35",C769&lt;51,"36-50",C769&lt;66,"51-65",C769&gt;=66,"66+")</f>
        <v>51-65</v>
      </c>
      <c r="S769" s="18">
        <v>45931</v>
      </c>
    </row>
    <row r="770" spans="1:19">
      <c r="A770" s="21" t="s">
        <v>1382</v>
      </c>
      <c r="B770" s="1" t="s">
        <v>816</v>
      </c>
      <c r="C770" s="1">
        <v>51</v>
      </c>
      <c r="D770" s="1" t="s">
        <v>19</v>
      </c>
      <c r="E770" s="1" t="s">
        <v>202</v>
      </c>
      <c r="F770" s="1" t="s">
        <v>21</v>
      </c>
      <c r="G770" s="1" t="s">
        <v>68</v>
      </c>
      <c r="H770" s="1" t="s">
        <v>69</v>
      </c>
      <c r="I770" s="1" t="s">
        <v>24</v>
      </c>
      <c r="J770" s="2">
        <v>45686</v>
      </c>
      <c r="K770" s="2">
        <v>45902</v>
      </c>
      <c r="L770" s="1">
        <v>11</v>
      </c>
      <c r="M770" s="1" t="s">
        <v>56</v>
      </c>
      <c r="N770" s="1" t="s">
        <v>63</v>
      </c>
      <c r="O770" s="4">
        <v>67022.240000000005</v>
      </c>
      <c r="P770" s="1">
        <v>2</v>
      </c>
      <c r="Q770" s="10" t="s">
        <v>40</v>
      </c>
      <c r="R770" s="14" t="str" cm="1">
        <f t="array" ref="R770">_xlfn.IFS(C770&lt;18,"Under 18",C770&lt;36,"18-35",C770&lt;51,"36-50",C770&lt;66,"51-65",C770&gt;=66,"66+")</f>
        <v>51-65</v>
      </c>
      <c r="S770" s="18">
        <v>45658</v>
      </c>
    </row>
    <row r="771" spans="1:19">
      <c r="A771" s="21" t="s">
        <v>1383</v>
      </c>
      <c r="B771" s="1" t="s">
        <v>361</v>
      </c>
      <c r="C771" s="1">
        <v>4</v>
      </c>
      <c r="D771" s="1" t="s">
        <v>43</v>
      </c>
      <c r="E771" s="1" t="s">
        <v>159</v>
      </c>
      <c r="F771" s="1" t="s">
        <v>33</v>
      </c>
      <c r="G771" s="1" t="s">
        <v>132</v>
      </c>
      <c r="H771" s="1" t="s">
        <v>35</v>
      </c>
      <c r="I771" s="1" t="s">
        <v>24</v>
      </c>
      <c r="J771" s="2">
        <v>45521</v>
      </c>
      <c r="K771" s="2">
        <v>45523</v>
      </c>
      <c r="L771" s="1">
        <v>2</v>
      </c>
      <c r="M771" s="1" t="s">
        <v>27</v>
      </c>
      <c r="N771" s="1" t="s">
        <v>90</v>
      </c>
      <c r="O771" s="4">
        <v>12906.54</v>
      </c>
      <c r="P771" s="1">
        <v>3</v>
      </c>
      <c r="Q771" s="10" t="s">
        <v>29</v>
      </c>
      <c r="R771" s="14" t="str" cm="1">
        <f t="array" ref="R771">_xlfn.IFS(C771&lt;18,"Under 18",C771&lt;36,"18-35",C771&lt;51,"36-50",C771&lt;66,"51-65",C771&gt;=66,"66+")</f>
        <v>Under 18</v>
      </c>
      <c r="S771" s="18">
        <v>45505</v>
      </c>
    </row>
    <row r="772" spans="1:19">
      <c r="A772" s="21" t="s">
        <v>1384</v>
      </c>
      <c r="B772" s="1" t="s">
        <v>114</v>
      </c>
      <c r="C772" s="1">
        <v>53</v>
      </c>
      <c r="D772" s="1" t="s">
        <v>19</v>
      </c>
      <c r="E772" s="1" t="s">
        <v>247</v>
      </c>
      <c r="F772" s="1" t="s">
        <v>120</v>
      </c>
      <c r="G772" s="1" t="s">
        <v>36</v>
      </c>
      <c r="H772" s="1" t="s">
        <v>105</v>
      </c>
      <c r="I772" s="1" t="s">
        <v>36</v>
      </c>
      <c r="J772" s="2">
        <v>45823</v>
      </c>
      <c r="K772" s="2">
        <v>45826</v>
      </c>
      <c r="L772" s="1">
        <v>3</v>
      </c>
      <c r="M772" s="1" t="s">
        <v>38</v>
      </c>
      <c r="N772" s="1" t="s">
        <v>90</v>
      </c>
      <c r="O772" s="4">
        <v>63592.45</v>
      </c>
      <c r="P772" s="1">
        <v>5</v>
      </c>
      <c r="Q772" s="10" t="s">
        <v>40</v>
      </c>
      <c r="R772" s="14" t="str" cm="1">
        <f t="array" ref="R772">_xlfn.IFS(C772&lt;18,"Under 18",C772&lt;36,"18-35",C772&lt;51,"36-50",C772&lt;66,"51-65",C772&gt;=66,"66+")</f>
        <v>51-65</v>
      </c>
      <c r="S772" s="18">
        <v>45809</v>
      </c>
    </row>
    <row r="773" spans="1:19">
      <c r="A773" s="21" t="s">
        <v>1385</v>
      </c>
      <c r="B773" s="1" t="s">
        <v>212</v>
      </c>
      <c r="C773" s="1">
        <v>10</v>
      </c>
      <c r="D773" s="1" t="s">
        <v>27</v>
      </c>
      <c r="E773" s="1" t="s">
        <v>51</v>
      </c>
      <c r="F773" s="1" t="s">
        <v>120</v>
      </c>
      <c r="G773" s="1" t="s">
        <v>132</v>
      </c>
      <c r="H773" s="1" t="s">
        <v>23</v>
      </c>
      <c r="I773" s="1" t="s">
        <v>36</v>
      </c>
      <c r="J773" s="2">
        <v>45429</v>
      </c>
      <c r="K773" s="2">
        <v>45440</v>
      </c>
      <c r="L773" s="1">
        <v>11</v>
      </c>
      <c r="M773" s="1" t="s">
        <v>27</v>
      </c>
      <c r="N773" s="1" t="s">
        <v>85</v>
      </c>
      <c r="O773" s="4">
        <v>67829.960000000006</v>
      </c>
      <c r="P773" s="1">
        <v>2</v>
      </c>
      <c r="Q773" s="10" t="s">
        <v>40</v>
      </c>
      <c r="R773" s="14" t="str" cm="1">
        <f t="array" ref="R773">_xlfn.IFS(C773&lt;18,"Under 18",C773&lt;36,"18-35",C773&lt;51,"36-50",C773&lt;66,"51-65",C773&gt;=66,"66+")</f>
        <v>Under 18</v>
      </c>
      <c r="S773" s="18">
        <v>45413</v>
      </c>
    </row>
    <row r="774" spans="1:19">
      <c r="A774" s="21" t="s">
        <v>1386</v>
      </c>
      <c r="B774" s="1" t="s">
        <v>909</v>
      </c>
      <c r="C774" s="1">
        <v>90</v>
      </c>
      <c r="D774" s="1" t="s">
        <v>27</v>
      </c>
      <c r="E774" s="1" t="s">
        <v>51</v>
      </c>
      <c r="F774" s="1" t="s">
        <v>33</v>
      </c>
      <c r="G774" s="1" t="s">
        <v>34</v>
      </c>
      <c r="H774" s="1" t="s">
        <v>93</v>
      </c>
      <c r="I774" s="1" t="s">
        <v>24</v>
      </c>
      <c r="J774" s="2">
        <v>45859</v>
      </c>
      <c r="K774" s="2">
        <v>45863</v>
      </c>
      <c r="L774" s="1">
        <v>4</v>
      </c>
      <c r="M774" s="1" t="s">
        <v>48</v>
      </c>
      <c r="N774" s="1" t="s">
        <v>82</v>
      </c>
      <c r="O774" s="4">
        <v>94187.65</v>
      </c>
      <c r="P774" s="1">
        <v>4</v>
      </c>
      <c r="Q774" s="10" t="s">
        <v>58</v>
      </c>
      <c r="R774" s="14" t="str" cm="1">
        <f t="array" ref="R774">_xlfn.IFS(C774&lt;18,"Under 18",C774&lt;36,"18-35",C774&lt;51,"36-50",C774&lt;66,"51-65",C774&gt;=66,"66+")</f>
        <v>66+</v>
      </c>
      <c r="S774" s="18">
        <v>45839</v>
      </c>
    </row>
    <row r="775" spans="1:19">
      <c r="A775" s="21" t="s">
        <v>1387</v>
      </c>
      <c r="B775" s="1" t="s">
        <v>280</v>
      </c>
      <c r="C775" s="1">
        <v>19</v>
      </c>
      <c r="D775" s="1" t="s">
        <v>19</v>
      </c>
      <c r="E775" s="1" t="s">
        <v>20</v>
      </c>
      <c r="F775" s="1" t="s">
        <v>52</v>
      </c>
      <c r="G775" s="1" t="s">
        <v>68</v>
      </c>
      <c r="H775" s="1" t="s">
        <v>99</v>
      </c>
      <c r="I775" s="1" t="s">
        <v>62</v>
      </c>
      <c r="J775" s="2">
        <v>45990</v>
      </c>
      <c r="K775" s="2">
        <v>45991</v>
      </c>
      <c r="L775" s="1">
        <v>1</v>
      </c>
      <c r="M775" s="1" t="s">
        <v>38</v>
      </c>
      <c r="N775" s="1" t="s">
        <v>90</v>
      </c>
      <c r="O775" s="4">
        <v>64093.69</v>
      </c>
      <c r="P775" s="1">
        <v>4</v>
      </c>
      <c r="Q775" s="10" t="s">
        <v>40</v>
      </c>
      <c r="R775" s="14" t="str" cm="1">
        <f t="array" ref="R775">_xlfn.IFS(C775&lt;18,"Under 18",C775&lt;36,"18-35",C775&lt;51,"36-50",C775&lt;66,"51-65",C775&gt;=66,"66+")</f>
        <v>18-35</v>
      </c>
      <c r="S775" s="18">
        <v>45962</v>
      </c>
    </row>
    <row r="776" spans="1:19">
      <c r="A776" s="21" t="s">
        <v>1388</v>
      </c>
      <c r="B776" s="1" t="s">
        <v>521</v>
      </c>
      <c r="C776" s="1">
        <v>43</v>
      </c>
      <c r="D776" s="1" t="s">
        <v>19</v>
      </c>
      <c r="E776" s="1" t="s">
        <v>32</v>
      </c>
      <c r="F776" s="1" t="s">
        <v>67</v>
      </c>
      <c r="G776" s="1" t="s">
        <v>53</v>
      </c>
      <c r="H776" s="1" t="s">
        <v>99</v>
      </c>
      <c r="I776" s="1" t="s">
        <v>36</v>
      </c>
      <c r="J776" s="2">
        <v>45816</v>
      </c>
      <c r="K776" s="2">
        <v>45938</v>
      </c>
      <c r="L776" s="1">
        <v>4</v>
      </c>
      <c r="M776" s="1" t="s">
        <v>27</v>
      </c>
      <c r="N776" s="1" t="s">
        <v>57</v>
      </c>
      <c r="O776" s="4">
        <v>103400.8</v>
      </c>
      <c r="P776" s="1">
        <v>5</v>
      </c>
      <c r="Q776" s="10" t="s">
        <v>29</v>
      </c>
      <c r="R776" s="14" t="str" cm="1">
        <f t="array" ref="R776">_xlfn.IFS(C776&lt;18,"Under 18",C776&lt;36,"18-35",C776&lt;51,"36-50",C776&lt;66,"51-65",C776&gt;=66,"66+")</f>
        <v>36-50</v>
      </c>
      <c r="S776" s="18">
        <v>45809</v>
      </c>
    </row>
    <row r="777" spans="1:19">
      <c r="A777" s="21" t="s">
        <v>1389</v>
      </c>
      <c r="B777" s="1" t="s">
        <v>494</v>
      </c>
      <c r="C777" s="1">
        <v>25</v>
      </c>
      <c r="D777" s="1" t="s">
        <v>19</v>
      </c>
      <c r="E777" s="1" t="s">
        <v>159</v>
      </c>
      <c r="F777" s="1" t="s">
        <v>21</v>
      </c>
      <c r="G777" s="1" t="s">
        <v>36</v>
      </c>
      <c r="H777" s="1" t="s">
        <v>69</v>
      </c>
      <c r="I777" s="1" t="s">
        <v>62</v>
      </c>
      <c r="J777" s="2">
        <v>45847</v>
      </c>
      <c r="K777" s="2">
        <v>45939</v>
      </c>
      <c r="L777" s="1">
        <v>3</v>
      </c>
      <c r="M777" s="1" t="s">
        <v>56</v>
      </c>
      <c r="N777" s="1" t="s">
        <v>28</v>
      </c>
      <c r="O777" s="4">
        <v>63167.79</v>
      </c>
      <c r="P777" s="1">
        <v>4</v>
      </c>
      <c r="Q777" s="10" t="s">
        <v>40</v>
      </c>
      <c r="R777" s="14" t="str" cm="1">
        <f t="array" ref="R777">_xlfn.IFS(C777&lt;18,"Under 18",C777&lt;36,"18-35",C777&lt;51,"36-50",C777&lt;66,"51-65",C777&gt;=66,"66+")</f>
        <v>18-35</v>
      </c>
      <c r="S777" s="18">
        <v>45839</v>
      </c>
    </row>
    <row r="778" spans="1:19">
      <c r="A778" s="21" t="s">
        <v>1390</v>
      </c>
      <c r="B778" s="1" t="s">
        <v>656</v>
      </c>
      <c r="C778" s="1">
        <v>46</v>
      </c>
      <c r="D778" s="1" t="s">
        <v>19</v>
      </c>
      <c r="E778" s="1" t="s">
        <v>32</v>
      </c>
      <c r="F778" s="1" t="s">
        <v>67</v>
      </c>
      <c r="G778" s="1" t="s">
        <v>132</v>
      </c>
      <c r="H778" s="1" t="s">
        <v>88</v>
      </c>
      <c r="I778" s="1" t="s">
        <v>62</v>
      </c>
      <c r="J778" s="2">
        <v>46016</v>
      </c>
      <c r="K778" s="2">
        <v>46017</v>
      </c>
      <c r="L778" s="1">
        <v>1</v>
      </c>
      <c r="M778" s="1" t="s">
        <v>48</v>
      </c>
      <c r="N778" s="1" t="s">
        <v>90</v>
      </c>
      <c r="O778" s="4">
        <v>83951.43</v>
      </c>
      <c r="P778" s="1">
        <v>4</v>
      </c>
      <c r="Q778" s="10" t="s">
        <v>72</v>
      </c>
      <c r="R778" s="14" t="str" cm="1">
        <f t="array" ref="R778">_xlfn.IFS(C778&lt;18,"Under 18",C778&lt;36,"18-35",C778&lt;51,"36-50",C778&lt;66,"51-65",C778&gt;=66,"66+")</f>
        <v>36-50</v>
      </c>
      <c r="S778" s="18">
        <v>45992</v>
      </c>
    </row>
    <row r="779" spans="1:19">
      <c r="A779" s="21" t="s">
        <v>1392</v>
      </c>
      <c r="B779" s="1" t="s">
        <v>570</v>
      </c>
      <c r="C779" s="1">
        <v>72</v>
      </c>
      <c r="D779" s="1" t="s">
        <v>19</v>
      </c>
      <c r="E779" s="1" t="s">
        <v>247</v>
      </c>
      <c r="F779" s="1" t="s">
        <v>75</v>
      </c>
      <c r="G779" s="1" t="s">
        <v>53</v>
      </c>
      <c r="H779" s="1" t="s">
        <v>45</v>
      </c>
      <c r="I779" s="1" t="s">
        <v>24</v>
      </c>
      <c r="J779" s="2">
        <v>45991</v>
      </c>
      <c r="K779" s="2">
        <v>45700</v>
      </c>
      <c r="L779" s="1">
        <v>2</v>
      </c>
      <c r="M779" s="1" t="s">
        <v>56</v>
      </c>
      <c r="N779" s="1" t="s">
        <v>90</v>
      </c>
      <c r="O779" s="4">
        <v>111990.79</v>
      </c>
      <c r="P779" s="1">
        <v>4</v>
      </c>
      <c r="Q779" s="10" t="s">
        <v>40</v>
      </c>
      <c r="R779" s="14" t="str" cm="1">
        <f t="array" ref="R779">_xlfn.IFS(C779&lt;18,"Under 18",C779&lt;36,"18-35",C779&lt;51,"36-50",C779&lt;66,"51-65",C779&gt;=66,"66+")</f>
        <v>66+</v>
      </c>
      <c r="S779" s="18">
        <v>45962</v>
      </c>
    </row>
    <row r="780" spans="1:19">
      <c r="A780" s="21" t="s">
        <v>1393</v>
      </c>
      <c r="B780" s="1" t="s">
        <v>79</v>
      </c>
      <c r="C780" s="1">
        <v>74</v>
      </c>
      <c r="D780" s="1" t="s">
        <v>19</v>
      </c>
      <c r="E780" s="1" t="s">
        <v>117</v>
      </c>
      <c r="F780" s="1" t="s">
        <v>75</v>
      </c>
      <c r="G780" s="1" t="s">
        <v>110</v>
      </c>
      <c r="H780" s="1" t="s">
        <v>93</v>
      </c>
      <c r="I780" s="1" t="s">
        <v>62</v>
      </c>
      <c r="J780" s="2">
        <v>45743</v>
      </c>
      <c r="K780" s="2">
        <v>45842</v>
      </c>
      <c r="L780" s="1">
        <v>11</v>
      </c>
      <c r="M780" s="1" t="s">
        <v>56</v>
      </c>
      <c r="N780" s="1" t="s">
        <v>90</v>
      </c>
      <c r="O780" s="4">
        <v>21942.48</v>
      </c>
      <c r="P780" s="1">
        <v>4</v>
      </c>
      <c r="Q780" s="10" t="s">
        <v>29</v>
      </c>
      <c r="R780" s="14" t="str" cm="1">
        <f t="array" ref="R780">_xlfn.IFS(C780&lt;18,"Under 18",C780&lt;36,"18-35",C780&lt;51,"36-50",C780&lt;66,"51-65",C780&gt;=66,"66+")</f>
        <v>66+</v>
      </c>
      <c r="S780" s="18">
        <v>45717</v>
      </c>
    </row>
    <row r="781" spans="1:19">
      <c r="A781" s="21" t="s">
        <v>1395</v>
      </c>
      <c r="B781" s="1" t="s">
        <v>615</v>
      </c>
      <c r="C781" s="1">
        <v>13</v>
      </c>
      <c r="D781" s="1" t="s">
        <v>43</v>
      </c>
      <c r="E781" s="1" t="s">
        <v>51</v>
      </c>
      <c r="F781" s="1" t="s">
        <v>75</v>
      </c>
      <c r="G781" s="1" t="s">
        <v>53</v>
      </c>
      <c r="H781" s="1" t="s">
        <v>93</v>
      </c>
      <c r="I781" s="1" t="s">
        <v>62</v>
      </c>
      <c r="J781" s="2">
        <v>45489</v>
      </c>
      <c r="K781" s="2">
        <v>45490</v>
      </c>
      <c r="L781" s="1">
        <v>1</v>
      </c>
      <c r="M781" s="1" t="s">
        <v>56</v>
      </c>
      <c r="N781" s="1" t="s">
        <v>82</v>
      </c>
      <c r="O781" s="4">
        <v>135096.1</v>
      </c>
      <c r="P781" s="1">
        <v>4</v>
      </c>
      <c r="Q781" s="10" t="s">
        <v>29</v>
      </c>
      <c r="R781" s="14" t="str" cm="1">
        <f t="array" ref="R781">_xlfn.IFS(C781&lt;18,"Under 18",C781&lt;36,"18-35",C781&lt;51,"36-50",C781&lt;66,"51-65",C781&gt;=66,"66+")</f>
        <v>Under 18</v>
      </c>
      <c r="S781" s="18">
        <v>45474</v>
      </c>
    </row>
    <row r="782" spans="1:19">
      <c r="A782" s="21" t="s">
        <v>1396</v>
      </c>
      <c r="B782" s="1" t="s">
        <v>198</v>
      </c>
      <c r="C782" s="1">
        <v>31</v>
      </c>
      <c r="D782" s="1" t="s">
        <v>43</v>
      </c>
      <c r="E782" s="1" t="s">
        <v>51</v>
      </c>
      <c r="F782" s="1" t="s">
        <v>52</v>
      </c>
      <c r="G782" s="1" t="s">
        <v>22</v>
      </c>
      <c r="H782" s="1" t="s">
        <v>23</v>
      </c>
      <c r="I782" s="1" t="s">
        <v>36</v>
      </c>
      <c r="J782" s="2">
        <v>45603</v>
      </c>
      <c r="K782" s="2">
        <v>45494</v>
      </c>
      <c r="L782" s="1">
        <v>10</v>
      </c>
      <c r="M782" s="1" t="s">
        <v>38</v>
      </c>
      <c r="N782" s="1" t="s">
        <v>82</v>
      </c>
      <c r="O782" s="4">
        <v>23299.5</v>
      </c>
      <c r="P782" s="1">
        <v>4</v>
      </c>
      <c r="Q782" s="10" t="s">
        <v>29</v>
      </c>
      <c r="R782" s="14" t="str" cm="1">
        <f t="array" ref="R782">_xlfn.IFS(C782&lt;18,"Under 18",C782&lt;36,"18-35",C782&lt;51,"36-50",C782&lt;66,"51-65",C782&gt;=66,"66+")</f>
        <v>18-35</v>
      </c>
      <c r="S782" s="18">
        <v>45597</v>
      </c>
    </row>
    <row r="783" spans="1:19">
      <c r="A783" s="21" t="s">
        <v>1398</v>
      </c>
      <c r="B783" s="1" t="s">
        <v>103</v>
      </c>
      <c r="C783" s="1">
        <v>58</v>
      </c>
      <c r="D783" s="1" t="s">
        <v>19</v>
      </c>
      <c r="E783" s="1" t="s">
        <v>44</v>
      </c>
      <c r="F783" s="1" t="s">
        <v>33</v>
      </c>
      <c r="G783" s="1" t="s">
        <v>22</v>
      </c>
      <c r="H783" s="1" t="s">
        <v>93</v>
      </c>
      <c r="I783" s="1" t="s">
        <v>62</v>
      </c>
      <c r="J783" s="2">
        <v>45591</v>
      </c>
      <c r="K783" s="2">
        <v>45594</v>
      </c>
      <c r="L783" s="1">
        <v>3</v>
      </c>
      <c r="M783" s="1" t="s">
        <v>97</v>
      </c>
      <c r="N783" s="1" t="s">
        <v>39</v>
      </c>
      <c r="O783" s="4">
        <v>13739.89</v>
      </c>
      <c r="P783" s="1">
        <v>2</v>
      </c>
      <c r="Q783" s="10" t="s">
        <v>40</v>
      </c>
      <c r="R783" s="14" t="str" cm="1">
        <f t="array" ref="R783">_xlfn.IFS(C783&lt;18,"Under 18",C783&lt;36,"18-35",C783&lt;51,"36-50",C783&lt;66,"51-65",C783&gt;=66,"66+")</f>
        <v>51-65</v>
      </c>
      <c r="S783" s="18">
        <v>45566</v>
      </c>
    </row>
    <row r="784" spans="1:19">
      <c r="A784" s="21" t="s">
        <v>1399</v>
      </c>
      <c r="B784" s="1" t="s">
        <v>308</v>
      </c>
      <c r="C784" s="1">
        <v>88</v>
      </c>
      <c r="D784" s="1" t="s">
        <v>27</v>
      </c>
      <c r="E784" s="1" t="s">
        <v>20</v>
      </c>
      <c r="F784" s="1" t="s">
        <v>120</v>
      </c>
      <c r="G784" s="1" t="s">
        <v>110</v>
      </c>
      <c r="H784" s="1" t="s">
        <v>88</v>
      </c>
      <c r="I784" s="1" t="s">
        <v>24</v>
      </c>
      <c r="J784" s="2">
        <v>45348</v>
      </c>
      <c r="K784" s="2">
        <v>45349</v>
      </c>
      <c r="L784" s="1">
        <v>1</v>
      </c>
      <c r="M784" s="1" t="s">
        <v>48</v>
      </c>
      <c r="N784" s="1" t="s">
        <v>39</v>
      </c>
      <c r="O784" s="4">
        <v>110879.41</v>
      </c>
      <c r="P784" s="1">
        <v>2</v>
      </c>
      <c r="Q784" s="10" t="s">
        <v>58</v>
      </c>
      <c r="R784" s="14" t="str" cm="1">
        <f t="array" ref="R784">_xlfn.IFS(C784&lt;18,"Under 18",C784&lt;36,"18-35",C784&lt;51,"36-50",C784&lt;66,"51-65",C784&gt;=66,"66+")</f>
        <v>66+</v>
      </c>
      <c r="S784" s="18">
        <v>45323</v>
      </c>
    </row>
    <row r="785" spans="1:19">
      <c r="A785" s="21" t="s">
        <v>1400</v>
      </c>
      <c r="B785" s="1" t="s">
        <v>116</v>
      </c>
      <c r="C785" s="1">
        <v>66</v>
      </c>
      <c r="D785" s="1" t="s">
        <v>27</v>
      </c>
      <c r="E785" s="1" t="s">
        <v>32</v>
      </c>
      <c r="F785" s="1" t="s">
        <v>52</v>
      </c>
      <c r="G785" s="1" t="s">
        <v>132</v>
      </c>
      <c r="H785" s="1" t="s">
        <v>45</v>
      </c>
      <c r="I785" s="1" t="s">
        <v>36</v>
      </c>
      <c r="J785" s="2">
        <v>45298</v>
      </c>
      <c r="K785" s="2">
        <v>45389</v>
      </c>
      <c r="L785" s="1">
        <v>3</v>
      </c>
      <c r="M785" s="1" t="s">
        <v>97</v>
      </c>
      <c r="N785" s="1" t="s">
        <v>85</v>
      </c>
      <c r="O785" s="4">
        <v>45378.06</v>
      </c>
      <c r="P785" s="1">
        <v>3</v>
      </c>
      <c r="Q785" s="10" t="s">
        <v>72</v>
      </c>
      <c r="R785" s="14" t="str" cm="1">
        <f t="array" ref="R785">_xlfn.IFS(C785&lt;18,"Under 18",C785&lt;36,"18-35",C785&lt;51,"36-50",C785&lt;66,"51-65",C785&gt;=66,"66+")</f>
        <v>66+</v>
      </c>
      <c r="S785" s="18">
        <v>45292</v>
      </c>
    </row>
    <row r="786" spans="1:19">
      <c r="A786" s="21" t="s">
        <v>1401</v>
      </c>
      <c r="B786" s="1" t="s">
        <v>116</v>
      </c>
      <c r="C786" s="1">
        <v>6</v>
      </c>
      <c r="D786" s="1" t="s">
        <v>43</v>
      </c>
      <c r="E786" s="1" t="s">
        <v>137</v>
      </c>
      <c r="F786" s="1" t="s">
        <v>75</v>
      </c>
      <c r="G786" s="1" t="s">
        <v>132</v>
      </c>
      <c r="H786" s="1" t="s">
        <v>88</v>
      </c>
      <c r="I786" s="1" t="s">
        <v>36</v>
      </c>
      <c r="J786" s="2">
        <v>45502</v>
      </c>
      <c r="K786" s="2">
        <v>45503</v>
      </c>
      <c r="L786" s="1">
        <v>1</v>
      </c>
      <c r="M786" s="1" t="s">
        <v>56</v>
      </c>
      <c r="N786" s="1" t="s">
        <v>90</v>
      </c>
      <c r="O786" s="4">
        <v>83861.34</v>
      </c>
      <c r="P786" s="1">
        <v>5</v>
      </c>
      <c r="Q786" s="10" t="s">
        <v>29</v>
      </c>
      <c r="R786" s="14" t="str" cm="1">
        <f t="array" ref="R786">_xlfn.IFS(C786&lt;18,"Under 18",C786&lt;36,"18-35",C786&lt;51,"36-50",C786&lt;66,"51-65",C786&gt;=66,"66+")</f>
        <v>Under 18</v>
      </c>
      <c r="S786" s="18">
        <v>45474</v>
      </c>
    </row>
    <row r="787" spans="1:19">
      <c r="A787" s="21" t="s">
        <v>1402</v>
      </c>
      <c r="B787" s="1" t="s">
        <v>114</v>
      </c>
      <c r="C787" s="1">
        <v>80</v>
      </c>
      <c r="D787" s="1" t="s">
        <v>27</v>
      </c>
      <c r="E787" s="1" t="s">
        <v>202</v>
      </c>
      <c r="F787" s="1" t="s">
        <v>33</v>
      </c>
      <c r="G787" s="1" t="s">
        <v>68</v>
      </c>
      <c r="H787" s="1" t="s">
        <v>61</v>
      </c>
      <c r="I787" s="1" t="s">
        <v>62</v>
      </c>
      <c r="J787" s="2">
        <v>45556</v>
      </c>
      <c r="K787" s="2">
        <v>45562</v>
      </c>
      <c r="L787" s="1">
        <v>6</v>
      </c>
      <c r="M787" s="1" t="s">
        <v>97</v>
      </c>
      <c r="N787" s="1" t="s">
        <v>82</v>
      </c>
      <c r="O787" s="4">
        <v>80639.91</v>
      </c>
      <c r="P787" s="1">
        <v>4</v>
      </c>
      <c r="Q787" s="10" t="s">
        <v>29</v>
      </c>
      <c r="R787" s="14" t="str" cm="1">
        <f t="array" ref="R787">_xlfn.IFS(C787&lt;18,"Under 18",C787&lt;36,"18-35",C787&lt;51,"36-50",C787&lt;66,"51-65",C787&gt;=66,"66+")</f>
        <v>66+</v>
      </c>
      <c r="S787" s="18">
        <v>45536</v>
      </c>
    </row>
    <row r="788" spans="1:19">
      <c r="A788" s="21" t="s">
        <v>1404</v>
      </c>
      <c r="B788" s="1" t="s">
        <v>264</v>
      </c>
      <c r="C788" s="1">
        <v>63</v>
      </c>
      <c r="D788" s="1" t="s">
        <v>43</v>
      </c>
      <c r="E788" s="1" t="s">
        <v>66</v>
      </c>
      <c r="F788" s="1" t="s">
        <v>33</v>
      </c>
      <c r="G788" s="1" t="s">
        <v>104</v>
      </c>
      <c r="H788" s="1" t="s">
        <v>35</v>
      </c>
      <c r="I788" s="1" t="s">
        <v>36</v>
      </c>
      <c r="J788" s="2">
        <v>45817</v>
      </c>
      <c r="K788" s="2">
        <v>45970</v>
      </c>
      <c r="L788" s="1">
        <v>5</v>
      </c>
      <c r="M788" s="1" t="s">
        <v>56</v>
      </c>
      <c r="N788" s="1" t="s">
        <v>90</v>
      </c>
      <c r="O788" s="4">
        <v>60396.3</v>
      </c>
      <c r="P788" s="1">
        <v>3</v>
      </c>
      <c r="Q788" s="10" t="s">
        <v>40</v>
      </c>
      <c r="R788" s="14" t="str" cm="1">
        <f t="array" ref="R788">_xlfn.IFS(C788&lt;18,"Under 18",C788&lt;36,"18-35",C788&lt;51,"36-50",C788&lt;66,"51-65",C788&gt;=66,"66+")</f>
        <v>51-65</v>
      </c>
      <c r="S788" s="18">
        <v>45809</v>
      </c>
    </row>
    <row r="789" spans="1:19">
      <c r="A789" s="21" t="s">
        <v>1405</v>
      </c>
      <c r="B789" s="1" t="s">
        <v>780</v>
      </c>
      <c r="C789" s="1">
        <v>22</v>
      </c>
      <c r="D789" s="1" t="s">
        <v>27</v>
      </c>
      <c r="E789" s="1" t="s">
        <v>32</v>
      </c>
      <c r="F789" s="1" t="s">
        <v>33</v>
      </c>
      <c r="G789" s="1" t="s">
        <v>68</v>
      </c>
      <c r="H789" s="1" t="s">
        <v>23</v>
      </c>
      <c r="I789" s="1" t="s">
        <v>36</v>
      </c>
      <c r="J789" s="2">
        <v>45554</v>
      </c>
      <c r="K789" s="2">
        <v>45561</v>
      </c>
      <c r="L789" s="1">
        <v>7</v>
      </c>
      <c r="M789" s="1" t="s">
        <v>48</v>
      </c>
      <c r="N789" s="1" t="s">
        <v>90</v>
      </c>
      <c r="O789" s="4">
        <v>32910.04</v>
      </c>
      <c r="P789" s="1">
        <v>5</v>
      </c>
      <c r="Q789" s="10" t="s">
        <v>58</v>
      </c>
      <c r="R789" s="14" t="str" cm="1">
        <f t="array" ref="R789">_xlfn.IFS(C789&lt;18,"Under 18",C789&lt;36,"18-35",C789&lt;51,"36-50",C789&lt;66,"51-65",C789&gt;=66,"66+")</f>
        <v>18-35</v>
      </c>
      <c r="S789" s="18">
        <v>45536</v>
      </c>
    </row>
    <row r="790" spans="1:19">
      <c r="A790" s="21" t="s">
        <v>1406</v>
      </c>
      <c r="B790" s="1" t="s">
        <v>60</v>
      </c>
      <c r="C790" s="1">
        <v>26</v>
      </c>
      <c r="D790" s="1" t="s">
        <v>19</v>
      </c>
      <c r="E790" s="1" t="s">
        <v>137</v>
      </c>
      <c r="F790" s="1" t="s">
        <v>67</v>
      </c>
      <c r="G790" s="1" t="s">
        <v>132</v>
      </c>
      <c r="H790" s="1" t="s">
        <v>99</v>
      </c>
      <c r="I790" s="1" t="s">
        <v>62</v>
      </c>
      <c r="J790" s="2">
        <v>45822</v>
      </c>
      <c r="K790" s="2">
        <v>45826</v>
      </c>
      <c r="L790" s="1">
        <v>4</v>
      </c>
      <c r="M790" s="1" t="s">
        <v>97</v>
      </c>
      <c r="N790" s="1" t="s">
        <v>63</v>
      </c>
      <c r="O790" s="4">
        <v>72815.92</v>
      </c>
      <c r="P790" s="1">
        <v>3</v>
      </c>
      <c r="Q790" s="10" t="s">
        <v>29</v>
      </c>
      <c r="R790" s="14" t="str" cm="1">
        <f t="array" ref="R790">_xlfn.IFS(C790&lt;18,"Under 18",C790&lt;36,"18-35",C790&lt;51,"36-50",C790&lt;66,"51-65",C790&gt;=66,"66+")</f>
        <v>18-35</v>
      </c>
      <c r="S790" s="18">
        <v>45809</v>
      </c>
    </row>
    <row r="791" spans="1:19">
      <c r="A791" s="21" t="s">
        <v>1407</v>
      </c>
      <c r="B791" s="1" t="s">
        <v>735</v>
      </c>
      <c r="C791" s="1">
        <v>57</v>
      </c>
      <c r="D791" s="1" t="s">
        <v>27</v>
      </c>
      <c r="E791" s="1" t="s">
        <v>247</v>
      </c>
      <c r="F791" s="1" t="s">
        <v>33</v>
      </c>
      <c r="G791" s="1" t="s">
        <v>53</v>
      </c>
      <c r="H791" s="1" t="s">
        <v>99</v>
      </c>
      <c r="I791" s="1" t="s">
        <v>36</v>
      </c>
      <c r="J791" s="2">
        <v>45628</v>
      </c>
      <c r="K791" s="2">
        <v>45335</v>
      </c>
      <c r="L791" s="1">
        <v>1</v>
      </c>
      <c r="M791" s="1" t="s">
        <v>48</v>
      </c>
      <c r="N791" s="1" t="s">
        <v>57</v>
      </c>
      <c r="O791" s="4">
        <v>109920.79</v>
      </c>
      <c r="P791" s="1">
        <v>4</v>
      </c>
      <c r="Q791" s="10" t="s">
        <v>58</v>
      </c>
      <c r="R791" s="14" t="str" cm="1">
        <f t="array" ref="R791">_xlfn.IFS(C791&lt;18,"Under 18",C791&lt;36,"18-35",C791&lt;51,"36-50",C791&lt;66,"51-65",C791&gt;=66,"66+")</f>
        <v>51-65</v>
      </c>
      <c r="S791" s="18">
        <v>45627</v>
      </c>
    </row>
    <row r="792" spans="1:19">
      <c r="A792" s="21" t="s">
        <v>1408</v>
      </c>
      <c r="B792" s="1" t="s">
        <v>437</v>
      </c>
      <c r="C792" s="1">
        <v>20</v>
      </c>
      <c r="D792" s="1" t="s">
        <v>43</v>
      </c>
      <c r="E792" s="1" t="s">
        <v>51</v>
      </c>
      <c r="F792" s="1" t="s">
        <v>21</v>
      </c>
      <c r="G792" s="1" t="s">
        <v>53</v>
      </c>
      <c r="H792" s="1" t="s">
        <v>93</v>
      </c>
      <c r="I792" s="1" t="s">
        <v>36</v>
      </c>
      <c r="J792" s="2">
        <v>45663</v>
      </c>
      <c r="K792" s="2">
        <v>45722</v>
      </c>
      <c r="L792" s="1">
        <v>2</v>
      </c>
      <c r="M792" s="1" t="s">
        <v>27</v>
      </c>
      <c r="N792" s="1" t="s">
        <v>82</v>
      </c>
      <c r="O792" s="4">
        <v>22107.39</v>
      </c>
      <c r="P792" s="1">
        <v>5</v>
      </c>
      <c r="Q792" s="10" t="s">
        <v>72</v>
      </c>
      <c r="R792" s="14" t="str" cm="1">
        <f t="array" ref="R792">_xlfn.IFS(C792&lt;18,"Under 18",C792&lt;36,"18-35",C792&lt;51,"36-50",C792&lt;66,"51-65",C792&gt;=66,"66+")</f>
        <v>18-35</v>
      </c>
      <c r="S792" s="18">
        <v>45658</v>
      </c>
    </row>
    <row r="793" spans="1:19">
      <c r="A793" s="21" t="s">
        <v>1409</v>
      </c>
      <c r="B793" s="1" t="s">
        <v>574</v>
      </c>
      <c r="C793" s="1">
        <v>15</v>
      </c>
      <c r="D793" s="1" t="s">
        <v>27</v>
      </c>
      <c r="E793" s="1" t="s">
        <v>137</v>
      </c>
      <c r="F793" s="1" t="s">
        <v>75</v>
      </c>
      <c r="G793" s="1" t="s">
        <v>110</v>
      </c>
      <c r="H793" s="1" t="s">
        <v>88</v>
      </c>
      <c r="I793" s="1" t="s">
        <v>24</v>
      </c>
      <c r="J793" s="2">
        <v>45476</v>
      </c>
      <c r="K793" s="2">
        <v>45599</v>
      </c>
      <c r="L793" s="1">
        <v>4</v>
      </c>
      <c r="M793" s="1" t="s">
        <v>48</v>
      </c>
      <c r="N793" s="1" t="s">
        <v>39</v>
      </c>
      <c r="O793" s="4">
        <v>51885.78</v>
      </c>
      <c r="P793" s="1">
        <v>2</v>
      </c>
      <c r="Q793" s="10" t="s">
        <v>58</v>
      </c>
      <c r="R793" s="14" t="str" cm="1">
        <f t="array" ref="R793">_xlfn.IFS(C793&lt;18,"Under 18",C793&lt;36,"18-35",C793&lt;51,"36-50",C793&lt;66,"51-65",C793&gt;=66,"66+")</f>
        <v>Under 18</v>
      </c>
      <c r="S793" s="18">
        <v>45474</v>
      </c>
    </row>
    <row r="794" spans="1:19">
      <c r="A794" s="21" t="s">
        <v>1410</v>
      </c>
      <c r="B794" s="1" t="s">
        <v>229</v>
      </c>
      <c r="C794" s="1">
        <v>73</v>
      </c>
      <c r="D794" s="1" t="s">
        <v>19</v>
      </c>
      <c r="E794" s="1" t="s">
        <v>159</v>
      </c>
      <c r="F794" s="1" t="s">
        <v>52</v>
      </c>
      <c r="G794" s="1" t="s">
        <v>34</v>
      </c>
      <c r="H794" s="1" t="s">
        <v>93</v>
      </c>
      <c r="I794" s="1" t="s">
        <v>36</v>
      </c>
      <c r="J794" s="2">
        <v>45521</v>
      </c>
      <c r="K794" s="2">
        <v>45522</v>
      </c>
      <c r="L794" s="1">
        <v>1</v>
      </c>
      <c r="M794" s="1" t="s">
        <v>97</v>
      </c>
      <c r="N794" s="1" t="s">
        <v>90</v>
      </c>
      <c r="O794" s="4">
        <v>143166.21</v>
      </c>
      <c r="P794" s="1">
        <v>3</v>
      </c>
      <c r="Q794" s="10" t="s">
        <v>40</v>
      </c>
      <c r="R794" s="14" t="str" cm="1">
        <f t="array" ref="R794">_xlfn.IFS(C794&lt;18,"Under 18",C794&lt;36,"18-35",C794&lt;51,"36-50",C794&lt;66,"51-65",C794&gt;=66,"66+")</f>
        <v>66+</v>
      </c>
      <c r="S794" s="18">
        <v>45505</v>
      </c>
    </row>
    <row r="795" spans="1:19">
      <c r="A795" s="21" t="s">
        <v>1411</v>
      </c>
      <c r="B795" s="1" t="s">
        <v>735</v>
      </c>
      <c r="C795" s="1">
        <v>45</v>
      </c>
      <c r="D795" s="1" t="s">
        <v>27</v>
      </c>
      <c r="E795" s="1" t="s">
        <v>247</v>
      </c>
      <c r="F795" s="1" t="s">
        <v>52</v>
      </c>
      <c r="G795" s="1" t="s">
        <v>110</v>
      </c>
      <c r="H795" s="1" t="s">
        <v>105</v>
      </c>
      <c r="I795" s="1" t="s">
        <v>36</v>
      </c>
      <c r="J795" s="2">
        <v>45934</v>
      </c>
      <c r="K795" s="2">
        <v>45761</v>
      </c>
      <c r="L795" s="1">
        <v>4</v>
      </c>
      <c r="M795" s="1" t="s">
        <v>97</v>
      </c>
      <c r="N795" s="1" t="s">
        <v>39</v>
      </c>
      <c r="O795" s="4">
        <v>79390.28</v>
      </c>
      <c r="P795" s="1">
        <v>5</v>
      </c>
      <c r="Q795" s="10" t="s">
        <v>40</v>
      </c>
      <c r="R795" s="14" t="str" cm="1">
        <f t="array" ref="R795">_xlfn.IFS(C795&lt;18,"Under 18",C795&lt;36,"18-35",C795&lt;51,"36-50",C795&lt;66,"51-65",C795&gt;=66,"66+")</f>
        <v>36-50</v>
      </c>
      <c r="S795" s="18">
        <v>45931</v>
      </c>
    </row>
    <row r="796" spans="1:19">
      <c r="A796" s="21" t="s">
        <v>1412</v>
      </c>
      <c r="B796" s="1" t="s">
        <v>830</v>
      </c>
      <c r="C796" s="1">
        <v>19</v>
      </c>
      <c r="D796" s="1" t="s">
        <v>19</v>
      </c>
      <c r="E796" s="1" t="s">
        <v>137</v>
      </c>
      <c r="F796" s="1" t="s">
        <v>33</v>
      </c>
      <c r="G796" s="1" t="s">
        <v>132</v>
      </c>
      <c r="H796" s="1" t="s">
        <v>76</v>
      </c>
      <c r="I796" s="1" t="s">
        <v>62</v>
      </c>
      <c r="J796" s="2">
        <v>45762</v>
      </c>
      <c r="K796" s="2">
        <v>45769</v>
      </c>
      <c r="L796" s="1">
        <v>7</v>
      </c>
      <c r="M796" s="1" t="s">
        <v>97</v>
      </c>
      <c r="N796" s="1" t="s">
        <v>57</v>
      </c>
      <c r="O796" s="4">
        <v>21126.77</v>
      </c>
      <c r="P796" s="1">
        <v>4</v>
      </c>
      <c r="Q796" s="10" t="s">
        <v>58</v>
      </c>
      <c r="R796" s="14" t="str" cm="1">
        <f t="array" ref="R796">_xlfn.IFS(C796&lt;18,"Under 18",C796&lt;36,"18-35",C796&lt;51,"36-50",C796&lt;66,"51-65",C796&gt;=66,"66+")</f>
        <v>18-35</v>
      </c>
      <c r="S796" s="18">
        <v>45748</v>
      </c>
    </row>
    <row r="797" spans="1:19">
      <c r="A797" s="21" t="s">
        <v>1413</v>
      </c>
      <c r="B797" s="1" t="s">
        <v>1414</v>
      </c>
      <c r="C797" s="1">
        <v>60</v>
      </c>
      <c r="D797" s="1" t="s">
        <v>43</v>
      </c>
      <c r="E797" s="1" t="s">
        <v>159</v>
      </c>
      <c r="F797" s="1" t="s">
        <v>67</v>
      </c>
      <c r="G797" s="1" t="s">
        <v>132</v>
      </c>
      <c r="H797" s="1" t="s">
        <v>61</v>
      </c>
      <c r="I797" s="1" t="s">
        <v>62</v>
      </c>
      <c r="J797" s="2">
        <v>45608</v>
      </c>
      <c r="K797" s="2">
        <v>45643</v>
      </c>
      <c r="L797" s="1">
        <v>6</v>
      </c>
      <c r="M797" s="1" t="s">
        <v>38</v>
      </c>
      <c r="N797" s="1" t="s">
        <v>63</v>
      </c>
      <c r="O797" s="4">
        <v>27838.03</v>
      </c>
      <c r="P797" s="1">
        <v>3</v>
      </c>
      <c r="Q797" s="10" t="s">
        <v>40</v>
      </c>
      <c r="R797" s="14" t="str" cm="1">
        <f t="array" ref="R797">_xlfn.IFS(C797&lt;18,"Under 18",C797&lt;36,"18-35",C797&lt;51,"36-50",C797&lt;66,"51-65",C797&gt;=66,"66+")</f>
        <v>51-65</v>
      </c>
      <c r="S797" s="18">
        <v>45597</v>
      </c>
    </row>
    <row r="798" spans="1:19">
      <c r="A798" s="21" t="s">
        <v>1415</v>
      </c>
      <c r="B798" s="1" t="s">
        <v>123</v>
      </c>
      <c r="C798" s="1">
        <v>28</v>
      </c>
      <c r="D798" s="1" t="s">
        <v>43</v>
      </c>
      <c r="E798" s="1" t="s">
        <v>137</v>
      </c>
      <c r="F798" s="1" t="s">
        <v>67</v>
      </c>
      <c r="G798" s="1" t="s">
        <v>68</v>
      </c>
      <c r="H798" s="1" t="s">
        <v>69</v>
      </c>
      <c r="I798" s="1" t="s">
        <v>62</v>
      </c>
      <c r="J798" s="2">
        <v>45436</v>
      </c>
      <c r="K798" s="2">
        <v>45437</v>
      </c>
      <c r="L798" s="1">
        <v>1</v>
      </c>
      <c r="M798" s="1" t="s">
        <v>56</v>
      </c>
      <c r="N798" s="1" t="s">
        <v>57</v>
      </c>
      <c r="O798" s="4">
        <v>42084.6</v>
      </c>
      <c r="P798" s="1">
        <v>3</v>
      </c>
      <c r="Q798" s="10" t="s">
        <v>72</v>
      </c>
      <c r="R798" s="14" t="str" cm="1">
        <f t="array" ref="R798">_xlfn.IFS(C798&lt;18,"Under 18",C798&lt;36,"18-35",C798&lt;51,"36-50",C798&lt;66,"51-65",C798&gt;=66,"66+")</f>
        <v>18-35</v>
      </c>
      <c r="S798" s="18">
        <v>45413</v>
      </c>
    </row>
    <row r="799" spans="1:19">
      <c r="A799" s="21" t="s">
        <v>1416</v>
      </c>
      <c r="B799" s="1" t="s">
        <v>656</v>
      </c>
      <c r="C799" s="1">
        <v>89</v>
      </c>
      <c r="D799" s="1" t="s">
        <v>19</v>
      </c>
      <c r="E799" s="1" t="s">
        <v>20</v>
      </c>
      <c r="F799" s="1" t="s">
        <v>52</v>
      </c>
      <c r="G799" s="1" t="s">
        <v>110</v>
      </c>
      <c r="H799" s="1" t="s">
        <v>76</v>
      </c>
      <c r="I799" s="1" t="s">
        <v>36</v>
      </c>
      <c r="J799" s="2">
        <v>45687</v>
      </c>
      <c r="K799" s="2">
        <v>45779</v>
      </c>
      <c r="L799" s="1">
        <v>6</v>
      </c>
      <c r="M799" s="1" t="s">
        <v>97</v>
      </c>
      <c r="N799" s="1" t="s">
        <v>82</v>
      </c>
      <c r="O799" s="4">
        <v>103682.34</v>
      </c>
      <c r="P799" s="1">
        <v>3</v>
      </c>
      <c r="Q799" s="10" t="s">
        <v>72</v>
      </c>
      <c r="R799" s="14" t="str" cm="1">
        <f t="array" ref="R799">_xlfn.IFS(C799&lt;18,"Under 18",C799&lt;36,"18-35",C799&lt;51,"36-50",C799&lt;66,"51-65",C799&gt;=66,"66+")</f>
        <v>66+</v>
      </c>
      <c r="S799" s="18">
        <v>45658</v>
      </c>
    </row>
    <row r="800" spans="1:19">
      <c r="A800" s="21" t="s">
        <v>1417</v>
      </c>
      <c r="B800" s="1" t="s">
        <v>837</v>
      </c>
      <c r="C800" s="1">
        <v>87</v>
      </c>
      <c r="D800" s="1" t="s">
        <v>19</v>
      </c>
      <c r="E800" s="1" t="s">
        <v>20</v>
      </c>
      <c r="F800" s="1" t="s">
        <v>120</v>
      </c>
      <c r="G800" s="1" t="s">
        <v>34</v>
      </c>
      <c r="H800" s="1" t="s">
        <v>88</v>
      </c>
      <c r="I800" s="1" t="s">
        <v>36</v>
      </c>
      <c r="J800" s="2">
        <v>45476</v>
      </c>
      <c r="K800" s="2">
        <v>45507</v>
      </c>
      <c r="L800" s="1">
        <v>1</v>
      </c>
      <c r="M800" s="1" t="s">
        <v>38</v>
      </c>
      <c r="N800" s="1" t="s">
        <v>90</v>
      </c>
      <c r="O800" s="4">
        <v>110020.85</v>
      </c>
      <c r="P800" s="1">
        <v>5</v>
      </c>
      <c r="Q800" s="10" t="s">
        <v>40</v>
      </c>
      <c r="R800" s="14" t="str" cm="1">
        <f t="array" ref="R800">_xlfn.IFS(C800&lt;18,"Under 18",C800&lt;36,"18-35",C800&lt;51,"36-50",C800&lt;66,"51-65",C800&gt;=66,"66+")</f>
        <v>66+</v>
      </c>
      <c r="S800" s="18">
        <v>45474</v>
      </c>
    </row>
    <row r="801" spans="1:19">
      <c r="A801" s="21" t="s">
        <v>1418</v>
      </c>
      <c r="B801" s="1" t="s">
        <v>553</v>
      </c>
      <c r="C801" s="1">
        <v>75</v>
      </c>
      <c r="D801" s="1" t="s">
        <v>43</v>
      </c>
      <c r="E801" s="1" t="s">
        <v>32</v>
      </c>
      <c r="F801" s="1" t="s">
        <v>67</v>
      </c>
      <c r="G801" s="1" t="s">
        <v>22</v>
      </c>
      <c r="H801" s="1" t="s">
        <v>23</v>
      </c>
      <c r="I801" s="1" t="s">
        <v>24</v>
      </c>
      <c r="J801" s="2">
        <v>45662</v>
      </c>
      <c r="K801" s="2">
        <v>45874</v>
      </c>
      <c r="L801" s="1">
        <v>7</v>
      </c>
      <c r="M801" s="1" t="s">
        <v>97</v>
      </c>
      <c r="N801" s="1" t="s">
        <v>85</v>
      </c>
      <c r="O801" s="4">
        <v>23666.31</v>
      </c>
      <c r="P801" s="1">
        <v>5</v>
      </c>
      <c r="Q801" s="10" t="s">
        <v>58</v>
      </c>
      <c r="R801" s="14" t="str" cm="1">
        <f t="array" ref="R801">_xlfn.IFS(C801&lt;18,"Under 18",C801&lt;36,"18-35",C801&lt;51,"36-50",C801&lt;66,"51-65",C801&gt;=66,"66+")</f>
        <v>66+</v>
      </c>
      <c r="S801" s="18">
        <v>45658</v>
      </c>
    </row>
    <row r="802" spans="1:19">
      <c r="A802" s="21" t="s">
        <v>1419</v>
      </c>
      <c r="B802" s="1" t="s">
        <v>510</v>
      </c>
      <c r="C802" s="1">
        <v>90</v>
      </c>
      <c r="D802" s="1" t="s">
        <v>43</v>
      </c>
      <c r="E802" s="1" t="s">
        <v>159</v>
      </c>
      <c r="F802" s="1" t="s">
        <v>67</v>
      </c>
      <c r="G802" s="1" t="s">
        <v>34</v>
      </c>
      <c r="H802" s="1" t="s">
        <v>35</v>
      </c>
      <c r="I802" s="1" t="s">
        <v>24</v>
      </c>
      <c r="J802" s="2">
        <v>45850</v>
      </c>
      <c r="K802" s="2">
        <v>45881</v>
      </c>
      <c r="L802" s="1">
        <v>1</v>
      </c>
      <c r="M802" s="1" t="s">
        <v>56</v>
      </c>
      <c r="N802" s="1" t="s">
        <v>57</v>
      </c>
      <c r="O802" s="4">
        <v>123958.05</v>
      </c>
      <c r="P802" s="1">
        <v>4</v>
      </c>
      <c r="Q802" s="10" t="s">
        <v>72</v>
      </c>
      <c r="R802" s="14" t="str" cm="1">
        <f t="array" ref="R802">_xlfn.IFS(C802&lt;18,"Under 18",C802&lt;36,"18-35",C802&lt;51,"36-50",C802&lt;66,"51-65",C802&gt;=66,"66+")</f>
        <v>66+</v>
      </c>
      <c r="S802" s="18">
        <v>45839</v>
      </c>
    </row>
    <row r="803" spans="1:19">
      <c r="A803" s="21" t="s">
        <v>1420</v>
      </c>
      <c r="B803" s="1" t="s">
        <v>1209</v>
      </c>
      <c r="C803" s="1">
        <v>63</v>
      </c>
      <c r="D803" s="1" t="s">
        <v>27</v>
      </c>
      <c r="E803" s="1" t="s">
        <v>20</v>
      </c>
      <c r="F803" s="1" t="s">
        <v>52</v>
      </c>
      <c r="G803" s="1" t="s">
        <v>53</v>
      </c>
      <c r="H803" s="1" t="s">
        <v>45</v>
      </c>
      <c r="I803" s="1" t="s">
        <v>62</v>
      </c>
      <c r="J803" s="2">
        <v>45724</v>
      </c>
      <c r="K803" s="2">
        <v>45885</v>
      </c>
      <c r="L803" s="1">
        <v>13</v>
      </c>
      <c r="M803" s="1" t="s">
        <v>38</v>
      </c>
      <c r="N803" s="1" t="s">
        <v>63</v>
      </c>
      <c r="O803" s="4">
        <v>54914.77</v>
      </c>
      <c r="P803" s="1">
        <v>4</v>
      </c>
      <c r="Q803" s="10" t="s">
        <v>72</v>
      </c>
      <c r="R803" s="14" t="str" cm="1">
        <f t="array" ref="R803">_xlfn.IFS(C803&lt;18,"Under 18",C803&lt;36,"18-35",C803&lt;51,"36-50",C803&lt;66,"51-65",C803&gt;=66,"66+")</f>
        <v>51-65</v>
      </c>
      <c r="S803" s="18">
        <v>45717</v>
      </c>
    </row>
    <row r="804" spans="1:19">
      <c r="A804" s="21" t="s">
        <v>1421</v>
      </c>
      <c r="B804" s="1" t="s">
        <v>329</v>
      </c>
      <c r="C804" s="1">
        <v>46</v>
      </c>
      <c r="D804" s="1" t="s">
        <v>27</v>
      </c>
      <c r="E804" s="1" t="s">
        <v>159</v>
      </c>
      <c r="F804" s="1" t="s">
        <v>120</v>
      </c>
      <c r="G804" s="1" t="s">
        <v>110</v>
      </c>
      <c r="H804" s="1" t="s">
        <v>88</v>
      </c>
      <c r="I804" s="1" t="s">
        <v>36</v>
      </c>
      <c r="J804" s="2">
        <v>45798</v>
      </c>
      <c r="K804" s="2">
        <v>45803</v>
      </c>
      <c r="L804" s="1">
        <v>5</v>
      </c>
      <c r="M804" s="1" t="s">
        <v>48</v>
      </c>
      <c r="N804" s="1" t="s">
        <v>63</v>
      </c>
      <c r="O804" s="4">
        <v>101782.94</v>
      </c>
      <c r="P804" s="1">
        <v>3</v>
      </c>
      <c r="Q804" s="10" t="s">
        <v>29</v>
      </c>
      <c r="R804" s="14" t="str" cm="1">
        <f t="array" ref="R804">_xlfn.IFS(C804&lt;18,"Under 18",C804&lt;36,"18-35",C804&lt;51,"36-50",C804&lt;66,"51-65",C804&gt;=66,"66+")</f>
        <v>36-50</v>
      </c>
      <c r="S804" s="18">
        <v>45778</v>
      </c>
    </row>
    <row r="805" spans="1:19">
      <c r="A805" s="21" t="s">
        <v>1422</v>
      </c>
      <c r="B805" s="1" t="s">
        <v>259</v>
      </c>
      <c r="C805" s="1">
        <v>90</v>
      </c>
      <c r="D805" s="1" t="s">
        <v>43</v>
      </c>
      <c r="E805" s="1" t="s">
        <v>44</v>
      </c>
      <c r="F805" s="1" t="s">
        <v>75</v>
      </c>
      <c r="G805" s="1" t="s">
        <v>104</v>
      </c>
      <c r="H805" s="1" t="s">
        <v>45</v>
      </c>
      <c r="I805" s="1" t="s">
        <v>62</v>
      </c>
      <c r="J805" s="2">
        <v>45561</v>
      </c>
      <c r="K805" s="2">
        <v>45563</v>
      </c>
      <c r="L805" s="1">
        <v>2</v>
      </c>
      <c r="M805" s="1" t="s">
        <v>97</v>
      </c>
      <c r="N805" s="1" t="s">
        <v>85</v>
      </c>
      <c r="O805" s="4">
        <v>36303.08</v>
      </c>
      <c r="P805" s="1">
        <v>1</v>
      </c>
      <c r="Q805" s="10" t="s">
        <v>58</v>
      </c>
      <c r="R805" s="14" t="str" cm="1">
        <f t="array" ref="R805">_xlfn.IFS(C805&lt;18,"Under 18",C805&lt;36,"18-35",C805&lt;51,"36-50",C805&lt;66,"51-65",C805&gt;=66,"66+")</f>
        <v>66+</v>
      </c>
      <c r="S805" s="18">
        <v>45536</v>
      </c>
    </row>
    <row r="806" spans="1:19">
      <c r="A806" s="21" t="s">
        <v>1424</v>
      </c>
      <c r="B806" s="1" t="s">
        <v>275</v>
      </c>
      <c r="C806" s="1">
        <v>49</v>
      </c>
      <c r="D806" s="1" t="s">
        <v>43</v>
      </c>
      <c r="E806" s="1" t="s">
        <v>66</v>
      </c>
      <c r="F806" s="1" t="s">
        <v>120</v>
      </c>
      <c r="G806" s="1" t="s">
        <v>53</v>
      </c>
      <c r="H806" s="1" t="s">
        <v>88</v>
      </c>
      <c r="I806" s="1" t="s">
        <v>24</v>
      </c>
      <c r="J806" s="2">
        <v>45445</v>
      </c>
      <c r="K806" s="2">
        <v>45628</v>
      </c>
      <c r="L806" s="1">
        <v>6</v>
      </c>
      <c r="M806" s="1" t="s">
        <v>38</v>
      </c>
      <c r="N806" s="1" t="s">
        <v>90</v>
      </c>
      <c r="O806" s="4">
        <v>139017.82</v>
      </c>
      <c r="P806" s="1">
        <v>5</v>
      </c>
      <c r="Q806" s="10" t="s">
        <v>29</v>
      </c>
      <c r="R806" s="14" t="str" cm="1">
        <f t="array" ref="R806">_xlfn.IFS(C806&lt;18,"Under 18",C806&lt;36,"18-35",C806&lt;51,"36-50",C806&lt;66,"51-65",C806&gt;=66,"66+")</f>
        <v>36-50</v>
      </c>
      <c r="S806" s="18">
        <v>45444</v>
      </c>
    </row>
    <row r="807" spans="1:19">
      <c r="A807" s="21" t="s">
        <v>1425</v>
      </c>
      <c r="B807" s="1" t="s">
        <v>190</v>
      </c>
      <c r="C807" s="1">
        <v>63</v>
      </c>
      <c r="D807" s="1" t="s">
        <v>43</v>
      </c>
      <c r="E807" s="1" t="s">
        <v>32</v>
      </c>
      <c r="F807" s="1" t="s">
        <v>21</v>
      </c>
      <c r="G807" s="1" t="s">
        <v>22</v>
      </c>
      <c r="H807" s="1" t="s">
        <v>88</v>
      </c>
      <c r="I807" s="1" t="s">
        <v>36</v>
      </c>
      <c r="J807" s="2">
        <v>45565</v>
      </c>
      <c r="K807" s="2">
        <v>45580</v>
      </c>
      <c r="L807" s="1">
        <v>15</v>
      </c>
      <c r="M807" s="1" t="s">
        <v>56</v>
      </c>
      <c r="N807" s="1" t="s">
        <v>82</v>
      </c>
      <c r="O807" s="4">
        <v>93609.97</v>
      </c>
      <c r="P807" s="1">
        <v>5</v>
      </c>
      <c r="Q807" s="10" t="s">
        <v>72</v>
      </c>
      <c r="R807" s="14" t="str" cm="1">
        <f t="array" ref="R807">_xlfn.IFS(C807&lt;18,"Under 18",C807&lt;36,"18-35",C807&lt;51,"36-50",C807&lt;66,"51-65",C807&gt;=66,"66+")</f>
        <v>51-65</v>
      </c>
      <c r="S807" s="18">
        <v>45536</v>
      </c>
    </row>
    <row r="808" spans="1:19">
      <c r="A808" s="21" t="s">
        <v>1426</v>
      </c>
      <c r="B808" s="1" t="s">
        <v>236</v>
      </c>
      <c r="C808" s="1">
        <v>20</v>
      </c>
      <c r="D808" s="1" t="s">
        <v>27</v>
      </c>
      <c r="E808" s="1" t="s">
        <v>32</v>
      </c>
      <c r="F808" s="1" t="s">
        <v>67</v>
      </c>
      <c r="G808" s="1" t="s">
        <v>22</v>
      </c>
      <c r="H808" s="1" t="s">
        <v>35</v>
      </c>
      <c r="I808" s="1" t="s">
        <v>36</v>
      </c>
      <c r="J808" s="2">
        <v>45534</v>
      </c>
      <c r="K808" s="2">
        <v>45535</v>
      </c>
      <c r="L808" s="1">
        <v>1</v>
      </c>
      <c r="M808" s="1" t="s">
        <v>48</v>
      </c>
      <c r="N808" s="1" t="s">
        <v>63</v>
      </c>
      <c r="O808" s="4">
        <v>54541.11</v>
      </c>
      <c r="P808" s="1">
        <v>5</v>
      </c>
      <c r="Q808" s="10" t="s">
        <v>29</v>
      </c>
      <c r="R808" s="14" t="str" cm="1">
        <f t="array" ref="R808">_xlfn.IFS(C808&lt;18,"Under 18",C808&lt;36,"18-35",C808&lt;51,"36-50",C808&lt;66,"51-65",C808&gt;=66,"66+")</f>
        <v>18-35</v>
      </c>
      <c r="S808" s="18">
        <v>45505</v>
      </c>
    </row>
    <row r="809" spans="1:19">
      <c r="A809" s="21" t="s">
        <v>1427</v>
      </c>
      <c r="B809" s="1" t="s">
        <v>766</v>
      </c>
      <c r="C809" s="1">
        <v>26</v>
      </c>
      <c r="D809" s="1" t="s">
        <v>27</v>
      </c>
      <c r="E809" s="1" t="s">
        <v>247</v>
      </c>
      <c r="F809" s="1" t="s">
        <v>52</v>
      </c>
      <c r="G809" s="1" t="s">
        <v>34</v>
      </c>
      <c r="H809" s="1" t="s">
        <v>76</v>
      </c>
      <c r="I809" s="1" t="s">
        <v>24</v>
      </c>
      <c r="J809" s="2">
        <v>45375</v>
      </c>
      <c r="K809" s="2">
        <v>45376</v>
      </c>
      <c r="L809" s="1">
        <v>1</v>
      </c>
      <c r="M809" s="1" t="s">
        <v>56</v>
      </c>
      <c r="N809" s="1" t="s">
        <v>57</v>
      </c>
      <c r="O809" s="4">
        <v>98382.46</v>
      </c>
      <c r="P809" s="1">
        <v>2</v>
      </c>
      <c r="Q809" s="10" t="s">
        <v>29</v>
      </c>
      <c r="R809" s="14" t="str" cm="1">
        <f t="array" ref="R809">_xlfn.IFS(C809&lt;18,"Under 18",C809&lt;36,"18-35",C809&lt;51,"36-50",C809&lt;66,"51-65",C809&gt;=66,"66+")</f>
        <v>18-35</v>
      </c>
      <c r="S809" s="18">
        <v>45352</v>
      </c>
    </row>
    <row r="810" spans="1:19">
      <c r="A810" s="21" t="s">
        <v>1428</v>
      </c>
      <c r="B810" s="1" t="s">
        <v>688</v>
      </c>
      <c r="C810" s="1">
        <v>64</v>
      </c>
      <c r="D810" s="1" t="s">
        <v>27</v>
      </c>
      <c r="E810" s="1" t="s">
        <v>66</v>
      </c>
      <c r="F810" s="1" t="s">
        <v>67</v>
      </c>
      <c r="G810" s="1" t="s">
        <v>34</v>
      </c>
      <c r="H810" s="1" t="s">
        <v>93</v>
      </c>
      <c r="I810" s="1" t="s">
        <v>24</v>
      </c>
      <c r="J810" s="2">
        <v>46015</v>
      </c>
      <c r="K810" s="2">
        <v>46019</v>
      </c>
      <c r="L810" s="1">
        <v>4</v>
      </c>
      <c r="M810" s="1" t="s">
        <v>56</v>
      </c>
      <c r="N810" s="1" t="s">
        <v>63</v>
      </c>
      <c r="O810" s="4">
        <v>30744.57</v>
      </c>
      <c r="P810" s="1">
        <v>3</v>
      </c>
      <c r="Q810" s="10" t="s">
        <v>72</v>
      </c>
      <c r="R810" s="14" t="str" cm="1">
        <f t="array" ref="R810">_xlfn.IFS(C810&lt;18,"Under 18",C810&lt;36,"18-35",C810&lt;51,"36-50",C810&lt;66,"51-65",C810&gt;=66,"66+")</f>
        <v>51-65</v>
      </c>
      <c r="S810" s="18">
        <v>45992</v>
      </c>
    </row>
    <row r="811" spans="1:19">
      <c r="A811" s="21" t="s">
        <v>1429</v>
      </c>
      <c r="B811" s="1" t="s">
        <v>308</v>
      </c>
      <c r="C811" s="1">
        <v>90</v>
      </c>
      <c r="D811" s="1" t="s">
        <v>19</v>
      </c>
      <c r="E811" s="1" t="s">
        <v>51</v>
      </c>
      <c r="F811" s="1" t="s">
        <v>52</v>
      </c>
      <c r="G811" s="1" t="s">
        <v>132</v>
      </c>
      <c r="H811" s="1" t="s">
        <v>35</v>
      </c>
      <c r="I811" s="1" t="s">
        <v>62</v>
      </c>
      <c r="J811" s="2">
        <v>45603</v>
      </c>
      <c r="K811" s="2">
        <v>45495</v>
      </c>
      <c r="L811" s="1">
        <v>11</v>
      </c>
      <c r="M811" s="1" t="s">
        <v>56</v>
      </c>
      <c r="N811" s="1" t="s">
        <v>57</v>
      </c>
      <c r="O811" s="4">
        <v>51013.45</v>
      </c>
      <c r="P811" s="1">
        <v>5</v>
      </c>
      <c r="Q811" s="10" t="s">
        <v>40</v>
      </c>
      <c r="R811" s="14" t="str" cm="1">
        <f t="array" ref="R811">_xlfn.IFS(C811&lt;18,"Under 18",C811&lt;36,"18-35",C811&lt;51,"36-50",C811&lt;66,"51-65",C811&gt;=66,"66+")</f>
        <v>66+</v>
      </c>
      <c r="S811" s="18">
        <v>45597</v>
      </c>
    </row>
    <row r="812" spans="1:19">
      <c r="A812" s="21" t="s">
        <v>1430</v>
      </c>
      <c r="B812" s="1" t="s">
        <v>405</v>
      </c>
      <c r="C812" s="1">
        <v>45</v>
      </c>
      <c r="D812" s="1" t="s">
        <v>27</v>
      </c>
      <c r="E812" s="1" t="s">
        <v>247</v>
      </c>
      <c r="F812" s="1" t="s">
        <v>52</v>
      </c>
      <c r="G812" s="1" t="s">
        <v>68</v>
      </c>
      <c r="H812" s="1" t="s">
        <v>105</v>
      </c>
      <c r="I812" s="1" t="s">
        <v>36</v>
      </c>
      <c r="J812" s="2">
        <v>45360</v>
      </c>
      <c r="K812" s="2">
        <v>45391</v>
      </c>
      <c r="L812" s="1">
        <v>1</v>
      </c>
      <c r="M812" s="1" t="s">
        <v>27</v>
      </c>
      <c r="N812" s="1" t="s">
        <v>39</v>
      </c>
      <c r="O812" s="4">
        <v>67063.69</v>
      </c>
      <c r="P812" s="1">
        <v>2</v>
      </c>
      <c r="Q812" s="10" t="s">
        <v>58</v>
      </c>
      <c r="R812" s="14" t="str" cm="1">
        <f t="array" ref="R812">_xlfn.IFS(C812&lt;18,"Under 18",C812&lt;36,"18-35",C812&lt;51,"36-50",C812&lt;66,"51-65",C812&gt;=66,"66+")</f>
        <v>36-50</v>
      </c>
      <c r="S812" s="18">
        <v>45352</v>
      </c>
    </row>
    <row r="813" spans="1:19">
      <c r="A813" s="21" t="s">
        <v>1431</v>
      </c>
      <c r="B813" s="1" t="s">
        <v>656</v>
      </c>
      <c r="C813" s="1">
        <v>11</v>
      </c>
      <c r="D813" s="1" t="s">
        <v>27</v>
      </c>
      <c r="E813" s="1" t="s">
        <v>247</v>
      </c>
      <c r="F813" s="1" t="s">
        <v>52</v>
      </c>
      <c r="G813" s="1" t="s">
        <v>53</v>
      </c>
      <c r="H813" s="1" t="s">
        <v>69</v>
      </c>
      <c r="I813" s="1" t="s">
        <v>62</v>
      </c>
      <c r="J813" s="2">
        <v>45661</v>
      </c>
      <c r="K813" s="2">
        <v>45720</v>
      </c>
      <c r="L813" s="1">
        <v>2</v>
      </c>
      <c r="M813" s="1" t="s">
        <v>38</v>
      </c>
      <c r="N813" s="1" t="s">
        <v>57</v>
      </c>
      <c r="O813" s="4">
        <v>77456.81</v>
      </c>
      <c r="P813" s="1">
        <v>3</v>
      </c>
      <c r="Q813" s="10" t="s">
        <v>40</v>
      </c>
      <c r="R813" s="14" t="str" cm="1">
        <f t="array" ref="R813">_xlfn.IFS(C813&lt;18,"Under 18",C813&lt;36,"18-35",C813&lt;51,"36-50",C813&lt;66,"51-65",C813&gt;=66,"66+")</f>
        <v>Under 18</v>
      </c>
      <c r="S813" s="18">
        <v>45658</v>
      </c>
    </row>
    <row r="814" spans="1:19">
      <c r="A814" s="21" t="s">
        <v>1432</v>
      </c>
      <c r="B814" s="1" t="s">
        <v>538</v>
      </c>
      <c r="C814" s="1">
        <v>63</v>
      </c>
      <c r="D814" s="1" t="s">
        <v>43</v>
      </c>
      <c r="E814" s="1" t="s">
        <v>159</v>
      </c>
      <c r="F814" s="1" t="s">
        <v>33</v>
      </c>
      <c r="G814" s="1" t="s">
        <v>34</v>
      </c>
      <c r="H814" s="1" t="s">
        <v>88</v>
      </c>
      <c r="I814" s="1" t="s">
        <v>36</v>
      </c>
      <c r="J814" s="2">
        <v>45851</v>
      </c>
      <c r="K814" s="2">
        <v>45853</v>
      </c>
      <c r="L814" s="1">
        <v>2</v>
      </c>
      <c r="M814" s="1" t="s">
        <v>56</v>
      </c>
      <c r="N814" s="1" t="s">
        <v>63</v>
      </c>
      <c r="O814" s="4">
        <v>83484.69</v>
      </c>
      <c r="P814" s="1">
        <v>4</v>
      </c>
      <c r="Q814" s="10" t="s">
        <v>58</v>
      </c>
      <c r="R814" s="14" t="str" cm="1">
        <f t="array" ref="R814">_xlfn.IFS(C814&lt;18,"Under 18",C814&lt;36,"18-35",C814&lt;51,"36-50",C814&lt;66,"51-65",C814&gt;=66,"66+")</f>
        <v>51-65</v>
      </c>
      <c r="S814" s="18">
        <v>45839</v>
      </c>
    </row>
    <row r="815" spans="1:19">
      <c r="A815" s="21" t="s">
        <v>1433</v>
      </c>
      <c r="B815" s="1" t="s">
        <v>762</v>
      </c>
      <c r="C815" s="1">
        <v>54</v>
      </c>
      <c r="D815" s="1" t="s">
        <v>19</v>
      </c>
      <c r="E815" s="1" t="s">
        <v>44</v>
      </c>
      <c r="F815" s="1" t="s">
        <v>21</v>
      </c>
      <c r="G815" s="1" t="s">
        <v>110</v>
      </c>
      <c r="H815" s="1" t="s">
        <v>76</v>
      </c>
      <c r="I815" s="1" t="s">
        <v>36</v>
      </c>
      <c r="J815" s="2">
        <v>45434</v>
      </c>
      <c r="K815" s="2">
        <v>45437</v>
      </c>
      <c r="L815" s="1">
        <v>3</v>
      </c>
      <c r="M815" s="1" t="s">
        <v>48</v>
      </c>
      <c r="N815" s="1" t="s">
        <v>28</v>
      </c>
      <c r="O815" s="4">
        <v>61564.46</v>
      </c>
      <c r="P815" s="1">
        <v>5</v>
      </c>
      <c r="Q815" s="10" t="s">
        <v>58</v>
      </c>
      <c r="R815" s="14" t="str" cm="1">
        <f t="array" ref="R815">_xlfn.IFS(C815&lt;18,"Under 18",C815&lt;36,"18-35",C815&lt;51,"36-50",C815&lt;66,"51-65",C815&gt;=66,"66+")</f>
        <v>51-65</v>
      </c>
      <c r="S815" s="18">
        <v>45413</v>
      </c>
    </row>
    <row r="816" spans="1:19">
      <c r="A816" s="21" t="s">
        <v>1435</v>
      </c>
      <c r="B816" s="1" t="s">
        <v>548</v>
      </c>
      <c r="C816" s="1">
        <v>61</v>
      </c>
      <c r="D816" s="1" t="s">
        <v>19</v>
      </c>
      <c r="E816" s="1" t="s">
        <v>44</v>
      </c>
      <c r="F816" s="1" t="s">
        <v>52</v>
      </c>
      <c r="G816" s="1" t="s">
        <v>110</v>
      </c>
      <c r="H816" s="1" t="s">
        <v>105</v>
      </c>
      <c r="I816" s="1" t="s">
        <v>62</v>
      </c>
      <c r="J816" s="2">
        <v>45392</v>
      </c>
      <c r="K816" s="2">
        <v>45453</v>
      </c>
      <c r="L816" s="1">
        <v>2</v>
      </c>
      <c r="M816" s="1" t="s">
        <v>97</v>
      </c>
      <c r="N816" s="1" t="s">
        <v>57</v>
      </c>
      <c r="O816" s="4">
        <v>142856.69</v>
      </c>
      <c r="P816" s="1">
        <v>3</v>
      </c>
      <c r="Q816" s="10" t="s">
        <v>29</v>
      </c>
      <c r="R816" s="14" t="str" cm="1">
        <f t="array" ref="R816">_xlfn.IFS(C816&lt;18,"Under 18",C816&lt;36,"18-35",C816&lt;51,"36-50",C816&lt;66,"51-65",C816&gt;=66,"66+")</f>
        <v>51-65</v>
      </c>
      <c r="S816" s="18">
        <v>45383</v>
      </c>
    </row>
    <row r="817" spans="1:19">
      <c r="A817" s="21" t="s">
        <v>1436</v>
      </c>
      <c r="B817" s="1" t="s">
        <v>830</v>
      </c>
      <c r="C817" s="1">
        <v>63</v>
      </c>
      <c r="D817" s="1" t="s">
        <v>27</v>
      </c>
      <c r="E817" s="1" t="s">
        <v>159</v>
      </c>
      <c r="F817" s="1" t="s">
        <v>75</v>
      </c>
      <c r="G817" s="1" t="s">
        <v>68</v>
      </c>
      <c r="H817" s="1" t="s">
        <v>35</v>
      </c>
      <c r="I817" s="1" t="s">
        <v>62</v>
      </c>
      <c r="J817" s="2">
        <v>45325</v>
      </c>
      <c r="K817" s="2">
        <v>45385</v>
      </c>
      <c r="L817" s="1">
        <v>2</v>
      </c>
      <c r="M817" s="1" t="s">
        <v>56</v>
      </c>
      <c r="N817" s="1" t="s">
        <v>82</v>
      </c>
      <c r="O817" s="4">
        <v>29166.13</v>
      </c>
      <c r="P817" s="1">
        <v>5</v>
      </c>
      <c r="Q817" s="10" t="s">
        <v>40</v>
      </c>
      <c r="R817" s="14" t="str" cm="1">
        <f t="array" ref="R817">_xlfn.IFS(C817&lt;18,"Under 18",C817&lt;36,"18-35",C817&lt;51,"36-50",C817&lt;66,"51-65",C817&gt;=66,"66+")</f>
        <v>51-65</v>
      </c>
      <c r="S817" s="18">
        <v>45323</v>
      </c>
    </row>
    <row r="818" spans="1:19">
      <c r="A818" s="21" t="s">
        <v>1437</v>
      </c>
      <c r="B818" s="1" t="s">
        <v>1111</v>
      </c>
      <c r="C818" s="1">
        <v>88</v>
      </c>
      <c r="D818" s="1" t="s">
        <v>27</v>
      </c>
      <c r="E818" s="1" t="s">
        <v>44</v>
      </c>
      <c r="F818" s="1" t="s">
        <v>33</v>
      </c>
      <c r="G818" s="1" t="s">
        <v>68</v>
      </c>
      <c r="H818" s="1" t="s">
        <v>88</v>
      </c>
      <c r="I818" s="1" t="s">
        <v>36</v>
      </c>
      <c r="J818" s="2">
        <v>45731</v>
      </c>
      <c r="K818" s="2">
        <v>45732</v>
      </c>
      <c r="L818" s="1">
        <v>1</v>
      </c>
      <c r="M818" s="1" t="s">
        <v>48</v>
      </c>
      <c r="N818" s="1" t="s">
        <v>57</v>
      </c>
      <c r="O818" s="4">
        <v>64907.24</v>
      </c>
      <c r="P818" s="1">
        <v>5</v>
      </c>
      <c r="Q818" s="10" t="s">
        <v>40</v>
      </c>
      <c r="R818" s="14" t="str" cm="1">
        <f t="array" ref="R818">_xlfn.IFS(C818&lt;18,"Under 18",C818&lt;36,"18-35",C818&lt;51,"36-50",C818&lt;66,"51-65",C818&gt;=66,"66+")</f>
        <v>66+</v>
      </c>
      <c r="S818" s="18">
        <v>45717</v>
      </c>
    </row>
    <row r="819" spans="1:19">
      <c r="A819" s="21" t="s">
        <v>1438</v>
      </c>
      <c r="B819" s="1" t="s">
        <v>1439</v>
      </c>
      <c r="C819" s="1">
        <v>54</v>
      </c>
      <c r="D819" s="1" t="s">
        <v>19</v>
      </c>
      <c r="E819" s="1" t="s">
        <v>66</v>
      </c>
      <c r="F819" s="1" t="s">
        <v>120</v>
      </c>
      <c r="G819" s="1" t="s">
        <v>53</v>
      </c>
      <c r="H819" s="1" t="s">
        <v>93</v>
      </c>
      <c r="I819" s="1" t="s">
        <v>24</v>
      </c>
      <c r="J819" s="2">
        <v>45330</v>
      </c>
      <c r="K819" s="2">
        <v>45512</v>
      </c>
      <c r="L819" s="1">
        <v>6</v>
      </c>
      <c r="M819" s="1" t="s">
        <v>27</v>
      </c>
      <c r="N819" s="1" t="s">
        <v>85</v>
      </c>
      <c r="O819" s="4">
        <v>118007.66</v>
      </c>
      <c r="P819" s="1">
        <v>4</v>
      </c>
      <c r="Q819" s="10" t="s">
        <v>29</v>
      </c>
      <c r="R819" s="14" t="str" cm="1">
        <f t="array" ref="R819">_xlfn.IFS(C819&lt;18,"Under 18",C819&lt;36,"18-35",C819&lt;51,"36-50",C819&lt;66,"51-65",C819&gt;=66,"66+")</f>
        <v>51-65</v>
      </c>
      <c r="S819" s="18">
        <v>45323</v>
      </c>
    </row>
    <row r="820" spans="1:19">
      <c r="A820" s="21" t="s">
        <v>1440</v>
      </c>
      <c r="B820" s="1" t="s">
        <v>780</v>
      </c>
      <c r="C820" s="1">
        <v>32</v>
      </c>
      <c r="D820" s="1" t="s">
        <v>43</v>
      </c>
      <c r="E820" s="1" t="s">
        <v>159</v>
      </c>
      <c r="F820" s="1" t="s">
        <v>33</v>
      </c>
      <c r="G820" s="1" t="s">
        <v>104</v>
      </c>
      <c r="H820" s="1" t="s">
        <v>93</v>
      </c>
      <c r="I820" s="1" t="s">
        <v>36</v>
      </c>
      <c r="J820" s="2">
        <v>45868</v>
      </c>
      <c r="K820" s="2">
        <v>45869</v>
      </c>
      <c r="L820" s="1">
        <v>1</v>
      </c>
      <c r="M820" s="1" t="s">
        <v>38</v>
      </c>
      <c r="N820" s="1" t="s">
        <v>63</v>
      </c>
      <c r="O820" s="4">
        <v>55989.78</v>
      </c>
      <c r="P820" s="1">
        <v>5</v>
      </c>
      <c r="Q820" s="10" t="s">
        <v>29</v>
      </c>
      <c r="R820" s="14" t="str" cm="1">
        <f t="array" ref="R820">_xlfn.IFS(C820&lt;18,"Under 18",C820&lt;36,"18-35",C820&lt;51,"36-50",C820&lt;66,"51-65",C820&gt;=66,"66+")</f>
        <v>18-35</v>
      </c>
      <c r="S820" s="18">
        <v>45839</v>
      </c>
    </row>
    <row r="821" spans="1:19">
      <c r="A821" s="21" t="s">
        <v>1441</v>
      </c>
      <c r="B821" s="1" t="s">
        <v>423</v>
      </c>
      <c r="C821" s="1">
        <v>47</v>
      </c>
      <c r="D821" s="1" t="s">
        <v>19</v>
      </c>
      <c r="E821" s="1" t="s">
        <v>20</v>
      </c>
      <c r="F821" s="1" t="s">
        <v>67</v>
      </c>
      <c r="G821" s="1" t="s">
        <v>110</v>
      </c>
      <c r="H821" s="1" t="s">
        <v>105</v>
      </c>
      <c r="I821" s="1" t="s">
        <v>24</v>
      </c>
      <c r="J821" s="2">
        <v>45777</v>
      </c>
      <c r="K821" s="2">
        <v>45721</v>
      </c>
      <c r="L821" s="1">
        <v>3</v>
      </c>
      <c r="M821" s="1" t="s">
        <v>48</v>
      </c>
      <c r="N821" s="1" t="s">
        <v>82</v>
      </c>
      <c r="O821" s="4">
        <v>133903.56</v>
      </c>
      <c r="P821" s="1">
        <v>3</v>
      </c>
      <c r="Q821" s="10" t="s">
        <v>72</v>
      </c>
      <c r="R821" s="14" t="str" cm="1">
        <f t="array" ref="R821">_xlfn.IFS(C821&lt;18,"Under 18",C821&lt;36,"18-35",C821&lt;51,"36-50",C821&lt;66,"51-65",C821&gt;=66,"66+")</f>
        <v>36-50</v>
      </c>
      <c r="S821" s="18">
        <v>45748</v>
      </c>
    </row>
    <row r="822" spans="1:19">
      <c r="A822" s="21" t="s">
        <v>1442</v>
      </c>
      <c r="B822" s="1" t="s">
        <v>136</v>
      </c>
      <c r="C822" s="1">
        <v>25</v>
      </c>
      <c r="D822" s="1" t="s">
        <v>27</v>
      </c>
      <c r="E822" s="1" t="s">
        <v>247</v>
      </c>
      <c r="F822" s="1" t="s">
        <v>33</v>
      </c>
      <c r="G822" s="1" t="s">
        <v>34</v>
      </c>
      <c r="H822" s="1" t="s">
        <v>105</v>
      </c>
      <c r="I822" s="1" t="s">
        <v>36</v>
      </c>
      <c r="J822" s="2">
        <v>45808</v>
      </c>
      <c r="K822" s="2">
        <v>45694</v>
      </c>
      <c r="L822" s="1">
        <v>2</v>
      </c>
      <c r="M822" s="1" t="s">
        <v>97</v>
      </c>
      <c r="N822" s="1" t="s">
        <v>63</v>
      </c>
      <c r="O822" s="4">
        <v>41288.559999999998</v>
      </c>
      <c r="P822" s="1">
        <v>1</v>
      </c>
      <c r="Q822" s="10" t="s">
        <v>58</v>
      </c>
      <c r="R822" s="14" t="str" cm="1">
        <f t="array" ref="R822">_xlfn.IFS(C822&lt;18,"Under 18",C822&lt;36,"18-35",C822&lt;51,"36-50",C822&lt;66,"51-65",C822&gt;=66,"66+")</f>
        <v>18-35</v>
      </c>
      <c r="S822" s="18">
        <v>45778</v>
      </c>
    </row>
    <row r="823" spans="1:19">
      <c r="A823" s="21" t="s">
        <v>1443</v>
      </c>
      <c r="B823" s="1" t="s">
        <v>18</v>
      </c>
      <c r="C823" s="1">
        <v>72</v>
      </c>
      <c r="D823" s="1" t="s">
        <v>19</v>
      </c>
      <c r="E823" s="1" t="s">
        <v>202</v>
      </c>
      <c r="F823" s="1" t="s">
        <v>120</v>
      </c>
      <c r="G823" s="1" t="s">
        <v>104</v>
      </c>
      <c r="H823" s="1" t="s">
        <v>105</v>
      </c>
      <c r="I823" s="1" t="s">
        <v>24</v>
      </c>
      <c r="J823" s="2">
        <v>45900</v>
      </c>
      <c r="K823" s="2">
        <v>45697</v>
      </c>
      <c r="L823" s="1">
        <v>2</v>
      </c>
      <c r="M823" s="1" t="s">
        <v>97</v>
      </c>
      <c r="N823" s="1" t="s">
        <v>82</v>
      </c>
      <c r="O823" s="4">
        <v>23891.78</v>
      </c>
      <c r="P823" s="1">
        <v>3</v>
      </c>
      <c r="Q823" s="10" t="s">
        <v>29</v>
      </c>
      <c r="R823" s="14" t="str" cm="1">
        <f t="array" ref="R823">_xlfn.IFS(C823&lt;18,"Under 18",C823&lt;36,"18-35",C823&lt;51,"36-50",C823&lt;66,"51-65",C823&gt;=66,"66+")</f>
        <v>66+</v>
      </c>
      <c r="S823" s="18">
        <v>45870</v>
      </c>
    </row>
    <row r="824" spans="1:19">
      <c r="A824" s="21" t="s">
        <v>1444</v>
      </c>
      <c r="B824" s="1" t="s">
        <v>393</v>
      </c>
      <c r="C824" s="1">
        <v>41</v>
      </c>
      <c r="D824" s="1" t="s">
        <v>27</v>
      </c>
      <c r="E824" s="1" t="s">
        <v>44</v>
      </c>
      <c r="F824" s="1" t="s">
        <v>67</v>
      </c>
      <c r="G824" s="1" t="s">
        <v>53</v>
      </c>
      <c r="H824" s="1" t="s">
        <v>76</v>
      </c>
      <c r="I824" s="1" t="s">
        <v>36</v>
      </c>
      <c r="J824" s="2">
        <v>45676</v>
      </c>
      <c r="K824" s="2">
        <v>45677</v>
      </c>
      <c r="L824" s="1">
        <v>1</v>
      </c>
      <c r="M824" s="1" t="s">
        <v>27</v>
      </c>
      <c r="N824" s="1" t="s">
        <v>28</v>
      </c>
      <c r="O824" s="4">
        <v>43783.64</v>
      </c>
      <c r="P824" s="1">
        <v>5</v>
      </c>
      <c r="Q824" s="10" t="s">
        <v>29</v>
      </c>
      <c r="R824" s="14" t="str" cm="1">
        <f t="array" ref="R824">_xlfn.IFS(C824&lt;18,"Under 18",C824&lt;36,"18-35",C824&lt;51,"36-50",C824&lt;66,"51-65",C824&gt;=66,"66+")</f>
        <v>36-50</v>
      </c>
      <c r="S824" s="18">
        <v>45658</v>
      </c>
    </row>
    <row r="825" spans="1:19">
      <c r="A825" s="21" t="s">
        <v>1446</v>
      </c>
      <c r="B825" s="1" t="s">
        <v>31</v>
      </c>
      <c r="C825" s="1">
        <v>64</v>
      </c>
      <c r="D825" s="1" t="s">
        <v>19</v>
      </c>
      <c r="E825" s="1" t="s">
        <v>137</v>
      </c>
      <c r="F825" s="1" t="s">
        <v>120</v>
      </c>
      <c r="G825" s="1" t="s">
        <v>132</v>
      </c>
      <c r="H825" s="1" t="s">
        <v>45</v>
      </c>
      <c r="I825" s="1" t="s">
        <v>36</v>
      </c>
      <c r="J825" s="2">
        <v>45568</v>
      </c>
      <c r="K825" s="2">
        <v>45599</v>
      </c>
      <c r="L825" s="1">
        <v>1</v>
      </c>
      <c r="M825" s="1" t="s">
        <v>97</v>
      </c>
      <c r="N825" s="1" t="s">
        <v>57</v>
      </c>
      <c r="O825" s="4">
        <v>67090.149999999994</v>
      </c>
      <c r="P825" s="1">
        <v>5</v>
      </c>
      <c r="Q825" s="10" t="s">
        <v>72</v>
      </c>
      <c r="R825" s="14" t="str" cm="1">
        <f t="array" ref="R825">_xlfn.IFS(C825&lt;18,"Under 18",C825&lt;36,"18-35",C825&lt;51,"36-50",C825&lt;66,"51-65",C825&gt;=66,"66+")</f>
        <v>51-65</v>
      </c>
      <c r="S825" s="18">
        <v>45566</v>
      </c>
    </row>
    <row r="826" spans="1:19">
      <c r="A826" s="21" t="s">
        <v>1447</v>
      </c>
      <c r="B826" s="1" t="s">
        <v>826</v>
      </c>
      <c r="C826" s="1">
        <v>68</v>
      </c>
      <c r="D826" s="1" t="s">
        <v>43</v>
      </c>
      <c r="E826" s="1" t="s">
        <v>20</v>
      </c>
      <c r="F826" s="1" t="s">
        <v>75</v>
      </c>
      <c r="G826" s="1" t="s">
        <v>22</v>
      </c>
      <c r="H826" s="1" t="s">
        <v>61</v>
      </c>
      <c r="I826" s="1" t="s">
        <v>24</v>
      </c>
      <c r="J826" s="2">
        <v>45949</v>
      </c>
      <c r="K826" s="2">
        <v>45955</v>
      </c>
      <c r="L826" s="1">
        <v>6</v>
      </c>
      <c r="M826" s="1" t="s">
        <v>27</v>
      </c>
      <c r="N826" s="1" t="s">
        <v>28</v>
      </c>
      <c r="O826" s="4">
        <v>44740.36</v>
      </c>
      <c r="P826" s="1">
        <v>2</v>
      </c>
      <c r="Q826" s="10" t="s">
        <v>72</v>
      </c>
      <c r="R826" s="14" t="str" cm="1">
        <f t="array" ref="R826">_xlfn.IFS(C826&lt;18,"Under 18",C826&lt;36,"18-35",C826&lt;51,"36-50",C826&lt;66,"51-65",C826&gt;=66,"66+")</f>
        <v>66+</v>
      </c>
      <c r="S826" s="18">
        <v>45931</v>
      </c>
    </row>
    <row r="827" spans="1:19">
      <c r="A827" s="21" t="s">
        <v>1448</v>
      </c>
      <c r="B827" s="1" t="s">
        <v>141</v>
      </c>
      <c r="C827" s="1">
        <v>83</v>
      </c>
      <c r="D827" s="1" t="s">
        <v>27</v>
      </c>
      <c r="E827" s="1" t="s">
        <v>137</v>
      </c>
      <c r="F827" s="1" t="s">
        <v>52</v>
      </c>
      <c r="G827" s="1" t="s">
        <v>132</v>
      </c>
      <c r="H827" s="1" t="s">
        <v>35</v>
      </c>
      <c r="I827" s="1" t="s">
        <v>24</v>
      </c>
      <c r="J827" s="2">
        <v>45522</v>
      </c>
      <c r="K827" s="2">
        <v>45523</v>
      </c>
      <c r="L827" s="1">
        <v>1</v>
      </c>
      <c r="M827" s="1" t="s">
        <v>97</v>
      </c>
      <c r="N827" s="1" t="s">
        <v>28</v>
      </c>
      <c r="O827" s="4">
        <v>81672.73</v>
      </c>
      <c r="P827" s="1">
        <v>3</v>
      </c>
      <c r="Q827" s="10" t="s">
        <v>40</v>
      </c>
      <c r="R827" s="14" t="str" cm="1">
        <f t="array" ref="R827">_xlfn.IFS(C827&lt;18,"Under 18",C827&lt;36,"18-35",C827&lt;51,"36-50",C827&lt;66,"51-65",C827&gt;=66,"66+")</f>
        <v>66+</v>
      </c>
      <c r="S827" s="18">
        <v>45505</v>
      </c>
    </row>
    <row r="828" spans="1:19">
      <c r="A828" s="21" t="s">
        <v>1449</v>
      </c>
      <c r="B828" s="1" t="s">
        <v>510</v>
      </c>
      <c r="C828" s="1">
        <v>64</v>
      </c>
      <c r="D828" s="1" t="s">
        <v>19</v>
      </c>
      <c r="E828" s="1" t="s">
        <v>32</v>
      </c>
      <c r="F828" s="1" t="s">
        <v>67</v>
      </c>
      <c r="G828" s="1" t="s">
        <v>34</v>
      </c>
      <c r="H828" s="1" t="s">
        <v>61</v>
      </c>
      <c r="I828" s="1" t="s">
        <v>62</v>
      </c>
      <c r="J828" s="2">
        <v>45977</v>
      </c>
      <c r="K828" s="2">
        <v>45983</v>
      </c>
      <c r="L828" s="1">
        <v>6</v>
      </c>
      <c r="M828" s="1" t="s">
        <v>27</v>
      </c>
      <c r="N828" s="1" t="s">
        <v>39</v>
      </c>
      <c r="O828" s="4">
        <v>76401</v>
      </c>
      <c r="P828" s="1">
        <v>4</v>
      </c>
      <c r="Q828" s="10" t="s">
        <v>29</v>
      </c>
      <c r="R828" s="14" t="str" cm="1">
        <f t="array" ref="R828">_xlfn.IFS(C828&lt;18,"Under 18",C828&lt;36,"18-35",C828&lt;51,"36-50",C828&lt;66,"51-65",C828&gt;=66,"66+")</f>
        <v>51-65</v>
      </c>
      <c r="S828" s="18">
        <v>45962</v>
      </c>
    </row>
    <row r="829" spans="1:19">
      <c r="A829" s="21" t="s">
        <v>1450</v>
      </c>
      <c r="B829" s="1" t="s">
        <v>570</v>
      </c>
      <c r="C829" s="1">
        <v>51</v>
      </c>
      <c r="D829" s="1" t="s">
        <v>19</v>
      </c>
      <c r="E829" s="1" t="s">
        <v>44</v>
      </c>
      <c r="F829" s="1" t="s">
        <v>120</v>
      </c>
      <c r="G829" s="1" t="s">
        <v>68</v>
      </c>
      <c r="H829" s="1" t="s">
        <v>105</v>
      </c>
      <c r="I829" s="1" t="s">
        <v>62</v>
      </c>
      <c r="J829" s="2">
        <v>45388</v>
      </c>
      <c r="K829" s="2">
        <v>45418</v>
      </c>
      <c r="L829" s="1">
        <v>1</v>
      </c>
      <c r="M829" s="1" t="s">
        <v>56</v>
      </c>
      <c r="N829" s="1" t="s">
        <v>82</v>
      </c>
      <c r="O829" s="4">
        <v>52607.18</v>
      </c>
      <c r="P829" s="1">
        <v>4</v>
      </c>
      <c r="Q829" s="10" t="s">
        <v>40</v>
      </c>
      <c r="R829" s="14" t="str" cm="1">
        <f t="array" ref="R829">_xlfn.IFS(C829&lt;18,"Under 18",C829&lt;36,"18-35",C829&lt;51,"36-50",C829&lt;66,"51-65",C829&gt;=66,"66+")</f>
        <v>51-65</v>
      </c>
      <c r="S829" s="18">
        <v>45383</v>
      </c>
    </row>
    <row r="830" spans="1:19">
      <c r="A830" s="21" t="s">
        <v>1451</v>
      </c>
      <c r="B830" s="1" t="s">
        <v>87</v>
      </c>
      <c r="C830" s="1">
        <v>51</v>
      </c>
      <c r="D830" s="1" t="s">
        <v>19</v>
      </c>
      <c r="E830" s="1" t="s">
        <v>20</v>
      </c>
      <c r="F830" s="1" t="s">
        <v>67</v>
      </c>
      <c r="G830" s="1" t="s">
        <v>36</v>
      </c>
      <c r="H830" s="1" t="s">
        <v>61</v>
      </c>
      <c r="I830" s="1" t="s">
        <v>24</v>
      </c>
      <c r="J830" s="2">
        <v>45958</v>
      </c>
      <c r="K830" s="2">
        <v>45961</v>
      </c>
      <c r="L830" s="1">
        <v>3</v>
      </c>
      <c r="M830" s="1" t="s">
        <v>38</v>
      </c>
      <c r="N830" s="1" t="s">
        <v>39</v>
      </c>
      <c r="O830" s="4">
        <v>25492.74</v>
      </c>
      <c r="P830" s="1">
        <v>2</v>
      </c>
      <c r="Q830" s="10" t="s">
        <v>29</v>
      </c>
      <c r="R830" s="14" t="str" cm="1">
        <f t="array" ref="R830">_xlfn.IFS(C830&lt;18,"Under 18",C830&lt;36,"18-35",C830&lt;51,"36-50",C830&lt;66,"51-65",C830&gt;=66,"66+")</f>
        <v>51-65</v>
      </c>
      <c r="S830" s="18">
        <v>45931</v>
      </c>
    </row>
    <row r="831" spans="1:19">
      <c r="A831" s="21" t="s">
        <v>1452</v>
      </c>
      <c r="B831" s="1" t="s">
        <v>837</v>
      </c>
      <c r="C831" s="1">
        <v>76</v>
      </c>
      <c r="D831" s="1" t="s">
        <v>43</v>
      </c>
      <c r="E831" s="1" t="s">
        <v>247</v>
      </c>
      <c r="F831" s="1" t="s">
        <v>21</v>
      </c>
      <c r="G831" s="1" t="s">
        <v>68</v>
      </c>
      <c r="H831" s="1" t="s">
        <v>61</v>
      </c>
      <c r="I831" s="1" t="s">
        <v>62</v>
      </c>
      <c r="J831" s="2">
        <v>45748</v>
      </c>
      <c r="K831" s="2">
        <v>45778</v>
      </c>
      <c r="L831" s="1">
        <v>1</v>
      </c>
      <c r="M831" s="1" t="s">
        <v>97</v>
      </c>
      <c r="N831" s="1" t="s">
        <v>63</v>
      </c>
      <c r="O831" s="4">
        <v>49310.25</v>
      </c>
      <c r="P831" s="1">
        <v>3</v>
      </c>
      <c r="Q831" s="10" t="s">
        <v>40</v>
      </c>
      <c r="R831" s="14" t="str" cm="1">
        <f t="array" ref="R831">_xlfn.IFS(C831&lt;18,"Under 18",C831&lt;36,"18-35",C831&lt;51,"36-50",C831&lt;66,"51-65",C831&gt;=66,"66+")</f>
        <v>66+</v>
      </c>
      <c r="S831" s="18">
        <v>45748</v>
      </c>
    </row>
    <row r="832" spans="1:19">
      <c r="A832" s="21" t="s">
        <v>1453</v>
      </c>
      <c r="B832" s="1" t="s">
        <v>593</v>
      </c>
      <c r="C832" s="1">
        <v>59</v>
      </c>
      <c r="D832" s="1" t="s">
        <v>43</v>
      </c>
      <c r="E832" s="1" t="s">
        <v>202</v>
      </c>
      <c r="F832" s="1" t="s">
        <v>120</v>
      </c>
      <c r="G832" s="1" t="s">
        <v>132</v>
      </c>
      <c r="H832" s="1" t="s">
        <v>45</v>
      </c>
      <c r="I832" s="1" t="s">
        <v>36</v>
      </c>
      <c r="J832" s="2">
        <v>45878</v>
      </c>
      <c r="K832" s="2">
        <v>45913</v>
      </c>
      <c r="L832" s="1">
        <v>5</v>
      </c>
      <c r="M832" s="1" t="s">
        <v>38</v>
      </c>
      <c r="N832" s="1" t="s">
        <v>57</v>
      </c>
      <c r="O832" s="4">
        <v>56995.03</v>
      </c>
      <c r="P832" s="1">
        <v>5</v>
      </c>
      <c r="Q832" s="10" t="s">
        <v>58</v>
      </c>
      <c r="R832" s="14" t="str" cm="1">
        <f t="array" ref="R832">_xlfn.IFS(C832&lt;18,"Under 18",C832&lt;36,"18-35",C832&lt;51,"36-50",C832&lt;66,"51-65",C832&gt;=66,"66+")</f>
        <v>51-65</v>
      </c>
      <c r="S832" s="18">
        <v>45870</v>
      </c>
    </row>
    <row r="833" spans="1:19">
      <c r="A833" s="21" t="s">
        <v>1454</v>
      </c>
      <c r="B833" s="1" t="s">
        <v>324</v>
      </c>
      <c r="C833" s="1">
        <v>73</v>
      </c>
      <c r="D833" s="1" t="s">
        <v>19</v>
      </c>
      <c r="E833" s="1" t="s">
        <v>202</v>
      </c>
      <c r="F833" s="1" t="s">
        <v>75</v>
      </c>
      <c r="G833" s="1" t="s">
        <v>36</v>
      </c>
      <c r="H833" s="1" t="s">
        <v>88</v>
      </c>
      <c r="I833" s="1" t="s">
        <v>62</v>
      </c>
      <c r="J833" s="2">
        <v>45539</v>
      </c>
      <c r="K833" s="2">
        <v>45630</v>
      </c>
      <c r="L833" s="1">
        <v>3</v>
      </c>
      <c r="M833" s="1" t="s">
        <v>56</v>
      </c>
      <c r="N833" s="1" t="s">
        <v>82</v>
      </c>
      <c r="O833" s="4">
        <v>17555.259999999998</v>
      </c>
      <c r="P833" s="1">
        <v>4</v>
      </c>
      <c r="Q833" s="10" t="s">
        <v>58</v>
      </c>
      <c r="R833" s="14" t="str" cm="1">
        <f t="array" ref="R833">_xlfn.IFS(C833&lt;18,"Under 18",C833&lt;36,"18-35",C833&lt;51,"36-50",C833&lt;66,"51-65",C833&gt;=66,"66+")</f>
        <v>66+</v>
      </c>
      <c r="S833" s="18">
        <v>45536</v>
      </c>
    </row>
    <row r="834" spans="1:19">
      <c r="A834" s="21" t="s">
        <v>1455</v>
      </c>
      <c r="B834" s="1" t="s">
        <v>659</v>
      </c>
      <c r="C834" s="1">
        <v>27</v>
      </c>
      <c r="D834" s="1" t="s">
        <v>19</v>
      </c>
      <c r="E834" s="1" t="s">
        <v>117</v>
      </c>
      <c r="F834" s="1" t="s">
        <v>75</v>
      </c>
      <c r="G834" s="1" t="s">
        <v>110</v>
      </c>
      <c r="H834" s="1" t="s">
        <v>99</v>
      </c>
      <c r="I834" s="1" t="s">
        <v>24</v>
      </c>
      <c r="J834" s="2">
        <v>45943</v>
      </c>
      <c r="K834" s="2">
        <v>45955</v>
      </c>
      <c r="L834" s="1">
        <v>12</v>
      </c>
      <c r="M834" s="1" t="s">
        <v>27</v>
      </c>
      <c r="N834" s="1" t="s">
        <v>57</v>
      </c>
      <c r="O834" s="4">
        <v>46814.89</v>
      </c>
      <c r="P834" s="1">
        <v>4</v>
      </c>
      <c r="Q834" s="10" t="s">
        <v>72</v>
      </c>
      <c r="R834" s="14" t="str" cm="1">
        <f t="array" ref="R834">_xlfn.IFS(C834&lt;18,"Under 18",C834&lt;36,"18-35",C834&lt;51,"36-50",C834&lt;66,"51-65",C834&gt;=66,"66+")</f>
        <v>18-35</v>
      </c>
      <c r="S834" s="18">
        <v>45931</v>
      </c>
    </row>
    <row r="835" spans="1:19">
      <c r="A835" s="21" t="s">
        <v>1456</v>
      </c>
      <c r="B835" s="1" t="s">
        <v>593</v>
      </c>
      <c r="C835" s="1">
        <v>89</v>
      </c>
      <c r="D835" s="1" t="s">
        <v>19</v>
      </c>
      <c r="E835" s="1" t="s">
        <v>32</v>
      </c>
      <c r="F835" s="1" t="s">
        <v>120</v>
      </c>
      <c r="G835" s="1" t="s">
        <v>34</v>
      </c>
      <c r="H835" s="1" t="s">
        <v>93</v>
      </c>
      <c r="I835" s="1" t="s">
        <v>24</v>
      </c>
      <c r="J835" s="2">
        <v>45512</v>
      </c>
      <c r="K835" s="2">
        <v>45604</v>
      </c>
      <c r="L835" s="1">
        <v>3</v>
      </c>
      <c r="M835" s="1" t="s">
        <v>38</v>
      </c>
      <c r="N835" s="1" t="s">
        <v>63</v>
      </c>
      <c r="O835" s="4">
        <v>70548.13</v>
      </c>
      <c r="P835" s="1">
        <v>3</v>
      </c>
      <c r="Q835" s="10" t="s">
        <v>58</v>
      </c>
      <c r="R835" s="14" t="str" cm="1">
        <f t="array" ref="R835">_xlfn.IFS(C835&lt;18,"Under 18",C835&lt;36,"18-35",C835&lt;51,"36-50",C835&lt;66,"51-65",C835&gt;=66,"66+")</f>
        <v>66+</v>
      </c>
      <c r="S835" s="18">
        <v>45505</v>
      </c>
    </row>
    <row r="836" spans="1:19">
      <c r="A836" s="21" t="s">
        <v>1457</v>
      </c>
      <c r="B836" s="1" t="s">
        <v>585</v>
      </c>
      <c r="C836" s="1">
        <v>26</v>
      </c>
      <c r="D836" s="1" t="s">
        <v>43</v>
      </c>
      <c r="E836" s="1" t="s">
        <v>51</v>
      </c>
      <c r="F836" s="1" t="s">
        <v>52</v>
      </c>
      <c r="G836" s="1" t="s">
        <v>132</v>
      </c>
      <c r="H836" s="1" t="s">
        <v>93</v>
      </c>
      <c r="I836" s="1" t="s">
        <v>62</v>
      </c>
      <c r="J836" s="2">
        <v>45316</v>
      </c>
      <c r="K836" s="2">
        <v>45318</v>
      </c>
      <c r="L836" s="1">
        <v>2</v>
      </c>
      <c r="M836" s="1" t="s">
        <v>56</v>
      </c>
      <c r="N836" s="1" t="s">
        <v>63</v>
      </c>
      <c r="O836" s="4">
        <v>71155.839999999997</v>
      </c>
      <c r="P836" s="1">
        <v>5</v>
      </c>
      <c r="Q836" s="10" t="s">
        <v>72</v>
      </c>
      <c r="R836" s="14" t="str" cm="1">
        <f t="array" ref="R836">_xlfn.IFS(C836&lt;18,"Under 18",C836&lt;36,"18-35",C836&lt;51,"36-50",C836&lt;66,"51-65",C836&gt;=66,"66+")</f>
        <v>18-35</v>
      </c>
      <c r="S836" s="18">
        <v>45292</v>
      </c>
    </row>
    <row r="837" spans="1:19">
      <c r="A837" s="21" t="s">
        <v>1458</v>
      </c>
      <c r="B837" s="1" t="s">
        <v>1111</v>
      </c>
      <c r="C837" s="1">
        <v>37</v>
      </c>
      <c r="D837" s="1" t="s">
        <v>43</v>
      </c>
      <c r="E837" s="1" t="s">
        <v>247</v>
      </c>
      <c r="F837" s="1" t="s">
        <v>33</v>
      </c>
      <c r="G837" s="1" t="s">
        <v>110</v>
      </c>
      <c r="H837" s="1" t="s">
        <v>88</v>
      </c>
      <c r="I837" s="1" t="s">
        <v>36</v>
      </c>
      <c r="J837" s="2">
        <v>45382</v>
      </c>
      <c r="K837" s="2">
        <v>45355</v>
      </c>
      <c r="L837" s="1">
        <v>3</v>
      </c>
      <c r="M837" s="1" t="s">
        <v>27</v>
      </c>
      <c r="N837" s="1" t="s">
        <v>57</v>
      </c>
      <c r="O837" s="4">
        <v>92168.21</v>
      </c>
      <c r="P837" s="1">
        <v>4</v>
      </c>
      <c r="Q837" s="10" t="s">
        <v>40</v>
      </c>
      <c r="R837" s="14" t="str" cm="1">
        <f t="array" ref="R837">_xlfn.IFS(C837&lt;18,"Under 18",C837&lt;36,"18-35",C837&lt;51,"36-50",C837&lt;66,"51-65",C837&gt;=66,"66+")</f>
        <v>36-50</v>
      </c>
      <c r="S837" s="18">
        <v>45352</v>
      </c>
    </row>
    <row r="838" spans="1:19">
      <c r="A838" s="21" t="s">
        <v>1459</v>
      </c>
      <c r="B838" s="1" t="s">
        <v>515</v>
      </c>
      <c r="C838" s="1">
        <v>60</v>
      </c>
      <c r="D838" s="1" t="s">
        <v>43</v>
      </c>
      <c r="E838" s="1" t="s">
        <v>66</v>
      </c>
      <c r="F838" s="1" t="s">
        <v>120</v>
      </c>
      <c r="G838" s="1" t="s">
        <v>104</v>
      </c>
      <c r="H838" s="1" t="s">
        <v>23</v>
      </c>
      <c r="I838" s="1" t="s">
        <v>62</v>
      </c>
      <c r="J838" s="2">
        <v>45591</v>
      </c>
      <c r="K838" s="2">
        <v>45393</v>
      </c>
      <c r="L838" s="1">
        <v>9</v>
      </c>
      <c r="M838" s="1" t="s">
        <v>97</v>
      </c>
      <c r="N838" s="1" t="s">
        <v>57</v>
      </c>
      <c r="O838" s="4">
        <v>52214.1</v>
      </c>
      <c r="P838" s="1">
        <v>5</v>
      </c>
      <c r="Q838" s="10" t="s">
        <v>29</v>
      </c>
      <c r="R838" s="14" t="str" cm="1">
        <f t="array" ref="R838">_xlfn.IFS(C838&lt;18,"Under 18",C838&lt;36,"18-35",C838&lt;51,"36-50",C838&lt;66,"51-65",C838&gt;=66,"66+")</f>
        <v>51-65</v>
      </c>
      <c r="S838" s="18">
        <v>45566</v>
      </c>
    </row>
    <row r="839" spans="1:19">
      <c r="A839" s="21" t="s">
        <v>1460</v>
      </c>
      <c r="B839" s="1" t="s">
        <v>321</v>
      </c>
      <c r="C839" s="1">
        <v>6</v>
      </c>
      <c r="D839" s="1" t="s">
        <v>43</v>
      </c>
      <c r="E839" s="1" t="s">
        <v>137</v>
      </c>
      <c r="F839" s="1" t="s">
        <v>75</v>
      </c>
      <c r="G839" s="1" t="s">
        <v>110</v>
      </c>
      <c r="H839" s="1" t="s">
        <v>69</v>
      </c>
      <c r="I839" s="1" t="s">
        <v>24</v>
      </c>
      <c r="J839" s="2">
        <v>45694</v>
      </c>
      <c r="K839" s="2">
        <v>45722</v>
      </c>
      <c r="L839" s="1">
        <v>1</v>
      </c>
      <c r="M839" s="1" t="s">
        <v>27</v>
      </c>
      <c r="N839" s="1" t="s">
        <v>28</v>
      </c>
      <c r="O839" s="4">
        <v>42919.93</v>
      </c>
      <c r="P839" s="1">
        <v>3</v>
      </c>
      <c r="Q839" s="10" t="s">
        <v>72</v>
      </c>
      <c r="R839" s="14" t="str" cm="1">
        <f t="array" ref="R839">_xlfn.IFS(C839&lt;18,"Under 18",C839&lt;36,"18-35",C839&lt;51,"36-50",C839&lt;66,"51-65",C839&gt;=66,"66+")</f>
        <v>Under 18</v>
      </c>
      <c r="S839" s="18">
        <v>45689</v>
      </c>
    </row>
    <row r="840" spans="1:19">
      <c r="A840" s="21" t="s">
        <v>1461</v>
      </c>
      <c r="B840" s="1" t="s">
        <v>344</v>
      </c>
      <c r="C840" s="1">
        <v>74</v>
      </c>
      <c r="D840" s="1" t="s">
        <v>19</v>
      </c>
      <c r="E840" s="1" t="s">
        <v>51</v>
      </c>
      <c r="F840" s="1" t="s">
        <v>52</v>
      </c>
      <c r="G840" s="1" t="s">
        <v>132</v>
      </c>
      <c r="H840" s="1" t="s">
        <v>88</v>
      </c>
      <c r="I840" s="1" t="s">
        <v>62</v>
      </c>
      <c r="J840" s="2">
        <v>45552</v>
      </c>
      <c r="K840" s="2">
        <v>45558</v>
      </c>
      <c r="L840" s="1">
        <v>6</v>
      </c>
      <c r="M840" s="1" t="s">
        <v>56</v>
      </c>
      <c r="N840" s="1" t="s">
        <v>90</v>
      </c>
      <c r="O840" s="4">
        <v>47710.14</v>
      </c>
      <c r="P840" s="1">
        <v>4</v>
      </c>
      <c r="Q840" s="10" t="s">
        <v>40</v>
      </c>
      <c r="R840" s="14" t="str" cm="1">
        <f t="array" ref="R840">_xlfn.IFS(C840&lt;18,"Under 18",C840&lt;36,"18-35",C840&lt;51,"36-50",C840&lt;66,"51-65",C840&gt;=66,"66+")</f>
        <v>66+</v>
      </c>
      <c r="S840" s="18">
        <v>45536</v>
      </c>
    </row>
    <row r="841" spans="1:19">
      <c r="A841" s="21" t="s">
        <v>1463</v>
      </c>
      <c r="B841" s="1" t="s">
        <v>221</v>
      </c>
      <c r="C841" s="1">
        <v>53</v>
      </c>
      <c r="D841" s="1" t="s">
        <v>27</v>
      </c>
      <c r="E841" s="1" t="s">
        <v>66</v>
      </c>
      <c r="F841" s="1" t="s">
        <v>75</v>
      </c>
      <c r="G841" s="1" t="s">
        <v>132</v>
      </c>
      <c r="H841" s="1" t="s">
        <v>99</v>
      </c>
      <c r="I841" s="1" t="s">
        <v>24</v>
      </c>
      <c r="J841" s="2">
        <v>45400</v>
      </c>
      <c r="K841" s="2">
        <v>45406</v>
      </c>
      <c r="L841" s="1">
        <v>6</v>
      </c>
      <c r="M841" s="1" t="s">
        <v>38</v>
      </c>
      <c r="N841" s="1" t="s">
        <v>85</v>
      </c>
      <c r="O841" s="4">
        <v>77202.399999999994</v>
      </c>
      <c r="P841" s="1">
        <v>5</v>
      </c>
      <c r="Q841" s="10" t="s">
        <v>58</v>
      </c>
      <c r="R841" s="14" t="str" cm="1">
        <f t="array" ref="R841">_xlfn.IFS(C841&lt;18,"Under 18",C841&lt;36,"18-35",C841&lt;51,"36-50",C841&lt;66,"51-65",C841&gt;=66,"66+")</f>
        <v>51-65</v>
      </c>
      <c r="S841" s="18">
        <v>45383</v>
      </c>
    </row>
    <row r="842" spans="1:19">
      <c r="A842" s="21" t="s">
        <v>1464</v>
      </c>
      <c r="B842" s="1" t="s">
        <v>291</v>
      </c>
      <c r="C842" s="1">
        <v>39</v>
      </c>
      <c r="D842" s="1" t="s">
        <v>19</v>
      </c>
      <c r="E842" s="1" t="s">
        <v>117</v>
      </c>
      <c r="F842" s="1" t="s">
        <v>33</v>
      </c>
      <c r="G842" s="1" t="s">
        <v>34</v>
      </c>
      <c r="H842" s="1" t="s">
        <v>99</v>
      </c>
      <c r="I842" s="1" t="s">
        <v>36</v>
      </c>
      <c r="J842" s="2">
        <v>45876</v>
      </c>
      <c r="K842" s="2">
        <v>45907</v>
      </c>
      <c r="L842" s="1">
        <v>1</v>
      </c>
      <c r="M842" s="1" t="s">
        <v>97</v>
      </c>
      <c r="N842" s="1" t="s">
        <v>82</v>
      </c>
      <c r="O842" s="4">
        <v>18679.12</v>
      </c>
      <c r="P842" s="1">
        <v>3</v>
      </c>
      <c r="Q842" s="10" t="s">
        <v>58</v>
      </c>
      <c r="R842" s="14" t="str" cm="1">
        <f t="array" ref="R842">_xlfn.IFS(C842&lt;18,"Under 18",C842&lt;36,"18-35",C842&lt;51,"36-50",C842&lt;66,"51-65",C842&gt;=66,"66+")</f>
        <v>36-50</v>
      </c>
      <c r="S842" s="18">
        <v>45870</v>
      </c>
    </row>
    <row r="843" spans="1:19">
      <c r="A843" s="21" t="s">
        <v>1465</v>
      </c>
      <c r="B843" s="1" t="s">
        <v>259</v>
      </c>
      <c r="C843" s="1">
        <v>2</v>
      </c>
      <c r="D843" s="1" t="s">
        <v>27</v>
      </c>
      <c r="E843" s="1" t="s">
        <v>159</v>
      </c>
      <c r="F843" s="1" t="s">
        <v>75</v>
      </c>
      <c r="G843" s="1" t="s">
        <v>68</v>
      </c>
      <c r="H843" s="1" t="s">
        <v>76</v>
      </c>
      <c r="I843" s="1" t="s">
        <v>62</v>
      </c>
      <c r="J843" s="2">
        <v>45725</v>
      </c>
      <c r="K843" s="2">
        <v>45817</v>
      </c>
      <c r="L843" s="1">
        <v>3</v>
      </c>
      <c r="M843" s="1" t="s">
        <v>38</v>
      </c>
      <c r="N843" s="1" t="s">
        <v>82</v>
      </c>
      <c r="O843" s="4">
        <v>57205.82</v>
      </c>
      <c r="P843" s="1">
        <v>5</v>
      </c>
      <c r="Q843" s="10" t="s">
        <v>72</v>
      </c>
      <c r="R843" s="14" t="str" cm="1">
        <f t="array" ref="R843">_xlfn.IFS(C843&lt;18,"Under 18",C843&lt;36,"18-35",C843&lt;51,"36-50",C843&lt;66,"51-65",C843&gt;=66,"66+")</f>
        <v>Under 18</v>
      </c>
      <c r="S843" s="18">
        <v>45717</v>
      </c>
    </row>
    <row r="844" spans="1:19">
      <c r="A844" s="21" t="s">
        <v>1466</v>
      </c>
      <c r="B844" s="1" t="s">
        <v>857</v>
      </c>
      <c r="C844" s="1">
        <v>33</v>
      </c>
      <c r="D844" s="1" t="s">
        <v>27</v>
      </c>
      <c r="E844" s="1" t="s">
        <v>137</v>
      </c>
      <c r="F844" s="1" t="s">
        <v>75</v>
      </c>
      <c r="G844" s="1" t="s">
        <v>36</v>
      </c>
      <c r="H844" s="1" t="s">
        <v>69</v>
      </c>
      <c r="I844" s="1" t="s">
        <v>62</v>
      </c>
      <c r="J844" s="2">
        <v>45776</v>
      </c>
      <c r="K844" s="2">
        <v>45843</v>
      </c>
      <c r="L844" s="1">
        <v>8</v>
      </c>
      <c r="M844" s="1" t="s">
        <v>48</v>
      </c>
      <c r="N844" s="1" t="s">
        <v>57</v>
      </c>
      <c r="O844" s="4">
        <v>71596.14</v>
      </c>
      <c r="P844" s="1">
        <v>4</v>
      </c>
      <c r="Q844" s="10" t="s">
        <v>40</v>
      </c>
      <c r="R844" s="14" t="str" cm="1">
        <f t="array" ref="R844">_xlfn.IFS(C844&lt;18,"Under 18",C844&lt;36,"18-35",C844&lt;51,"36-50",C844&lt;66,"51-65",C844&gt;=66,"66+")</f>
        <v>18-35</v>
      </c>
      <c r="S844" s="18">
        <v>45748</v>
      </c>
    </row>
    <row r="845" spans="1:19">
      <c r="A845" s="21" t="s">
        <v>1467</v>
      </c>
      <c r="B845" s="1" t="s">
        <v>302</v>
      </c>
      <c r="C845" s="1">
        <v>70</v>
      </c>
      <c r="D845" s="1" t="s">
        <v>19</v>
      </c>
      <c r="E845" s="1" t="s">
        <v>202</v>
      </c>
      <c r="F845" s="1" t="s">
        <v>120</v>
      </c>
      <c r="G845" s="1" t="s">
        <v>22</v>
      </c>
      <c r="H845" s="1" t="s">
        <v>93</v>
      </c>
      <c r="I845" s="1" t="s">
        <v>62</v>
      </c>
      <c r="J845" s="2">
        <v>45376</v>
      </c>
      <c r="K845" s="2">
        <v>45295</v>
      </c>
      <c r="L845" s="1">
        <v>7</v>
      </c>
      <c r="M845" s="1" t="s">
        <v>27</v>
      </c>
      <c r="N845" s="1" t="s">
        <v>39</v>
      </c>
      <c r="O845" s="4">
        <v>39729.129999999997</v>
      </c>
      <c r="P845" s="1">
        <v>4</v>
      </c>
      <c r="Q845" s="10" t="s">
        <v>58</v>
      </c>
      <c r="R845" s="14" t="str" cm="1">
        <f t="array" ref="R845">_xlfn.IFS(C845&lt;18,"Under 18",C845&lt;36,"18-35",C845&lt;51,"36-50",C845&lt;66,"51-65",C845&gt;=66,"66+")</f>
        <v>66+</v>
      </c>
      <c r="S845" s="18">
        <v>45352</v>
      </c>
    </row>
    <row r="846" spans="1:19">
      <c r="A846" s="21" t="s">
        <v>1468</v>
      </c>
      <c r="B846" s="1" t="s">
        <v>443</v>
      </c>
      <c r="C846" s="1">
        <v>28</v>
      </c>
      <c r="D846" s="1" t="s">
        <v>27</v>
      </c>
      <c r="E846" s="1" t="s">
        <v>51</v>
      </c>
      <c r="F846" s="1" t="s">
        <v>52</v>
      </c>
      <c r="G846" s="1" t="s">
        <v>104</v>
      </c>
      <c r="H846" s="1" t="s">
        <v>45</v>
      </c>
      <c r="I846" s="1" t="s">
        <v>24</v>
      </c>
      <c r="J846" s="2">
        <v>45712</v>
      </c>
      <c r="K846" s="2">
        <v>45841</v>
      </c>
      <c r="L846" s="1">
        <v>11</v>
      </c>
      <c r="M846" s="1" t="s">
        <v>48</v>
      </c>
      <c r="N846" s="1" t="s">
        <v>82</v>
      </c>
      <c r="O846" s="4">
        <v>60814.13</v>
      </c>
      <c r="P846" s="1">
        <v>4</v>
      </c>
      <c r="Q846" s="10" t="s">
        <v>72</v>
      </c>
      <c r="R846" s="14" t="str" cm="1">
        <f t="array" ref="R846">_xlfn.IFS(C846&lt;18,"Under 18",C846&lt;36,"18-35",C846&lt;51,"36-50",C846&lt;66,"51-65",C846&gt;=66,"66+")</f>
        <v>18-35</v>
      </c>
      <c r="S846" s="18">
        <v>45689</v>
      </c>
    </row>
    <row r="847" spans="1:19">
      <c r="A847" s="21" t="s">
        <v>1470</v>
      </c>
      <c r="B847" s="1" t="s">
        <v>548</v>
      </c>
      <c r="C847" s="1">
        <v>90</v>
      </c>
      <c r="D847" s="1" t="s">
        <v>27</v>
      </c>
      <c r="E847" s="1" t="s">
        <v>159</v>
      </c>
      <c r="F847" s="1" t="s">
        <v>21</v>
      </c>
      <c r="G847" s="1" t="s">
        <v>53</v>
      </c>
      <c r="H847" s="1" t="s">
        <v>76</v>
      </c>
      <c r="I847" s="1" t="s">
        <v>36</v>
      </c>
      <c r="J847" s="2">
        <v>45794</v>
      </c>
      <c r="K847" s="2">
        <v>45795</v>
      </c>
      <c r="L847" s="1">
        <v>1</v>
      </c>
      <c r="M847" s="1" t="s">
        <v>97</v>
      </c>
      <c r="N847" s="1" t="s">
        <v>39</v>
      </c>
      <c r="O847" s="4">
        <v>26794.69</v>
      </c>
      <c r="P847" s="1">
        <v>5</v>
      </c>
      <c r="Q847" s="10" t="s">
        <v>29</v>
      </c>
      <c r="R847" s="14" t="str" cm="1">
        <f t="array" ref="R847">_xlfn.IFS(C847&lt;18,"Under 18",C847&lt;36,"18-35",C847&lt;51,"36-50",C847&lt;66,"51-65",C847&gt;=66,"66+")</f>
        <v>66+</v>
      </c>
      <c r="S847" s="18">
        <v>45778</v>
      </c>
    </row>
    <row r="848" spans="1:19">
      <c r="A848" s="21" t="s">
        <v>1471</v>
      </c>
      <c r="B848" s="1" t="s">
        <v>264</v>
      </c>
      <c r="C848" s="1">
        <v>49</v>
      </c>
      <c r="D848" s="1" t="s">
        <v>19</v>
      </c>
      <c r="E848" s="1" t="s">
        <v>66</v>
      </c>
      <c r="F848" s="1" t="s">
        <v>21</v>
      </c>
      <c r="G848" s="1" t="s">
        <v>104</v>
      </c>
      <c r="H848" s="1" t="s">
        <v>61</v>
      </c>
      <c r="I848" s="1" t="s">
        <v>36</v>
      </c>
      <c r="J848" s="2">
        <v>45423</v>
      </c>
      <c r="K848" s="2">
        <v>45484</v>
      </c>
      <c r="L848" s="1">
        <v>2</v>
      </c>
      <c r="M848" s="1" t="s">
        <v>27</v>
      </c>
      <c r="N848" s="1" t="s">
        <v>90</v>
      </c>
      <c r="O848" s="4">
        <v>64109.440000000002</v>
      </c>
      <c r="P848" s="1">
        <v>5</v>
      </c>
      <c r="Q848" s="10" t="s">
        <v>72</v>
      </c>
      <c r="R848" s="14" t="str" cm="1">
        <f t="array" ref="R848">_xlfn.IFS(C848&lt;18,"Under 18",C848&lt;36,"18-35",C848&lt;51,"36-50",C848&lt;66,"51-65",C848&gt;=66,"66+")</f>
        <v>36-50</v>
      </c>
      <c r="S848" s="18">
        <v>45413</v>
      </c>
    </row>
    <row r="849" spans="1:19">
      <c r="A849" s="21" t="s">
        <v>1472</v>
      </c>
      <c r="B849" s="1" t="s">
        <v>226</v>
      </c>
      <c r="C849" s="1">
        <v>57</v>
      </c>
      <c r="D849" s="1" t="s">
        <v>43</v>
      </c>
      <c r="E849" s="1" t="s">
        <v>32</v>
      </c>
      <c r="F849" s="1" t="s">
        <v>75</v>
      </c>
      <c r="G849" s="1" t="s">
        <v>53</v>
      </c>
      <c r="H849" s="1" t="s">
        <v>23</v>
      </c>
      <c r="I849" s="1" t="s">
        <v>36</v>
      </c>
      <c r="J849" s="2">
        <v>45931</v>
      </c>
      <c r="K849" s="2">
        <v>45670</v>
      </c>
      <c r="L849" s="1">
        <v>3</v>
      </c>
      <c r="M849" s="1" t="s">
        <v>38</v>
      </c>
      <c r="N849" s="1" t="s">
        <v>63</v>
      </c>
      <c r="O849" s="4">
        <v>32138.71</v>
      </c>
      <c r="P849" s="1">
        <v>3</v>
      </c>
      <c r="Q849" s="10" t="s">
        <v>40</v>
      </c>
      <c r="R849" s="14" t="str" cm="1">
        <f t="array" ref="R849">_xlfn.IFS(C849&lt;18,"Under 18",C849&lt;36,"18-35",C849&lt;51,"36-50",C849&lt;66,"51-65",C849&gt;=66,"66+")</f>
        <v>51-65</v>
      </c>
      <c r="S849" s="18">
        <v>45931</v>
      </c>
    </row>
    <row r="850" spans="1:19">
      <c r="A850" s="21" t="s">
        <v>1473</v>
      </c>
      <c r="B850" s="1" t="s">
        <v>548</v>
      </c>
      <c r="C850" s="1">
        <v>61</v>
      </c>
      <c r="D850" s="1" t="s">
        <v>43</v>
      </c>
      <c r="E850" s="1" t="s">
        <v>51</v>
      </c>
      <c r="F850" s="1" t="s">
        <v>120</v>
      </c>
      <c r="G850" s="1" t="s">
        <v>22</v>
      </c>
      <c r="H850" s="1" t="s">
        <v>99</v>
      </c>
      <c r="I850" s="1" t="s">
        <v>24</v>
      </c>
      <c r="J850" s="2">
        <v>45722</v>
      </c>
      <c r="K850" s="2">
        <v>45826</v>
      </c>
      <c r="L850" s="1">
        <v>15</v>
      </c>
      <c r="M850" s="1" t="s">
        <v>38</v>
      </c>
      <c r="N850" s="1" t="s">
        <v>57</v>
      </c>
      <c r="O850" s="4">
        <v>29782.07</v>
      </c>
      <c r="P850" s="1">
        <v>4</v>
      </c>
      <c r="Q850" s="10" t="s">
        <v>72</v>
      </c>
      <c r="R850" s="14" t="str" cm="1">
        <f t="array" ref="R850">_xlfn.IFS(C850&lt;18,"Under 18",C850&lt;36,"18-35",C850&lt;51,"36-50",C850&lt;66,"51-65",C850&gt;=66,"66+")</f>
        <v>51-65</v>
      </c>
      <c r="S850" s="18">
        <v>45717</v>
      </c>
    </row>
    <row r="851" spans="1:19">
      <c r="A851" s="21" t="s">
        <v>1474</v>
      </c>
      <c r="B851" s="1" t="s">
        <v>18</v>
      </c>
      <c r="C851" s="1">
        <v>85</v>
      </c>
      <c r="D851" s="1" t="s">
        <v>19</v>
      </c>
      <c r="E851" s="1" t="s">
        <v>51</v>
      </c>
      <c r="F851" s="1" t="s">
        <v>52</v>
      </c>
      <c r="G851" s="1" t="s">
        <v>36</v>
      </c>
      <c r="H851" s="1" t="s">
        <v>99</v>
      </c>
      <c r="I851" s="1" t="s">
        <v>62</v>
      </c>
      <c r="J851" s="2">
        <v>45888</v>
      </c>
      <c r="K851" s="2">
        <v>45890</v>
      </c>
      <c r="L851" s="1">
        <v>2</v>
      </c>
      <c r="M851" s="1" t="s">
        <v>27</v>
      </c>
      <c r="N851" s="1" t="s">
        <v>90</v>
      </c>
      <c r="O851" s="4">
        <v>39145.67</v>
      </c>
      <c r="P851" s="1">
        <v>4</v>
      </c>
      <c r="Q851" s="10" t="s">
        <v>72</v>
      </c>
      <c r="R851" s="14" t="str" cm="1">
        <f t="array" ref="R851">_xlfn.IFS(C851&lt;18,"Under 18",C851&lt;36,"18-35",C851&lt;51,"36-50",C851&lt;66,"51-65",C851&gt;=66,"66+")</f>
        <v>66+</v>
      </c>
      <c r="S851" s="18">
        <v>45870</v>
      </c>
    </row>
    <row r="852" spans="1:19">
      <c r="A852" s="21" t="s">
        <v>1475</v>
      </c>
      <c r="B852" s="1" t="s">
        <v>553</v>
      </c>
      <c r="C852" s="1">
        <v>39</v>
      </c>
      <c r="D852" s="1" t="s">
        <v>19</v>
      </c>
      <c r="E852" s="1" t="s">
        <v>51</v>
      </c>
      <c r="F852" s="1" t="s">
        <v>52</v>
      </c>
      <c r="G852" s="1" t="s">
        <v>132</v>
      </c>
      <c r="H852" s="1" t="s">
        <v>93</v>
      </c>
      <c r="I852" s="1" t="s">
        <v>24</v>
      </c>
      <c r="J852" s="2">
        <v>45619</v>
      </c>
      <c r="K852" s="2">
        <v>45394</v>
      </c>
      <c r="L852" s="1">
        <v>11</v>
      </c>
      <c r="M852" s="1" t="s">
        <v>27</v>
      </c>
      <c r="N852" s="1" t="s">
        <v>39</v>
      </c>
      <c r="O852" s="4">
        <v>58642.63</v>
      </c>
      <c r="P852" s="1">
        <v>3</v>
      </c>
      <c r="Q852" s="10" t="s">
        <v>72</v>
      </c>
      <c r="R852" s="14" t="str" cm="1">
        <f t="array" ref="R852">_xlfn.IFS(C852&lt;18,"Under 18",C852&lt;36,"18-35",C852&lt;51,"36-50",C852&lt;66,"51-65",C852&gt;=66,"66+")</f>
        <v>36-50</v>
      </c>
      <c r="S852" s="18">
        <v>45597</v>
      </c>
    </row>
    <row r="853" spans="1:19">
      <c r="A853" s="21" t="s">
        <v>1476</v>
      </c>
      <c r="B853" s="1" t="s">
        <v>570</v>
      </c>
      <c r="C853" s="1">
        <v>19</v>
      </c>
      <c r="D853" s="1" t="s">
        <v>27</v>
      </c>
      <c r="E853" s="1" t="s">
        <v>137</v>
      </c>
      <c r="F853" s="1" t="s">
        <v>52</v>
      </c>
      <c r="G853" s="1" t="s">
        <v>104</v>
      </c>
      <c r="H853" s="1" t="s">
        <v>23</v>
      </c>
      <c r="I853" s="1" t="s">
        <v>62</v>
      </c>
      <c r="J853" s="2">
        <v>45570</v>
      </c>
      <c r="K853" s="2">
        <v>45601</v>
      </c>
      <c r="L853" s="1">
        <v>1</v>
      </c>
      <c r="M853" s="1" t="s">
        <v>56</v>
      </c>
      <c r="N853" s="1" t="s">
        <v>39</v>
      </c>
      <c r="O853" s="4">
        <v>84260.29</v>
      </c>
      <c r="P853" s="1">
        <v>2</v>
      </c>
      <c r="Q853" s="10" t="s">
        <v>40</v>
      </c>
      <c r="R853" s="14" t="str" cm="1">
        <f t="array" ref="R853">_xlfn.IFS(C853&lt;18,"Under 18",C853&lt;36,"18-35",C853&lt;51,"36-50",C853&lt;66,"51-65",C853&gt;=66,"66+")</f>
        <v>18-35</v>
      </c>
      <c r="S853" s="18">
        <v>45566</v>
      </c>
    </row>
    <row r="854" spans="1:19">
      <c r="A854" s="21" t="s">
        <v>1477</v>
      </c>
      <c r="B854" s="1" t="s">
        <v>529</v>
      </c>
      <c r="C854" s="1">
        <v>53</v>
      </c>
      <c r="D854" s="1" t="s">
        <v>19</v>
      </c>
      <c r="E854" s="1" t="s">
        <v>66</v>
      </c>
      <c r="F854" s="1" t="s">
        <v>33</v>
      </c>
      <c r="G854" s="1" t="s">
        <v>34</v>
      </c>
      <c r="H854" s="1" t="s">
        <v>61</v>
      </c>
      <c r="I854" s="1" t="s">
        <v>24</v>
      </c>
      <c r="J854" s="2">
        <v>45734</v>
      </c>
      <c r="K854" s="2">
        <v>45746</v>
      </c>
      <c r="L854" s="1">
        <v>12</v>
      </c>
      <c r="M854" s="1" t="s">
        <v>27</v>
      </c>
      <c r="N854" s="1" t="s">
        <v>57</v>
      </c>
      <c r="O854" s="4">
        <v>155453.45000000001</v>
      </c>
      <c r="P854" s="1">
        <v>4</v>
      </c>
      <c r="Q854" s="10" t="s">
        <v>29</v>
      </c>
      <c r="R854" s="14" t="str" cm="1">
        <f t="array" ref="R854">_xlfn.IFS(C854&lt;18,"Under 18",C854&lt;36,"18-35",C854&lt;51,"36-50",C854&lt;66,"51-65",C854&gt;=66,"66+")</f>
        <v>51-65</v>
      </c>
      <c r="S854" s="18">
        <v>45717</v>
      </c>
    </row>
    <row r="855" spans="1:19">
      <c r="A855" s="21" t="s">
        <v>1479</v>
      </c>
      <c r="B855" s="1" t="s">
        <v>636</v>
      </c>
      <c r="C855" s="1">
        <v>31</v>
      </c>
      <c r="D855" s="1" t="s">
        <v>27</v>
      </c>
      <c r="E855" s="1" t="s">
        <v>247</v>
      </c>
      <c r="F855" s="1" t="s">
        <v>120</v>
      </c>
      <c r="G855" s="1" t="s">
        <v>34</v>
      </c>
      <c r="H855" s="1" t="s">
        <v>76</v>
      </c>
      <c r="I855" s="1" t="s">
        <v>62</v>
      </c>
      <c r="J855" s="2">
        <v>45825</v>
      </c>
      <c r="K855" s="2">
        <v>45829</v>
      </c>
      <c r="L855" s="1">
        <v>4</v>
      </c>
      <c r="M855" s="1" t="s">
        <v>38</v>
      </c>
      <c r="N855" s="1" t="s">
        <v>57</v>
      </c>
      <c r="O855" s="4">
        <v>21496.91</v>
      </c>
      <c r="P855" s="1">
        <v>5</v>
      </c>
      <c r="Q855" s="10" t="s">
        <v>40</v>
      </c>
      <c r="R855" s="14" t="str" cm="1">
        <f t="array" ref="R855">_xlfn.IFS(C855&lt;18,"Under 18",C855&lt;36,"18-35",C855&lt;51,"36-50",C855&lt;66,"51-65",C855&gt;=66,"66+")</f>
        <v>18-35</v>
      </c>
      <c r="S855" s="18">
        <v>45809</v>
      </c>
    </row>
    <row r="856" spans="1:19">
      <c r="A856" s="21" t="s">
        <v>1480</v>
      </c>
      <c r="B856" s="1" t="s">
        <v>453</v>
      </c>
      <c r="C856" s="1">
        <v>39</v>
      </c>
      <c r="D856" s="1" t="s">
        <v>27</v>
      </c>
      <c r="E856" s="1" t="s">
        <v>159</v>
      </c>
      <c r="F856" s="1" t="s">
        <v>120</v>
      </c>
      <c r="G856" s="1" t="s">
        <v>104</v>
      </c>
      <c r="H856" s="1" t="s">
        <v>23</v>
      </c>
      <c r="I856" s="1" t="s">
        <v>36</v>
      </c>
      <c r="J856" s="2">
        <v>45970</v>
      </c>
      <c r="K856" s="2">
        <v>45927</v>
      </c>
      <c r="L856" s="1">
        <v>16</v>
      </c>
      <c r="M856" s="1" t="s">
        <v>97</v>
      </c>
      <c r="N856" s="1" t="s">
        <v>82</v>
      </c>
      <c r="O856" s="4">
        <v>59510.61</v>
      </c>
      <c r="P856" s="1">
        <v>5</v>
      </c>
      <c r="Q856" s="10" t="s">
        <v>72</v>
      </c>
      <c r="R856" s="14" t="str" cm="1">
        <f t="array" ref="R856">_xlfn.IFS(C856&lt;18,"Under 18",C856&lt;36,"18-35",C856&lt;51,"36-50",C856&lt;66,"51-65",C856&gt;=66,"66+")</f>
        <v>36-50</v>
      </c>
      <c r="S856" s="18">
        <v>45962</v>
      </c>
    </row>
    <row r="857" spans="1:19">
      <c r="A857" s="21" t="s">
        <v>1482</v>
      </c>
      <c r="B857" s="1" t="s">
        <v>419</v>
      </c>
      <c r="C857" s="1">
        <v>33</v>
      </c>
      <c r="D857" s="1" t="s">
        <v>27</v>
      </c>
      <c r="E857" s="1" t="s">
        <v>117</v>
      </c>
      <c r="F857" s="1" t="s">
        <v>120</v>
      </c>
      <c r="G857" s="1" t="s">
        <v>53</v>
      </c>
      <c r="H857" s="1" t="s">
        <v>61</v>
      </c>
      <c r="I857" s="1" t="s">
        <v>24</v>
      </c>
      <c r="J857" s="2">
        <v>45301</v>
      </c>
      <c r="K857" s="2">
        <v>45361</v>
      </c>
      <c r="L857" s="1">
        <v>2</v>
      </c>
      <c r="M857" s="1" t="s">
        <v>97</v>
      </c>
      <c r="N857" s="1" t="s">
        <v>63</v>
      </c>
      <c r="O857" s="4">
        <v>80707.070000000007</v>
      </c>
      <c r="P857" s="1">
        <v>3</v>
      </c>
      <c r="Q857" s="10" t="s">
        <v>29</v>
      </c>
      <c r="R857" s="14" t="str" cm="1">
        <f t="array" ref="R857">_xlfn.IFS(C857&lt;18,"Under 18",C857&lt;36,"18-35",C857&lt;51,"36-50",C857&lt;66,"51-65",C857&gt;=66,"66+")</f>
        <v>18-35</v>
      </c>
      <c r="S857" s="18">
        <v>45292</v>
      </c>
    </row>
    <row r="858" spans="1:19">
      <c r="A858" s="21" t="s">
        <v>1483</v>
      </c>
      <c r="B858" s="1" t="s">
        <v>507</v>
      </c>
      <c r="C858" s="1">
        <v>79</v>
      </c>
      <c r="D858" s="1" t="s">
        <v>19</v>
      </c>
      <c r="E858" s="1" t="s">
        <v>20</v>
      </c>
      <c r="F858" s="1" t="s">
        <v>67</v>
      </c>
      <c r="G858" s="1" t="s">
        <v>53</v>
      </c>
      <c r="H858" s="1" t="s">
        <v>61</v>
      </c>
      <c r="I858" s="1" t="s">
        <v>24</v>
      </c>
      <c r="J858" s="2">
        <v>45789</v>
      </c>
      <c r="K858" s="2">
        <v>45850</v>
      </c>
      <c r="L858" s="1">
        <v>2</v>
      </c>
      <c r="M858" s="1" t="s">
        <v>38</v>
      </c>
      <c r="N858" s="1" t="s">
        <v>85</v>
      </c>
      <c r="O858" s="4">
        <v>121091.83</v>
      </c>
      <c r="P858" s="1">
        <v>3</v>
      </c>
      <c r="Q858" s="10" t="s">
        <v>58</v>
      </c>
      <c r="R858" s="14" t="str" cm="1">
        <f t="array" ref="R858">_xlfn.IFS(C858&lt;18,"Under 18",C858&lt;36,"18-35",C858&lt;51,"36-50",C858&lt;66,"51-65",C858&gt;=66,"66+")</f>
        <v>66+</v>
      </c>
      <c r="S858" s="18">
        <v>45778</v>
      </c>
    </row>
    <row r="859" spans="1:19">
      <c r="A859" s="21" t="s">
        <v>1484</v>
      </c>
      <c r="B859" s="1" t="s">
        <v>515</v>
      </c>
      <c r="C859" s="1">
        <v>48</v>
      </c>
      <c r="D859" s="1" t="s">
        <v>19</v>
      </c>
      <c r="E859" s="1" t="s">
        <v>32</v>
      </c>
      <c r="F859" s="1" t="s">
        <v>33</v>
      </c>
      <c r="G859" s="1" t="s">
        <v>104</v>
      </c>
      <c r="H859" s="1" t="s">
        <v>23</v>
      </c>
      <c r="I859" s="1" t="s">
        <v>24</v>
      </c>
      <c r="J859" s="2">
        <v>45779</v>
      </c>
      <c r="K859" s="2">
        <v>45993</v>
      </c>
      <c r="L859" s="1">
        <v>7</v>
      </c>
      <c r="M859" s="1" t="s">
        <v>97</v>
      </c>
      <c r="N859" s="1" t="s">
        <v>28</v>
      </c>
      <c r="O859" s="4">
        <v>36922.160000000003</v>
      </c>
      <c r="P859" s="1">
        <v>3</v>
      </c>
      <c r="Q859" s="10" t="s">
        <v>72</v>
      </c>
      <c r="R859" s="14" t="str" cm="1">
        <f t="array" ref="R859">_xlfn.IFS(C859&lt;18,"Under 18",C859&lt;36,"18-35",C859&lt;51,"36-50",C859&lt;66,"51-65",C859&gt;=66,"66+")</f>
        <v>36-50</v>
      </c>
      <c r="S859" s="18">
        <v>45778</v>
      </c>
    </row>
    <row r="860" spans="1:19">
      <c r="A860" s="21" t="s">
        <v>1485</v>
      </c>
      <c r="B860" s="1" t="s">
        <v>194</v>
      </c>
      <c r="C860" s="1">
        <v>25</v>
      </c>
      <c r="D860" s="1" t="s">
        <v>43</v>
      </c>
      <c r="E860" s="1" t="s">
        <v>159</v>
      </c>
      <c r="F860" s="1" t="s">
        <v>33</v>
      </c>
      <c r="G860" s="1" t="s">
        <v>36</v>
      </c>
      <c r="H860" s="1" t="s">
        <v>61</v>
      </c>
      <c r="I860" s="1" t="s">
        <v>62</v>
      </c>
      <c r="J860" s="2">
        <v>45798</v>
      </c>
      <c r="K860" s="2">
        <v>45808</v>
      </c>
      <c r="L860" s="1">
        <v>10</v>
      </c>
      <c r="M860" s="1" t="s">
        <v>38</v>
      </c>
      <c r="N860" s="1" t="s">
        <v>28</v>
      </c>
      <c r="O860" s="4">
        <v>39245.230000000003</v>
      </c>
      <c r="P860" s="1">
        <v>5</v>
      </c>
      <c r="Q860" s="10" t="s">
        <v>29</v>
      </c>
      <c r="R860" s="14" t="str" cm="1">
        <f t="array" ref="R860">_xlfn.IFS(C860&lt;18,"Under 18",C860&lt;36,"18-35",C860&lt;51,"36-50",C860&lt;66,"51-65",C860&gt;=66,"66+")</f>
        <v>18-35</v>
      </c>
      <c r="S860" s="18">
        <v>45778</v>
      </c>
    </row>
    <row r="861" spans="1:19">
      <c r="A861" s="21" t="s">
        <v>1486</v>
      </c>
      <c r="B861" s="1" t="s">
        <v>892</v>
      </c>
      <c r="C861" s="1">
        <v>24</v>
      </c>
      <c r="D861" s="1" t="s">
        <v>19</v>
      </c>
      <c r="E861" s="1" t="s">
        <v>202</v>
      </c>
      <c r="F861" s="1" t="s">
        <v>75</v>
      </c>
      <c r="G861" s="1" t="s">
        <v>110</v>
      </c>
      <c r="H861" s="1" t="s">
        <v>45</v>
      </c>
      <c r="I861" s="1" t="s">
        <v>62</v>
      </c>
      <c r="J861" s="2">
        <v>45778</v>
      </c>
      <c r="K861" s="2">
        <v>45809</v>
      </c>
      <c r="L861" s="1">
        <v>1</v>
      </c>
      <c r="M861" s="1" t="s">
        <v>27</v>
      </c>
      <c r="N861" s="1" t="s">
        <v>63</v>
      </c>
      <c r="O861" s="4">
        <v>144679.82</v>
      </c>
      <c r="P861" s="1">
        <v>3</v>
      </c>
      <c r="Q861" s="10" t="s">
        <v>40</v>
      </c>
      <c r="R861" s="14" t="str" cm="1">
        <f t="array" ref="R861">_xlfn.IFS(C861&lt;18,"Under 18",C861&lt;36,"18-35",C861&lt;51,"36-50",C861&lt;66,"51-65",C861&gt;=66,"66+")</f>
        <v>18-35</v>
      </c>
      <c r="S861" s="18">
        <v>45778</v>
      </c>
    </row>
    <row r="862" spans="1:19">
      <c r="A862" s="21" t="s">
        <v>1487</v>
      </c>
      <c r="B862" s="1" t="s">
        <v>510</v>
      </c>
      <c r="C862" s="1">
        <v>37</v>
      </c>
      <c r="D862" s="1" t="s">
        <v>43</v>
      </c>
      <c r="E862" s="1" t="s">
        <v>20</v>
      </c>
      <c r="F862" s="1" t="s">
        <v>21</v>
      </c>
      <c r="G862" s="1" t="s">
        <v>68</v>
      </c>
      <c r="H862" s="1" t="s">
        <v>23</v>
      </c>
      <c r="I862" s="1" t="s">
        <v>62</v>
      </c>
      <c r="J862" s="2">
        <v>45360</v>
      </c>
      <c r="K862" s="2">
        <v>45421</v>
      </c>
      <c r="L862" s="1">
        <v>2</v>
      </c>
      <c r="M862" s="1" t="s">
        <v>56</v>
      </c>
      <c r="N862" s="1" t="s">
        <v>90</v>
      </c>
      <c r="O862" s="4">
        <v>37809.26</v>
      </c>
      <c r="P862" s="1">
        <v>3</v>
      </c>
      <c r="Q862" s="10" t="s">
        <v>72</v>
      </c>
      <c r="R862" s="14" t="str" cm="1">
        <f t="array" ref="R862">_xlfn.IFS(C862&lt;18,"Under 18",C862&lt;36,"18-35",C862&lt;51,"36-50",C862&lt;66,"51-65",C862&gt;=66,"66+")</f>
        <v>36-50</v>
      </c>
      <c r="S862" s="18">
        <v>45352</v>
      </c>
    </row>
    <row r="863" spans="1:19">
      <c r="A863" s="21" t="s">
        <v>1488</v>
      </c>
      <c r="B863" s="1" t="s">
        <v>391</v>
      </c>
      <c r="C863" s="1">
        <v>21</v>
      </c>
      <c r="D863" s="1" t="s">
        <v>19</v>
      </c>
      <c r="E863" s="1" t="s">
        <v>159</v>
      </c>
      <c r="F863" s="1" t="s">
        <v>67</v>
      </c>
      <c r="G863" s="1" t="s">
        <v>104</v>
      </c>
      <c r="H863" s="1" t="s">
        <v>45</v>
      </c>
      <c r="I863" s="1" t="s">
        <v>36</v>
      </c>
      <c r="J863" s="2">
        <v>45846</v>
      </c>
      <c r="K863" s="2">
        <v>45999</v>
      </c>
      <c r="L863" s="1">
        <v>5</v>
      </c>
      <c r="M863" s="1" t="s">
        <v>56</v>
      </c>
      <c r="N863" s="1" t="s">
        <v>85</v>
      </c>
      <c r="O863" s="4">
        <v>18984.91</v>
      </c>
      <c r="P863" s="1">
        <v>5</v>
      </c>
      <c r="Q863" s="10" t="s">
        <v>40</v>
      </c>
      <c r="R863" s="14" t="str" cm="1">
        <f t="array" ref="R863">_xlfn.IFS(C863&lt;18,"Under 18",C863&lt;36,"18-35",C863&lt;51,"36-50",C863&lt;66,"51-65",C863&gt;=66,"66+")</f>
        <v>18-35</v>
      </c>
      <c r="S863" s="18">
        <v>45839</v>
      </c>
    </row>
    <row r="864" spans="1:19">
      <c r="A864" s="21" t="s">
        <v>1489</v>
      </c>
      <c r="B864" s="1" t="s">
        <v>766</v>
      </c>
      <c r="C864" s="1">
        <v>14</v>
      </c>
      <c r="D864" s="1" t="s">
        <v>19</v>
      </c>
      <c r="E864" s="1" t="s">
        <v>159</v>
      </c>
      <c r="F864" s="1" t="s">
        <v>33</v>
      </c>
      <c r="G864" s="1" t="s">
        <v>36</v>
      </c>
      <c r="H864" s="1" t="s">
        <v>93</v>
      </c>
      <c r="I864" s="1" t="s">
        <v>36</v>
      </c>
      <c r="J864" s="2">
        <v>45300</v>
      </c>
      <c r="K864" s="2">
        <v>45360</v>
      </c>
      <c r="L864" s="1">
        <v>2</v>
      </c>
      <c r="M864" s="1" t="s">
        <v>97</v>
      </c>
      <c r="N864" s="1" t="s">
        <v>39</v>
      </c>
      <c r="O864" s="4">
        <v>27577.31</v>
      </c>
      <c r="P864" s="1">
        <v>2</v>
      </c>
      <c r="Q864" s="10" t="s">
        <v>58</v>
      </c>
      <c r="R864" s="14" t="str" cm="1">
        <f t="array" ref="R864">_xlfn.IFS(C864&lt;18,"Under 18",C864&lt;36,"18-35",C864&lt;51,"36-50",C864&lt;66,"51-65",C864&gt;=66,"66+")</f>
        <v>Under 18</v>
      </c>
      <c r="S864" s="18">
        <v>45292</v>
      </c>
    </row>
    <row r="865" spans="1:19">
      <c r="A865" s="21" t="s">
        <v>1490</v>
      </c>
      <c r="B865" s="1" t="s">
        <v>529</v>
      </c>
      <c r="C865" s="1">
        <v>3</v>
      </c>
      <c r="D865" s="1" t="s">
        <v>27</v>
      </c>
      <c r="E865" s="1" t="s">
        <v>247</v>
      </c>
      <c r="F865" s="1" t="s">
        <v>21</v>
      </c>
      <c r="G865" s="1" t="s">
        <v>53</v>
      </c>
      <c r="H865" s="1" t="s">
        <v>99</v>
      </c>
      <c r="I865" s="1" t="s">
        <v>24</v>
      </c>
      <c r="J865" s="2">
        <v>45422</v>
      </c>
      <c r="K865" s="2">
        <v>45579</v>
      </c>
      <c r="L865" s="1">
        <v>9</v>
      </c>
      <c r="M865" s="1" t="s">
        <v>48</v>
      </c>
      <c r="N865" s="1" t="s">
        <v>90</v>
      </c>
      <c r="O865" s="4">
        <v>106185.83</v>
      </c>
      <c r="P865" s="1">
        <v>5</v>
      </c>
      <c r="Q865" s="10" t="s">
        <v>58</v>
      </c>
      <c r="R865" s="14" t="str" cm="1">
        <f t="array" ref="R865">_xlfn.IFS(C865&lt;18,"Under 18",C865&lt;36,"18-35",C865&lt;51,"36-50",C865&lt;66,"51-65",C865&gt;=66,"66+")</f>
        <v>Under 18</v>
      </c>
      <c r="S865" s="18">
        <v>45413</v>
      </c>
    </row>
    <row r="866" spans="1:19">
      <c r="A866" s="21" t="s">
        <v>1491</v>
      </c>
      <c r="B866" s="1" t="s">
        <v>857</v>
      </c>
      <c r="C866" s="1">
        <v>22</v>
      </c>
      <c r="D866" s="1" t="s">
        <v>43</v>
      </c>
      <c r="E866" s="1" t="s">
        <v>44</v>
      </c>
      <c r="F866" s="1" t="s">
        <v>21</v>
      </c>
      <c r="G866" s="1" t="s">
        <v>132</v>
      </c>
      <c r="H866" s="1" t="s">
        <v>105</v>
      </c>
      <c r="I866" s="1" t="s">
        <v>24</v>
      </c>
      <c r="J866" s="2">
        <v>45504</v>
      </c>
      <c r="K866" s="2">
        <v>45330</v>
      </c>
      <c r="L866" s="1">
        <v>2</v>
      </c>
      <c r="M866" s="1" t="s">
        <v>48</v>
      </c>
      <c r="N866" s="1" t="s">
        <v>57</v>
      </c>
      <c r="O866" s="4">
        <v>77587.039999999994</v>
      </c>
      <c r="P866" s="1">
        <v>4</v>
      </c>
      <c r="Q866" s="10" t="s">
        <v>72</v>
      </c>
      <c r="R866" s="14" t="str" cm="1">
        <f t="array" ref="R866">_xlfn.IFS(C866&lt;18,"Under 18",C866&lt;36,"18-35",C866&lt;51,"36-50",C866&lt;66,"51-65",C866&gt;=66,"66+")</f>
        <v>18-35</v>
      </c>
      <c r="S866" s="18">
        <v>45474</v>
      </c>
    </row>
    <row r="867" spans="1:19">
      <c r="A867" s="21" t="s">
        <v>1492</v>
      </c>
      <c r="B867" s="1" t="s">
        <v>712</v>
      </c>
      <c r="C867" s="1">
        <v>50</v>
      </c>
      <c r="D867" s="1" t="s">
        <v>27</v>
      </c>
      <c r="E867" s="1" t="s">
        <v>247</v>
      </c>
      <c r="F867" s="1" t="s">
        <v>120</v>
      </c>
      <c r="G867" s="1" t="s">
        <v>104</v>
      </c>
      <c r="H867" s="1" t="s">
        <v>76</v>
      </c>
      <c r="I867" s="1" t="s">
        <v>62</v>
      </c>
      <c r="J867" s="2">
        <v>45645</v>
      </c>
      <c r="K867" s="2">
        <v>45648</v>
      </c>
      <c r="L867" s="1">
        <v>3</v>
      </c>
      <c r="M867" s="1" t="s">
        <v>56</v>
      </c>
      <c r="N867" s="1" t="s">
        <v>85</v>
      </c>
      <c r="O867" s="4">
        <v>18530.650000000001</v>
      </c>
      <c r="P867" s="1">
        <v>3</v>
      </c>
      <c r="Q867" s="10" t="s">
        <v>29</v>
      </c>
      <c r="R867" s="14" t="str" cm="1">
        <f t="array" ref="R867">_xlfn.IFS(C867&lt;18,"Under 18",C867&lt;36,"18-35",C867&lt;51,"36-50",C867&lt;66,"51-65",C867&gt;=66,"66+")</f>
        <v>36-50</v>
      </c>
      <c r="S867" s="18">
        <v>45627</v>
      </c>
    </row>
    <row r="868" spans="1:19">
      <c r="A868" s="21" t="s">
        <v>1493</v>
      </c>
      <c r="B868" s="1" t="s">
        <v>234</v>
      </c>
      <c r="C868" s="1">
        <v>75</v>
      </c>
      <c r="D868" s="1" t="s">
        <v>27</v>
      </c>
      <c r="E868" s="1" t="s">
        <v>44</v>
      </c>
      <c r="F868" s="1" t="s">
        <v>52</v>
      </c>
      <c r="G868" s="1" t="s">
        <v>34</v>
      </c>
      <c r="H868" s="1" t="s">
        <v>76</v>
      </c>
      <c r="I868" s="1" t="s">
        <v>24</v>
      </c>
      <c r="J868" s="2">
        <v>45821</v>
      </c>
      <c r="K868" s="2">
        <v>45825</v>
      </c>
      <c r="L868" s="1">
        <v>4</v>
      </c>
      <c r="M868" s="1" t="s">
        <v>48</v>
      </c>
      <c r="N868" s="1" t="s">
        <v>82</v>
      </c>
      <c r="O868" s="4">
        <v>72772.98</v>
      </c>
      <c r="P868" s="1">
        <v>2</v>
      </c>
      <c r="Q868" s="10" t="s">
        <v>72</v>
      </c>
      <c r="R868" s="14" t="str" cm="1">
        <f t="array" ref="R868">_xlfn.IFS(C868&lt;18,"Under 18",C868&lt;36,"18-35",C868&lt;51,"36-50",C868&lt;66,"51-65",C868&gt;=66,"66+")</f>
        <v>66+</v>
      </c>
      <c r="S868" s="18">
        <v>45809</v>
      </c>
    </row>
    <row r="869" spans="1:19">
      <c r="A869" s="21" t="s">
        <v>1494</v>
      </c>
      <c r="B869" s="1" t="s">
        <v>492</v>
      </c>
      <c r="C869" s="1">
        <v>68</v>
      </c>
      <c r="D869" s="1" t="s">
        <v>43</v>
      </c>
      <c r="E869" s="1" t="s">
        <v>20</v>
      </c>
      <c r="F869" s="1" t="s">
        <v>75</v>
      </c>
      <c r="G869" s="1" t="s">
        <v>68</v>
      </c>
      <c r="H869" s="1" t="s">
        <v>35</v>
      </c>
      <c r="I869" s="1" t="s">
        <v>24</v>
      </c>
      <c r="J869" s="2">
        <v>45873</v>
      </c>
      <c r="K869" s="2">
        <v>45934</v>
      </c>
      <c r="L869" s="1">
        <v>2</v>
      </c>
      <c r="M869" s="1" t="s">
        <v>48</v>
      </c>
      <c r="N869" s="1" t="s">
        <v>90</v>
      </c>
      <c r="O869" s="4">
        <v>28723.47</v>
      </c>
      <c r="P869" s="1">
        <v>3</v>
      </c>
      <c r="Q869" s="10" t="s">
        <v>29</v>
      </c>
      <c r="R869" s="14" t="str" cm="1">
        <f t="array" ref="R869">_xlfn.IFS(C869&lt;18,"Under 18",C869&lt;36,"18-35",C869&lt;51,"36-50",C869&lt;66,"51-65",C869&gt;=66,"66+")</f>
        <v>66+</v>
      </c>
      <c r="S869" s="18">
        <v>45870</v>
      </c>
    </row>
    <row r="870" spans="1:19">
      <c r="A870" s="21" t="s">
        <v>1495</v>
      </c>
      <c r="B870" s="1" t="s">
        <v>762</v>
      </c>
      <c r="C870" s="1">
        <v>37</v>
      </c>
      <c r="D870" s="1" t="s">
        <v>27</v>
      </c>
      <c r="E870" s="1" t="s">
        <v>51</v>
      </c>
      <c r="F870" s="1" t="s">
        <v>21</v>
      </c>
      <c r="G870" s="1" t="s">
        <v>110</v>
      </c>
      <c r="H870" s="1" t="s">
        <v>23</v>
      </c>
      <c r="I870" s="1" t="s">
        <v>36</v>
      </c>
      <c r="J870" s="2">
        <v>45773</v>
      </c>
      <c r="K870" s="2">
        <v>45774</v>
      </c>
      <c r="L870" s="1">
        <v>1</v>
      </c>
      <c r="M870" s="1" t="s">
        <v>48</v>
      </c>
      <c r="N870" s="1" t="s">
        <v>82</v>
      </c>
      <c r="O870" s="4">
        <v>34042.199999999997</v>
      </c>
      <c r="P870" s="1">
        <v>5</v>
      </c>
      <c r="Q870" s="10" t="s">
        <v>29</v>
      </c>
      <c r="R870" s="14" t="str" cm="1">
        <f t="array" ref="R870">_xlfn.IFS(C870&lt;18,"Under 18",C870&lt;36,"18-35",C870&lt;51,"36-50",C870&lt;66,"51-65",C870&gt;=66,"66+")</f>
        <v>36-50</v>
      </c>
      <c r="S870" s="18">
        <v>45748</v>
      </c>
    </row>
    <row r="871" spans="1:19">
      <c r="A871" s="21" t="s">
        <v>1497</v>
      </c>
      <c r="B871" s="1" t="s">
        <v>42</v>
      </c>
      <c r="C871" s="1">
        <v>35</v>
      </c>
      <c r="D871" s="1" t="s">
        <v>27</v>
      </c>
      <c r="E871" s="1" t="s">
        <v>44</v>
      </c>
      <c r="F871" s="1" t="s">
        <v>120</v>
      </c>
      <c r="G871" s="1" t="s">
        <v>110</v>
      </c>
      <c r="H871" s="1" t="s">
        <v>35</v>
      </c>
      <c r="I871" s="1" t="s">
        <v>62</v>
      </c>
      <c r="J871" s="2">
        <v>45313</v>
      </c>
      <c r="K871" s="2">
        <v>45317</v>
      </c>
      <c r="L871" s="1">
        <v>4</v>
      </c>
      <c r="M871" s="1" t="s">
        <v>56</v>
      </c>
      <c r="N871" s="1" t="s">
        <v>57</v>
      </c>
      <c r="O871" s="4">
        <v>20814</v>
      </c>
      <c r="P871" s="1">
        <v>3</v>
      </c>
      <c r="Q871" s="10" t="s">
        <v>29</v>
      </c>
      <c r="R871" s="14" t="str" cm="1">
        <f t="array" ref="R871">_xlfn.IFS(C871&lt;18,"Under 18",C871&lt;36,"18-35",C871&lt;51,"36-50",C871&lt;66,"51-65",C871&gt;=66,"66+")</f>
        <v>18-35</v>
      </c>
      <c r="S871" s="18">
        <v>45292</v>
      </c>
    </row>
    <row r="872" spans="1:19">
      <c r="A872" s="21" t="s">
        <v>1498</v>
      </c>
      <c r="B872" s="1" t="s">
        <v>212</v>
      </c>
      <c r="C872" s="1">
        <v>15</v>
      </c>
      <c r="D872" s="1" t="s">
        <v>27</v>
      </c>
      <c r="E872" s="1" t="s">
        <v>137</v>
      </c>
      <c r="F872" s="1" t="s">
        <v>67</v>
      </c>
      <c r="G872" s="1" t="s">
        <v>22</v>
      </c>
      <c r="H872" s="1" t="s">
        <v>76</v>
      </c>
      <c r="I872" s="1" t="s">
        <v>24</v>
      </c>
      <c r="J872" s="2">
        <v>45605</v>
      </c>
      <c r="K872" s="2">
        <v>45552</v>
      </c>
      <c r="L872" s="1">
        <v>6</v>
      </c>
      <c r="M872" s="1" t="s">
        <v>97</v>
      </c>
      <c r="N872" s="1" t="s">
        <v>90</v>
      </c>
      <c r="O872" s="4">
        <v>21921.01</v>
      </c>
      <c r="P872" s="1">
        <v>3</v>
      </c>
      <c r="Q872" s="10" t="s">
        <v>58</v>
      </c>
      <c r="R872" s="14" t="str" cm="1">
        <f t="array" ref="R872">_xlfn.IFS(C872&lt;18,"Under 18",C872&lt;36,"18-35",C872&lt;51,"36-50",C872&lt;66,"51-65",C872&gt;=66,"66+")</f>
        <v>Under 18</v>
      </c>
      <c r="S872" s="18">
        <v>45597</v>
      </c>
    </row>
    <row r="873" spans="1:19">
      <c r="A873" s="21" t="s">
        <v>1499</v>
      </c>
      <c r="B873" s="1" t="s">
        <v>212</v>
      </c>
      <c r="C873" s="1">
        <v>83</v>
      </c>
      <c r="D873" s="1" t="s">
        <v>27</v>
      </c>
      <c r="E873" s="1" t="s">
        <v>66</v>
      </c>
      <c r="F873" s="1" t="s">
        <v>75</v>
      </c>
      <c r="G873" s="1" t="s">
        <v>36</v>
      </c>
      <c r="H873" s="1" t="s">
        <v>105</v>
      </c>
      <c r="I873" s="1" t="s">
        <v>36</v>
      </c>
      <c r="J873" s="2">
        <v>45654</v>
      </c>
      <c r="K873" s="2">
        <v>45689</v>
      </c>
      <c r="L873" s="1">
        <v>5</v>
      </c>
      <c r="M873" s="1" t="s">
        <v>48</v>
      </c>
      <c r="N873" s="1" t="s">
        <v>90</v>
      </c>
      <c r="O873" s="4">
        <v>50213.34</v>
      </c>
      <c r="P873" s="1">
        <v>4</v>
      </c>
      <c r="Q873" s="10" t="s">
        <v>40</v>
      </c>
      <c r="R873" s="14" t="str" cm="1">
        <f t="array" ref="R873">_xlfn.IFS(C873&lt;18,"Under 18",C873&lt;36,"18-35",C873&lt;51,"36-50",C873&lt;66,"51-65",C873&gt;=66,"66+")</f>
        <v>66+</v>
      </c>
      <c r="S873" s="18">
        <v>45627</v>
      </c>
    </row>
    <row r="874" spans="1:19">
      <c r="A874" s="21" t="s">
        <v>1500</v>
      </c>
      <c r="B874" s="1" t="s">
        <v>169</v>
      </c>
      <c r="C874" s="1">
        <v>39</v>
      </c>
      <c r="D874" s="1" t="s">
        <v>19</v>
      </c>
      <c r="E874" s="1" t="s">
        <v>44</v>
      </c>
      <c r="F874" s="1" t="s">
        <v>52</v>
      </c>
      <c r="G874" s="1" t="s">
        <v>34</v>
      </c>
      <c r="H874" s="1" t="s">
        <v>88</v>
      </c>
      <c r="I874" s="1" t="s">
        <v>36</v>
      </c>
      <c r="J874" s="2">
        <v>45939</v>
      </c>
      <c r="K874" s="2">
        <v>45913</v>
      </c>
      <c r="L874" s="1">
        <v>3</v>
      </c>
      <c r="M874" s="1" t="s">
        <v>38</v>
      </c>
      <c r="N874" s="1" t="s">
        <v>57</v>
      </c>
      <c r="O874" s="4">
        <v>89201.79</v>
      </c>
      <c r="P874" s="1">
        <v>3</v>
      </c>
      <c r="Q874" s="10" t="s">
        <v>29</v>
      </c>
      <c r="R874" s="14" t="str" cm="1">
        <f t="array" ref="R874">_xlfn.IFS(C874&lt;18,"Under 18",C874&lt;36,"18-35",C874&lt;51,"36-50",C874&lt;66,"51-65",C874&gt;=66,"66+")</f>
        <v>36-50</v>
      </c>
      <c r="S874" s="18">
        <v>45931</v>
      </c>
    </row>
    <row r="875" spans="1:19">
      <c r="A875" s="21" t="s">
        <v>1501</v>
      </c>
      <c r="B875" s="1" t="s">
        <v>428</v>
      </c>
      <c r="C875" s="1">
        <v>19</v>
      </c>
      <c r="D875" s="1" t="s">
        <v>19</v>
      </c>
      <c r="E875" s="1" t="s">
        <v>20</v>
      </c>
      <c r="F875" s="1" t="s">
        <v>21</v>
      </c>
      <c r="G875" s="1" t="s">
        <v>104</v>
      </c>
      <c r="H875" s="1" t="s">
        <v>88</v>
      </c>
      <c r="I875" s="1" t="s">
        <v>24</v>
      </c>
      <c r="J875" s="2">
        <v>45524</v>
      </c>
      <c r="K875" s="2">
        <v>45526</v>
      </c>
      <c r="L875" s="1">
        <v>2</v>
      </c>
      <c r="M875" s="1" t="s">
        <v>48</v>
      </c>
      <c r="N875" s="1" t="s">
        <v>82</v>
      </c>
      <c r="O875" s="4">
        <v>76413.990000000005</v>
      </c>
      <c r="P875" s="1">
        <v>4</v>
      </c>
      <c r="Q875" s="10" t="s">
        <v>40</v>
      </c>
      <c r="R875" s="14" t="str" cm="1">
        <f t="array" ref="R875">_xlfn.IFS(C875&lt;18,"Under 18",C875&lt;36,"18-35",C875&lt;51,"36-50",C875&lt;66,"51-65",C875&gt;=66,"66+")</f>
        <v>18-35</v>
      </c>
      <c r="S875" s="18">
        <v>45505</v>
      </c>
    </row>
    <row r="876" spans="1:19">
      <c r="A876" s="21" t="s">
        <v>1503</v>
      </c>
      <c r="B876" s="1" t="s">
        <v>103</v>
      </c>
      <c r="C876" s="1">
        <v>7</v>
      </c>
      <c r="D876" s="1" t="s">
        <v>43</v>
      </c>
      <c r="E876" s="1" t="s">
        <v>202</v>
      </c>
      <c r="F876" s="1" t="s">
        <v>33</v>
      </c>
      <c r="G876" s="1" t="s">
        <v>22</v>
      </c>
      <c r="H876" s="1" t="s">
        <v>69</v>
      </c>
      <c r="I876" s="1" t="s">
        <v>36</v>
      </c>
      <c r="J876" s="2">
        <v>45768</v>
      </c>
      <c r="K876" s="2">
        <v>45752</v>
      </c>
      <c r="L876" s="1">
        <v>13</v>
      </c>
      <c r="M876" s="1" t="s">
        <v>38</v>
      </c>
      <c r="N876" s="1" t="s">
        <v>82</v>
      </c>
      <c r="O876" s="4">
        <v>41823.03</v>
      </c>
      <c r="P876" s="1">
        <v>5</v>
      </c>
      <c r="Q876" s="10" t="s">
        <v>29</v>
      </c>
      <c r="R876" s="14" t="str" cm="1">
        <f t="array" ref="R876">_xlfn.IFS(C876&lt;18,"Under 18",C876&lt;36,"18-35",C876&lt;51,"36-50",C876&lt;66,"51-65",C876&gt;=66,"66+")</f>
        <v>Under 18</v>
      </c>
      <c r="S876" s="18">
        <v>45748</v>
      </c>
    </row>
    <row r="877" spans="1:19">
      <c r="A877" s="21" t="s">
        <v>1504</v>
      </c>
      <c r="B877" s="1" t="s">
        <v>992</v>
      </c>
      <c r="C877" s="1">
        <v>40</v>
      </c>
      <c r="D877" s="1" t="s">
        <v>27</v>
      </c>
      <c r="E877" s="1" t="s">
        <v>44</v>
      </c>
      <c r="F877" s="1" t="s">
        <v>33</v>
      </c>
      <c r="G877" s="1" t="s">
        <v>34</v>
      </c>
      <c r="H877" s="1" t="s">
        <v>23</v>
      </c>
      <c r="I877" s="1" t="s">
        <v>62</v>
      </c>
      <c r="J877" s="2">
        <v>45461</v>
      </c>
      <c r="K877" s="2">
        <v>45468</v>
      </c>
      <c r="L877" s="1">
        <v>7</v>
      </c>
      <c r="M877" s="1" t="s">
        <v>27</v>
      </c>
      <c r="N877" s="1" t="s">
        <v>82</v>
      </c>
      <c r="O877" s="4">
        <v>46672.49</v>
      </c>
      <c r="P877" s="1">
        <v>1</v>
      </c>
      <c r="Q877" s="10" t="s">
        <v>40</v>
      </c>
      <c r="R877" s="14" t="str" cm="1">
        <f t="array" ref="R877">_xlfn.IFS(C877&lt;18,"Under 18",C877&lt;36,"18-35",C877&lt;51,"36-50",C877&lt;66,"51-65",C877&gt;=66,"66+")</f>
        <v>36-50</v>
      </c>
      <c r="S877" s="18">
        <v>45444</v>
      </c>
    </row>
    <row r="878" spans="1:19">
      <c r="A878" s="21" t="s">
        <v>1505</v>
      </c>
      <c r="B878" s="1" t="s">
        <v>154</v>
      </c>
      <c r="C878" s="1">
        <v>48</v>
      </c>
      <c r="D878" s="1" t="s">
        <v>19</v>
      </c>
      <c r="E878" s="1" t="s">
        <v>66</v>
      </c>
      <c r="F878" s="1" t="s">
        <v>33</v>
      </c>
      <c r="G878" s="1" t="s">
        <v>104</v>
      </c>
      <c r="H878" s="1" t="s">
        <v>76</v>
      </c>
      <c r="I878" s="1" t="s">
        <v>62</v>
      </c>
      <c r="J878" s="2">
        <v>45821</v>
      </c>
      <c r="K878" s="2">
        <v>45822</v>
      </c>
      <c r="L878" s="1">
        <v>1</v>
      </c>
      <c r="M878" s="1" t="s">
        <v>97</v>
      </c>
      <c r="N878" s="1" t="s">
        <v>63</v>
      </c>
      <c r="O878" s="4">
        <v>67745.69</v>
      </c>
      <c r="P878" s="1">
        <v>1</v>
      </c>
      <c r="Q878" s="10" t="s">
        <v>40</v>
      </c>
      <c r="R878" s="14" t="str" cm="1">
        <f t="array" ref="R878">_xlfn.IFS(C878&lt;18,"Under 18",C878&lt;36,"18-35",C878&lt;51,"36-50",C878&lt;66,"51-65",C878&gt;=66,"66+")</f>
        <v>36-50</v>
      </c>
      <c r="S878" s="18">
        <v>45809</v>
      </c>
    </row>
    <row r="879" spans="1:19">
      <c r="A879" s="21" t="s">
        <v>1506</v>
      </c>
      <c r="B879" s="1" t="s">
        <v>1359</v>
      </c>
      <c r="C879" s="1">
        <v>19</v>
      </c>
      <c r="D879" s="1" t="s">
        <v>19</v>
      </c>
      <c r="E879" s="1" t="s">
        <v>137</v>
      </c>
      <c r="F879" s="1" t="s">
        <v>67</v>
      </c>
      <c r="G879" s="1" t="s">
        <v>132</v>
      </c>
      <c r="H879" s="1" t="s">
        <v>99</v>
      </c>
      <c r="I879" s="1" t="s">
        <v>36</v>
      </c>
      <c r="J879" s="2">
        <v>45493</v>
      </c>
      <c r="K879" s="2">
        <v>45498</v>
      </c>
      <c r="L879" s="1">
        <v>5</v>
      </c>
      <c r="M879" s="1" t="s">
        <v>97</v>
      </c>
      <c r="N879" s="1" t="s">
        <v>39</v>
      </c>
      <c r="O879" s="4">
        <v>15212.98</v>
      </c>
      <c r="P879" s="1">
        <v>1</v>
      </c>
      <c r="Q879" s="10" t="s">
        <v>29</v>
      </c>
      <c r="R879" s="14" t="str" cm="1">
        <f t="array" ref="R879">_xlfn.IFS(C879&lt;18,"Under 18",C879&lt;36,"18-35",C879&lt;51,"36-50",C879&lt;66,"51-65",C879&gt;=66,"66+")</f>
        <v>18-35</v>
      </c>
      <c r="S879" s="18">
        <v>45474</v>
      </c>
    </row>
    <row r="880" spans="1:19">
      <c r="A880" s="21" t="s">
        <v>1507</v>
      </c>
      <c r="B880" s="1" t="s">
        <v>194</v>
      </c>
      <c r="C880" s="1">
        <v>55</v>
      </c>
      <c r="D880" s="1" t="s">
        <v>27</v>
      </c>
      <c r="E880" s="1" t="s">
        <v>32</v>
      </c>
      <c r="F880" s="1" t="s">
        <v>52</v>
      </c>
      <c r="G880" s="1" t="s">
        <v>22</v>
      </c>
      <c r="H880" s="1" t="s">
        <v>61</v>
      </c>
      <c r="I880" s="1" t="s">
        <v>62</v>
      </c>
      <c r="J880" s="2">
        <v>45755</v>
      </c>
      <c r="K880" s="2">
        <v>45785</v>
      </c>
      <c r="L880" s="1">
        <v>1</v>
      </c>
      <c r="M880" s="1" t="s">
        <v>38</v>
      </c>
      <c r="N880" s="1" t="s">
        <v>90</v>
      </c>
      <c r="O880" s="4">
        <v>46186.38</v>
      </c>
      <c r="P880" s="1">
        <v>5</v>
      </c>
      <c r="Q880" s="10" t="s">
        <v>40</v>
      </c>
      <c r="R880" s="14" t="str" cm="1">
        <f t="array" ref="R880">_xlfn.IFS(C880&lt;18,"Under 18",C880&lt;36,"18-35",C880&lt;51,"36-50",C880&lt;66,"51-65",C880&gt;=66,"66+")</f>
        <v>51-65</v>
      </c>
      <c r="S880" s="18">
        <v>45748</v>
      </c>
    </row>
    <row r="881" spans="1:19">
      <c r="A881" s="21" t="s">
        <v>1508</v>
      </c>
      <c r="B881" s="1" t="s">
        <v>659</v>
      </c>
      <c r="C881" s="1">
        <v>61</v>
      </c>
      <c r="D881" s="1" t="s">
        <v>43</v>
      </c>
      <c r="E881" s="1" t="s">
        <v>44</v>
      </c>
      <c r="F881" s="1" t="s">
        <v>21</v>
      </c>
      <c r="G881" s="1" t="s">
        <v>53</v>
      </c>
      <c r="H881" s="1" t="s">
        <v>88</v>
      </c>
      <c r="I881" s="1" t="s">
        <v>36</v>
      </c>
      <c r="J881" s="2">
        <v>45882</v>
      </c>
      <c r="K881" s="2">
        <v>45886</v>
      </c>
      <c r="L881" s="1">
        <v>4</v>
      </c>
      <c r="M881" s="1" t="s">
        <v>48</v>
      </c>
      <c r="N881" s="1" t="s">
        <v>57</v>
      </c>
      <c r="O881" s="4">
        <v>90858.86</v>
      </c>
      <c r="P881" s="1">
        <v>5</v>
      </c>
      <c r="Q881" s="10" t="s">
        <v>58</v>
      </c>
      <c r="R881" s="14" t="str" cm="1">
        <f t="array" ref="R881">_xlfn.IFS(C881&lt;18,"Under 18",C881&lt;36,"18-35",C881&lt;51,"36-50",C881&lt;66,"51-65",C881&gt;=66,"66+")</f>
        <v>51-65</v>
      </c>
      <c r="S881" s="18">
        <v>45870</v>
      </c>
    </row>
    <row r="882" spans="1:19">
      <c r="A882" s="21" t="s">
        <v>1509</v>
      </c>
      <c r="B882" s="1" t="s">
        <v>780</v>
      </c>
      <c r="C882" s="1">
        <v>35</v>
      </c>
      <c r="D882" s="1" t="s">
        <v>43</v>
      </c>
      <c r="E882" s="1" t="s">
        <v>66</v>
      </c>
      <c r="F882" s="1" t="s">
        <v>67</v>
      </c>
      <c r="G882" s="1" t="s">
        <v>36</v>
      </c>
      <c r="H882" s="1" t="s">
        <v>99</v>
      </c>
      <c r="I882" s="1" t="s">
        <v>36</v>
      </c>
      <c r="J882" s="2">
        <v>45783</v>
      </c>
      <c r="K882" s="2">
        <v>45906</v>
      </c>
      <c r="L882" s="1">
        <v>4</v>
      </c>
      <c r="M882" s="1" t="s">
        <v>56</v>
      </c>
      <c r="N882" s="1" t="s">
        <v>85</v>
      </c>
      <c r="O882" s="4">
        <v>81503.33</v>
      </c>
      <c r="P882" s="1">
        <v>3</v>
      </c>
      <c r="Q882" s="10" t="s">
        <v>58</v>
      </c>
      <c r="R882" s="14" t="str" cm="1">
        <f t="array" ref="R882">_xlfn.IFS(C882&lt;18,"Under 18",C882&lt;36,"18-35",C882&lt;51,"36-50",C882&lt;66,"51-65",C882&gt;=66,"66+")</f>
        <v>18-35</v>
      </c>
      <c r="S882" s="18">
        <v>45778</v>
      </c>
    </row>
    <row r="883" spans="1:19">
      <c r="A883" s="21" t="s">
        <v>1510</v>
      </c>
      <c r="B883" s="1" t="s">
        <v>1318</v>
      </c>
      <c r="C883" s="1">
        <v>20</v>
      </c>
      <c r="D883" s="1" t="s">
        <v>19</v>
      </c>
      <c r="E883" s="1" t="s">
        <v>44</v>
      </c>
      <c r="F883" s="1" t="s">
        <v>33</v>
      </c>
      <c r="G883" s="1" t="s">
        <v>36</v>
      </c>
      <c r="H883" s="1" t="s">
        <v>76</v>
      </c>
      <c r="I883" s="1" t="s">
        <v>24</v>
      </c>
      <c r="J883" s="2">
        <v>46006</v>
      </c>
      <c r="K883" s="2">
        <v>46010</v>
      </c>
      <c r="L883" s="1">
        <v>4</v>
      </c>
      <c r="M883" s="1" t="s">
        <v>48</v>
      </c>
      <c r="N883" s="1" t="s">
        <v>39</v>
      </c>
      <c r="O883" s="4">
        <v>53359.82</v>
      </c>
      <c r="P883" s="1">
        <v>3</v>
      </c>
      <c r="Q883" s="10" t="s">
        <v>40</v>
      </c>
      <c r="R883" s="14" t="str" cm="1">
        <f t="array" ref="R883">_xlfn.IFS(C883&lt;18,"Under 18",C883&lt;36,"18-35",C883&lt;51,"36-50",C883&lt;66,"51-65",C883&gt;=66,"66+")</f>
        <v>18-35</v>
      </c>
      <c r="S883" s="18">
        <v>45992</v>
      </c>
    </row>
    <row r="884" spans="1:19">
      <c r="A884" s="21" t="s">
        <v>1512</v>
      </c>
      <c r="B884" s="1" t="s">
        <v>266</v>
      </c>
      <c r="C884" s="1">
        <v>8</v>
      </c>
      <c r="D884" s="1" t="s">
        <v>43</v>
      </c>
      <c r="E884" s="1" t="s">
        <v>44</v>
      </c>
      <c r="F884" s="1" t="s">
        <v>21</v>
      </c>
      <c r="G884" s="1" t="s">
        <v>34</v>
      </c>
      <c r="H884" s="1" t="s">
        <v>88</v>
      </c>
      <c r="I884" s="1" t="s">
        <v>62</v>
      </c>
      <c r="J884" s="2">
        <v>45707</v>
      </c>
      <c r="K884" s="2">
        <v>45708</v>
      </c>
      <c r="L884" s="1">
        <v>1</v>
      </c>
      <c r="M884" s="1" t="s">
        <v>97</v>
      </c>
      <c r="N884" s="1" t="s">
        <v>39</v>
      </c>
      <c r="O884" s="4">
        <v>105092.82</v>
      </c>
      <c r="P884" s="1">
        <v>3</v>
      </c>
      <c r="Q884" s="10" t="s">
        <v>29</v>
      </c>
      <c r="R884" s="14" t="str" cm="1">
        <f t="array" ref="R884">_xlfn.IFS(C884&lt;18,"Under 18",C884&lt;36,"18-35",C884&lt;51,"36-50",C884&lt;66,"51-65",C884&gt;=66,"66+")</f>
        <v>Under 18</v>
      </c>
      <c r="S884" s="18">
        <v>45689</v>
      </c>
    </row>
    <row r="885" spans="1:19">
      <c r="A885" s="21" t="s">
        <v>1513</v>
      </c>
      <c r="B885" s="1" t="s">
        <v>190</v>
      </c>
      <c r="C885" s="1">
        <v>37</v>
      </c>
      <c r="D885" s="1" t="s">
        <v>19</v>
      </c>
      <c r="E885" s="1" t="s">
        <v>51</v>
      </c>
      <c r="F885" s="1" t="s">
        <v>33</v>
      </c>
      <c r="G885" s="1" t="s">
        <v>36</v>
      </c>
      <c r="H885" s="1" t="s">
        <v>45</v>
      </c>
      <c r="I885" s="1" t="s">
        <v>62</v>
      </c>
      <c r="J885" s="2">
        <v>45917</v>
      </c>
      <c r="K885" s="2">
        <v>45920</v>
      </c>
      <c r="L885" s="1">
        <v>3</v>
      </c>
      <c r="M885" s="1" t="s">
        <v>48</v>
      </c>
      <c r="N885" s="1" t="s">
        <v>39</v>
      </c>
      <c r="O885" s="4">
        <v>19348.169999999998</v>
      </c>
      <c r="P885" s="1">
        <v>2</v>
      </c>
      <c r="Q885" s="10" t="s">
        <v>29</v>
      </c>
      <c r="R885" s="14" t="str" cm="1">
        <f t="array" ref="R885">_xlfn.IFS(C885&lt;18,"Under 18",C885&lt;36,"18-35",C885&lt;51,"36-50",C885&lt;66,"51-65",C885&gt;=66,"66+")</f>
        <v>36-50</v>
      </c>
      <c r="S885" s="18">
        <v>45901</v>
      </c>
    </row>
    <row r="886" spans="1:19">
      <c r="A886" s="21" t="s">
        <v>1514</v>
      </c>
      <c r="B886" s="1" t="s">
        <v>393</v>
      </c>
      <c r="C886" s="1">
        <v>7</v>
      </c>
      <c r="D886" s="1" t="s">
        <v>19</v>
      </c>
      <c r="E886" s="1" t="s">
        <v>32</v>
      </c>
      <c r="F886" s="1" t="s">
        <v>75</v>
      </c>
      <c r="G886" s="1" t="s">
        <v>53</v>
      </c>
      <c r="H886" s="1" t="s">
        <v>88</v>
      </c>
      <c r="I886" s="1" t="s">
        <v>24</v>
      </c>
      <c r="J886" s="2">
        <v>45774</v>
      </c>
      <c r="K886" s="2">
        <v>45775</v>
      </c>
      <c r="L886" s="1">
        <v>1</v>
      </c>
      <c r="M886" s="1" t="s">
        <v>48</v>
      </c>
      <c r="N886" s="1" t="s">
        <v>28</v>
      </c>
      <c r="O886" s="4">
        <v>77521.8</v>
      </c>
      <c r="P886" s="1">
        <v>3</v>
      </c>
      <c r="Q886" s="10" t="s">
        <v>72</v>
      </c>
      <c r="R886" s="14" t="str" cm="1">
        <f t="array" ref="R886">_xlfn.IFS(C886&lt;18,"Under 18",C886&lt;36,"18-35",C886&lt;51,"36-50",C886&lt;66,"51-65",C886&gt;=66,"66+")</f>
        <v>Under 18</v>
      </c>
      <c r="S886" s="18">
        <v>45748</v>
      </c>
    </row>
    <row r="887" spans="1:19">
      <c r="A887" s="21" t="s">
        <v>1515</v>
      </c>
      <c r="B887" s="1" t="s">
        <v>437</v>
      </c>
      <c r="C887" s="1">
        <v>25</v>
      </c>
      <c r="D887" s="1" t="s">
        <v>19</v>
      </c>
      <c r="E887" s="1" t="s">
        <v>66</v>
      </c>
      <c r="F887" s="1" t="s">
        <v>52</v>
      </c>
      <c r="G887" s="1" t="s">
        <v>22</v>
      </c>
      <c r="H887" s="1" t="s">
        <v>69</v>
      </c>
      <c r="I887" s="1" t="s">
        <v>24</v>
      </c>
      <c r="J887" s="2">
        <v>45749</v>
      </c>
      <c r="K887" s="2">
        <v>45779</v>
      </c>
      <c r="L887" s="1">
        <v>1</v>
      </c>
      <c r="M887" s="1" t="s">
        <v>27</v>
      </c>
      <c r="N887" s="1" t="s">
        <v>28</v>
      </c>
      <c r="O887" s="4">
        <v>32764.47</v>
      </c>
      <c r="P887" s="1">
        <v>2</v>
      </c>
      <c r="Q887" s="10" t="s">
        <v>58</v>
      </c>
      <c r="R887" s="14" t="str" cm="1">
        <f t="array" ref="R887">_xlfn.IFS(C887&lt;18,"Under 18",C887&lt;36,"18-35",C887&lt;51,"36-50",C887&lt;66,"51-65",C887&gt;=66,"66+")</f>
        <v>18-35</v>
      </c>
      <c r="S887" s="18">
        <v>45748</v>
      </c>
    </row>
    <row r="888" spans="1:19">
      <c r="A888" s="21" t="s">
        <v>1516</v>
      </c>
      <c r="B888" s="1" t="s">
        <v>308</v>
      </c>
      <c r="C888" s="1">
        <v>78</v>
      </c>
      <c r="D888" s="1" t="s">
        <v>19</v>
      </c>
      <c r="E888" s="1" t="s">
        <v>137</v>
      </c>
      <c r="F888" s="1" t="s">
        <v>21</v>
      </c>
      <c r="G888" s="1" t="s">
        <v>110</v>
      </c>
      <c r="H888" s="1" t="s">
        <v>93</v>
      </c>
      <c r="I888" s="1" t="s">
        <v>62</v>
      </c>
      <c r="J888" s="2">
        <v>45820</v>
      </c>
      <c r="K888" s="2">
        <v>45850</v>
      </c>
      <c r="L888" s="1">
        <v>1</v>
      </c>
      <c r="M888" s="1" t="s">
        <v>38</v>
      </c>
      <c r="N888" s="1" t="s">
        <v>85</v>
      </c>
      <c r="O888" s="4">
        <v>108352.33</v>
      </c>
      <c r="P888" s="1">
        <v>4</v>
      </c>
      <c r="Q888" s="10" t="s">
        <v>29</v>
      </c>
      <c r="R888" s="14" t="str" cm="1">
        <f t="array" ref="R888">_xlfn.IFS(C888&lt;18,"Under 18",C888&lt;36,"18-35",C888&lt;51,"36-50",C888&lt;66,"51-65",C888&gt;=66,"66+")</f>
        <v>66+</v>
      </c>
      <c r="S888" s="18">
        <v>45809</v>
      </c>
    </row>
    <row r="889" spans="1:19">
      <c r="A889" s="21" t="s">
        <v>1517</v>
      </c>
      <c r="B889" s="1" t="s">
        <v>79</v>
      </c>
      <c r="C889" s="1">
        <v>60</v>
      </c>
      <c r="D889" s="1" t="s">
        <v>19</v>
      </c>
      <c r="E889" s="1" t="s">
        <v>20</v>
      </c>
      <c r="F889" s="1" t="s">
        <v>33</v>
      </c>
      <c r="G889" s="1" t="s">
        <v>53</v>
      </c>
      <c r="H889" s="1" t="s">
        <v>88</v>
      </c>
      <c r="I889" s="1" t="s">
        <v>24</v>
      </c>
      <c r="J889" s="2">
        <v>46012</v>
      </c>
      <c r="K889" s="2">
        <v>46019</v>
      </c>
      <c r="L889" s="1">
        <v>7</v>
      </c>
      <c r="M889" s="1" t="s">
        <v>48</v>
      </c>
      <c r="N889" s="1" t="s">
        <v>82</v>
      </c>
      <c r="O889" s="4">
        <v>100255.46</v>
      </c>
      <c r="P889" s="1">
        <v>4</v>
      </c>
      <c r="Q889" s="10" t="s">
        <v>29</v>
      </c>
      <c r="R889" s="14" t="str" cm="1">
        <f t="array" ref="R889">_xlfn.IFS(C889&lt;18,"Under 18",C889&lt;36,"18-35",C889&lt;51,"36-50",C889&lt;66,"51-65",C889&gt;=66,"66+")</f>
        <v>51-65</v>
      </c>
      <c r="S889" s="18">
        <v>45992</v>
      </c>
    </row>
    <row r="890" spans="1:19">
      <c r="A890" s="21" t="s">
        <v>1519</v>
      </c>
      <c r="B890" s="1" t="s">
        <v>992</v>
      </c>
      <c r="C890" s="1">
        <v>51</v>
      </c>
      <c r="D890" s="1" t="s">
        <v>19</v>
      </c>
      <c r="E890" s="1" t="s">
        <v>159</v>
      </c>
      <c r="F890" s="1" t="s">
        <v>21</v>
      </c>
      <c r="G890" s="1" t="s">
        <v>68</v>
      </c>
      <c r="H890" s="1" t="s">
        <v>76</v>
      </c>
      <c r="I890" s="1" t="s">
        <v>62</v>
      </c>
      <c r="J890" s="2">
        <v>45645</v>
      </c>
      <c r="K890" s="2">
        <v>45646</v>
      </c>
      <c r="L890" s="1">
        <v>1</v>
      </c>
      <c r="M890" s="1" t="s">
        <v>97</v>
      </c>
      <c r="N890" s="1" t="s">
        <v>63</v>
      </c>
      <c r="O890" s="4">
        <v>25619.06</v>
      </c>
      <c r="P890" s="1">
        <v>4</v>
      </c>
      <c r="Q890" s="10" t="s">
        <v>40</v>
      </c>
      <c r="R890" s="14" t="str" cm="1">
        <f t="array" ref="R890">_xlfn.IFS(C890&lt;18,"Under 18",C890&lt;36,"18-35",C890&lt;51,"36-50",C890&lt;66,"51-65",C890&gt;=66,"66+")</f>
        <v>51-65</v>
      </c>
      <c r="S890" s="18">
        <v>45627</v>
      </c>
    </row>
    <row r="891" spans="1:19">
      <c r="A891" s="21" t="s">
        <v>1520</v>
      </c>
      <c r="B891" s="1" t="s">
        <v>246</v>
      </c>
      <c r="C891" s="1">
        <v>73</v>
      </c>
      <c r="D891" s="1" t="s">
        <v>27</v>
      </c>
      <c r="E891" s="1" t="s">
        <v>20</v>
      </c>
      <c r="F891" s="1" t="s">
        <v>52</v>
      </c>
      <c r="G891" s="1" t="s">
        <v>53</v>
      </c>
      <c r="H891" s="1" t="s">
        <v>35</v>
      </c>
      <c r="I891" s="1" t="s">
        <v>36</v>
      </c>
      <c r="J891" s="2">
        <v>45480</v>
      </c>
      <c r="K891" s="2">
        <v>45542</v>
      </c>
      <c r="L891" s="1">
        <v>2</v>
      </c>
      <c r="M891" s="1" t="s">
        <v>97</v>
      </c>
      <c r="N891" s="1" t="s">
        <v>28</v>
      </c>
      <c r="O891" s="4">
        <v>19984.61</v>
      </c>
      <c r="P891" s="1">
        <v>4</v>
      </c>
      <c r="Q891" s="10" t="s">
        <v>72</v>
      </c>
      <c r="R891" s="14" t="str" cm="1">
        <f t="array" ref="R891">_xlfn.IFS(C891&lt;18,"Under 18",C891&lt;36,"18-35",C891&lt;51,"36-50",C891&lt;66,"51-65",C891&gt;=66,"66+")</f>
        <v>66+</v>
      </c>
      <c r="S891" s="18">
        <v>45474</v>
      </c>
    </row>
    <row r="892" spans="1:19">
      <c r="A892" s="21" t="s">
        <v>1521</v>
      </c>
      <c r="B892" s="1" t="s">
        <v>837</v>
      </c>
      <c r="C892" s="1">
        <v>81</v>
      </c>
      <c r="D892" s="1" t="s">
        <v>43</v>
      </c>
      <c r="E892" s="1" t="s">
        <v>247</v>
      </c>
      <c r="F892" s="1" t="s">
        <v>52</v>
      </c>
      <c r="G892" s="1" t="s">
        <v>34</v>
      </c>
      <c r="H892" s="1" t="s">
        <v>45</v>
      </c>
      <c r="I892" s="1" t="s">
        <v>24</v>
      </c>
      <c r="J892" s="2">
        <v>46020</v>
      </c>
      <c r="K892" s="2">
        <v>46204</v>
      </c>
      <c r="L892" s="1">
        <v>9</v>
      </c>
      <c r="M892" s="1" t="s">
        <v>27</v>
      </c>
      <c r="N892" s="1" t="s">
        <v>82</v>
      </c>
      <c r="O892" s="4">
        <v>114679.09</v>
      </c>
      <c r="P892" s="1">
        <v>4</v>
      </c>
      <c r="Q892" s="10" t="s">
        <v>58</v>
      </c>
      <c r="R892" s="14" t="str" cm="1">
        <f t="array" ref="R892">_xlfn.IFS(C892&lt;18,"Under 18",C892&lt;36,"18-35",C892&lt;51,"36-50",C892&lt;66,"51-65",C892&gt;=66,"66+")</f>
        <v>66+</v>
      </c>
      <c r="S892" s="18">
        <v>45992</v>
      </c>
    </row>
    <row r="893" spans="1:19">
      <c r="A893" s="21" t="s">
        <v>1522</v>
      </c>
      <c r="B893" s="1" t="s">
        <v>502</v>
      </c>
      <c r="C893" s="1">
        <v>68</v>
      </c>
      <c r="D893" s="1" t="s">
        <v>27</v>
      </c>
      <c r="E893" s="1" t="s">
        <v>117</v>
      </c>
      <c r="F893" s="1" t="s">
        <v>120</v>
      </c>
      <c r="G893" s="1" t="s">
        <v>34</v>
      </c>
      <c r="H893" s="1" t="s">
        <v>93</v>
      </c>
      <c r="I893" s="1" t="s">
        <v>36</v>
      </c>
      <c r="J893" s="2">
        <v>45919</v>
      </c>
      <c r="K893" s="2">
        <v>45921</v>
      </c>
      <c r="L893" s="1">
        <v>2</v>
      </c>
      <c r="M893" s="1" t="s">
        <v>97</v>
      </c>
      <c r="N893" s="1" t="s">
        <v>90</v>
      </c>
      <c r="O893" s="4">
        <v>142676.24</v>
      </c>
      <c r="P893" s="1">
        <v>3</v>
      </c>
      <c r="Q893" s="10" t="s">
        <v>72</v>
      </c>
      <c r="R893" s="14" t="str" cm="1">
        <f t="array" ref="R893">_xlfn.IFS(C893&lt;18,"Under 18",C893&lt;36,"18-35",C893&lt;51,"36-50",C893&lt;66,"51-65",C893&gt;=66,"66+")</f>
        <v>66+</v>
      </c>
      <c r="S893" s="18">
        <v>45901</v>
      </c>
    </row>
    <row r="894" spans="1:19">
      <c r="A894" s="21" t="s">
        <v>1524</v>
      </c>
      <c r="B894" s="1" t="s">
        <v>283</v>
      </c>
      <c r="C894" s="1">
        <v>61</v>
      </c>
      <c r="D894" s="1" t="s">
        <v>43</v>
      </c>
      <c r="E894" s="1" t="s">
        <v>44</v>
      </c>
      <c r="F894" s="1" t="s">
        <v>120</v>
      </c>
      <c r="G894" s="1" t="s">
        <v>132</v>
      </c>
      <c r="H894" s="1" t="s">
        <v>93</v>
      </c>
      <c r="I894" s="1" t="s">
        <v>62</v>
      </c>
      <c r="J894" s="2">
        <v>45766</v>
      </c>
      <c r="K894" s="2">
        <v>45771</v>
      </c>
      <c r="L894" s="1">
        <v>5</v>
      </c>
      <c r="M894" s="1" t="s">
        <v>38</v>
      </c>
      <c r="N894" s="1" t="s">
        <v>28</v>
      </c>
      <c r="O894" s="4">
        <v>31323.14</v>
      </c>
      <c r="P894" s="1">
        <v>5</v>
      </c>
      <c r="Q894" s="10" t="s">
        <v>29</v>
      </c>
      <c r="R894" s="14" t="str" cm="1">
        <f t="array" ref="R894">_xlfn.IFS(C894&lt;18,"Under 18",C894&lt;36,"18-35",C894&lt;51,"36-50",C894&lt;66,"51-65",C894&gt;=66,"66+")</f>
        <v>51-65</v>
      </c>
      <c r="S894" s="18">
        <v>45748</v>
      </c>
    </row>
    <row r="895" spans="1:19">
      <c r="A895" s="21" t="s">
        <v>1526</v>
      </c>
      <c r="B895" s="1" t="s">
        <v>428</v>
      </c>
      <c r="C895" s="1">
        <v>6</v>
      </c>
      <c r="D895" s="1" t="s">
        <v>19</v>
      </c>
      <c r="E895" s="1" t="s">
        <v>51</v>
      </c>
      <c r="F895" s="1" t="s">
        <v>52</v>
      </c>
      <c r="G895" s="1" t="s">
        <v>22</v>
      </c>
      <c r="H895" s="1" t="s">
        <v>105</v>
      </c>
      <c r="I895" s="1" t="s">
        <v>24</v>
      </c>
      <c r="J895" s="2">
        <v>45781</v>
      </c>
      <c r="K895" s="2">
        <v>45873</v>
      </c>
      <c r="L895" s="1">
        <v>3</v>
      </c>
      <c r="M895" s="1" t="s">
        <v>38</v>
      </c>
      <c r="N895" s="1" t="s">
        <v>39</v>
      </c>
      <c r="O895" s="4">
        <v>51073.81</v>
      </c>
      <c r="P895" s="1">
        <v>5</v>
      </c>
      <c r="Q895" s="10" t="s">
        <v>72</v>
      </c>
      <c r="R895" s="14" t="str" cm="1">
        <f t="array" ref="R895">_xlfn.IFS(C895&lt;18,"Under 18",C895&lt;36,"18-35",C895&lt;51,"36-50",C895&lt;66,"51-65",C895&gt;=66,"66+")</f>
        <v>Under 18</v>
      </c>
      <c r="S895" s="18">
        <v>45778</v>
      </c>
    </row>
    <row r="896" spans="1:19">
      <c r="A896" s="21" t="s">
        <v>1527</v>
      </c>
      <c r="B896" s="1" t="s">
        <v>123</v>
      </c>
      <c r="C896" s="1">
        <v>64</v>
      </c>
      <c r="D896" s="1" t="s">
        <v>27</v>
      </c>
      <c r="E896" s="1" t="s">
        <v>51</v>
      </c>
      <c r="F896" s="1" t="s">
        <v>52</v>
      </c>
      <c r="G896" s="1" t="s">
        <v>22</v>
      </c>
      <c r="H896" s="1" t="s">
        <v>61</v>
      </c>
      <c r="I896" s="1" t="s">
        <v>36</v>
      </c>
      <c r="J896" s="2">
        <v>45451</v>
      </c>
      <c r="K896" s="2">
        <v>45634</v>
      </c>
      <c r="L896" s="1">
        <v>6</v>
      </c>
      <c r="M896" s="1" t="s">
        <v>48</v>
      </c>
      <c r="N896" s="1" t="s">
        <v>63</v>
      </c>
      <c r="O896" s="4">
        <v>79570.929999999993</v>
      </c>
      <c r="P896" s="1">
        <v>4</v>
      </c>
      <c r="Q896" s="10" t="s">
        <v>58</v>
      </c>
      <c r="R896" s="14" t="str" cm="1">
        <f t="array" ref="R896">_xlfn.IFS(C896&lt;18,"Under 18",C896&lt;36,"18-35",C896&lt;51,"36-50",C896&lt;66,"51-65",C896&gt;=66,"66+")</f>
        <v>51-65</v>
      </c>
      <c r="S896" s="18">
        <v>45444</v>
      </c>
    </row>
    <row r="897" spans="1:19">
      <c r="A897" s="21" t="s">
        <v>1528</v>
      </c>
      <c r="B897" s="1" t="s">
        <v>1529</v>
      </c>
      <c r="C897" s="1">
        <v>11</v>
      </c>
      <c r="D897" s="1" t="s">
        <v>43</v>
      </c>
      <c r="E897" s="1" t="s">
        <v>137</v>
      </c>
      <c r="F897" s="1" t="s">
        <v>21</v>
      </c>
      <c r="G897" s="1" t="s">
        <v>68</v>
      </c>
      <c r="H897" s="1" t="s">
        <v>35</v>
      </c>
      <c r="I897" s="1" t="s">
        <v>24</v>
      </c>
      <c r="J897" s="2">
        <v>45954</v>
      </c>
      <c r="K897" s="2">
        <v>45955</v>
      </c>
      <c r="L897" s="1">
        <v>1</v>
      </c>
      <c r="M897" s="1" t="s">
        <v>56</v>
      </c>
      <c r="N897" s="1" t="s">
        <v>82</v>
      </c>
      <c r="O897" s="4">
        <v>59994.37</v>
      </c>
      <c r="P897" s="1">
        <v>4</v>
      </c>
      <c r="Q897" s="10" t="s">
        <v>72</v>
      </c>
      <c r="R897" s="14" t="str" cm="1">
        <f t="array" ref="R897">_xlfn.IFS(C897&lt;18,"Under 18",C897&lt;36,"18-35",C897&lt;51,"36-50",C897&lt;66,"51-65",C897&gt;=66,"66+")</f>
        <v>Under 18</v>
      </c>
      <c r="S897" s="18">
        <v>45931</v>
      </c>
    </row>
    <row r="898" spans="1:19">
      <c r="A898" s="21" t="s">
        <v>1530</v>
      </c>
      <c r="B898" s="1" t="s">
        <v>735</v>
      </c>
      <c r="C898" s="1">
        <v>37</v>
      </c>
      <c r="D898" s="1" t="s">
        <v>43</v>
      </c>
      <c r="E898" s="1" t="s">
        <v>32</v>
      </c>
      <c r="F898" s="1" t="s">
        <v>33</v>
      </c>
      <c r="G898" s="1" t="s">
        <v>110</v>
      </c>
      <c r="H898" s="1" t="s">
        <v>45</v>
      </c>
      <c r="I898" s="1" t="s">
        <v>62</v>
      </c>
      <c r="J898" s="2">
        <v>45907</v>
      </c>
      <c r="K898" s="2">
        <v>45851</v>
      </c>
      <c r="L898" s="1">
        <v>4</v>
      </c>
      <c r="M898" s="1" t="s">
        <v>48</v>
      </c>
      <c r="N898" s="1" t="s">
        <v>90</v>
      </c>
      <c r="O898" s="4">
        <v>89347.92</v>
      </c>
      <c r="P898" s="1">
        <v>3</v>
      </c>
      <c r="Q898" s="10" t="s">
        <v>58</v>
      </c>
      <c r="R898" s="14" t="str" cm="1">
        <f t="array" ref="R898">_xlfn.IFS(C898&lt;18,"Under 18",C898&lt;36,"18-35",C898&lt;51,"36-50",C898&lt;66,"51-65",C898&gt;=66,"66+")</f>
        <v>36-50</v>
      </c>
      <c r="S898" s="18">
        <v>45901</v>
      </c>
    </row>
    <row r="899" spans="1:19">
      <c r="A899" s="21" t="s">
        <v>1531</v>
      </c>
      <c r="B899" s="1" t="s">
        <v>255</v>
      </c>
      <c r="C899" s="1">
        <v>66</v>
      </c>
      <c r="D899" s="1" t="s">
        <v>19</v>
      </c>
      <c r="E899" s="1" t="s">
        <v>44</v>
      </c>
      <c r="F899" s="1" t="s">
        <v>75</v>
      </c>
      <c r="G899" s="1" t="s">
        <v>53</v>
      </c>
      <c r="H899" s="1" t="s">
        <v>45</v>
      </c>
      <c r="I899" s="1" t="s">
        <v>36</v>
      </c>
      <c r="J899" s="2">
        <v>45843</v>
      </c>
      <c r="K899" s="2">
        <v>45996</v>
      </c>
      <c r="L899" s="1">
        <v>5</v>
      </c>
      <c r="M899" s="1" t="s">
        <v>56</v>
      </c>
      <c r="N899" s="1" t="s">
        <v>85</v>
      </c>
      <c r="O899" s="4">
        <v>58534.84</v>
      </c>
      <c r="P899" s="1">
        <v>3</v>
      </c>
      <c r="Q899" s="10" t="s">
        <v>40</v>
      </c>
      <c r="R899" s="14" t="str" cm="1">
        <f t="array" ref="R899">_xlfn.IFS(C899&lt;18,"Under 18",C899&lt;36,"18-35",C899&lt;51,"36-50",C899&lt;66,"51-65",C899&gt;=66,"66+")</f>
        <v>66+</v>
      </c>
      <c r="S899" s="18">
        <v>45839</v>
      </c>
    </row>
    <row r="900" spans="1:19">
      <c r="A900" s="21" t="s">
        <v>1532</v>
      </c>
      <c r="B900" s="1" t="s">
        <v>375</v>
      </c>
      <c r="C900" s="1">
        <v>21</v>
      </c>
      <c r="D900" s="1" t="s">
        <v>27</v>
      </c>
      <c r="E900" s="1" t="s">
        <v>20</v>
      </c>
      <c r="F900" s="1" t="s">
        <v>21</v>
      </c>
      <c r="G900" s="1" t="s">
        <v>53</v>
      </c>
      <c r="H900" s="1" t="s">
        <v>99</v>
      </c>
      <c r="I900" s="1" t="s">
        <v>36</v>
      </c>
      <c r="J900" s="2">
        <v>45850</v>
      </c>
      <c r="K900" s="2">
        <v>45912</v>
      </c>
      <c r="L900" s="1">
        <v>2</v>
      </c>
      <c r="M900" s="1" t="s">
        <v>27</v>
      </c>
      <c r="N900" s="1" t="s">
        <v>63</v>
      </c>
      <c r="O900" s="4">
        <v>57104.36</v>
      </c>
      <c r="P900" s="1">
        <v>5</v>
      </c>
      <c r="Q900" s="10" t="s">
        <v>58</v>
      </c>
      <c r="R900" s="14" t="str" cm="1">
        <f t="array" ref="R900">_xlfn.IFS(C900&lt;18,"Under 18",C900&lt;36,"18-35",C900&lt;51,"36-50",C900&lt;66,"51-65",C900&gt;=66,"66+")</f>
        <v>18-35</v>
      </c>
      <c r="S900" s="18">
        <v>45839</v>
      </c>
    </row>
    <row r="901" spans="1:19">
      <c r="A901" s="21" t="s">
        <v>1533</v>
      </c>
      <c r="B901" s="1" t="s">
        <v>65</v>
      </c>
      <c r="C901" s="1">
        <v>76</v>
      </c>
      <c r="D901" s="1" t="s">
        <v>27</v>
      </c>
      <c r="E901" s="1" t="s">
        <v>202</v>
      </c>
      <c r="F901" s="1" t="s">
        <v>75</v>
      </c>
      <c r="G901" s="1" t="s">
        <v>104</v>
      </c>
      <c r="H901" s="1" t="s">
        <v>23</v>
      </c>
      <c r="I901" s="1" t="s">
        <v>62</v>
      </c>
      <c r="J901" s="2">
        <v>46006</v>
      </c>
      <c r="K901" s="2">
        <v>46016</v>
      </c>
      <c r="L901" s="1">
        <v>10</v>
      </c>
      <c r="M901" s="1" t="s">
        <v>56</v>
      </c>
      <c r="N901" s="1" t="s">
        <v>28</v>
      </c>
      <c r="O901" s="4">
        <v>85339.06</v>
      </c>
      <c r="P901" s="1">
        <v>4</v>
      </c>
      <c r="Q901" s="10" t="s">
        <v>40</v>
      </c>
      <c r="R901" s="14" t="str" cm="1">
        <f t="array" ref="R901">_xlfn.IFS(C901&lt;18,"Under 18",C901&lt;36,"18-35",C901&lt;51,"36-50",C901&lt;66,"51-65",C901&gt;=66,"66+")</f>
        <v>66+</v>
      </c>
      <c r="S901" s="18">
        <v>45992</v>
      </c>
    </row>
    <row r="902" spans="1:19">
      <c r="A902" s="21" t="s">
        <v>1534</v>
      </c>
      <c r="B902" s="1" t="s">
        <v>109</v>
      </c>
      <c r="C902" s="1">
        <v>3</v>
      </c>
      <c r="D902" s="1" t="s">
        <v>27</v>
      </c>
      <c r="E902" s="1" t="s">
        <v>44</v>
      </c>
      <c r="F902" s="1" t="s">
        <v>21</v>
      </c>
      <c r="G902" s="1" t="s">
        <v>34</v>
      </c>
      <c r="H902" s="1" t="s">
        <v>88</v>
      </c>
      <c r="I902" s="1" t="s">
        <v>62</v>
      </c>
      <c r="J902" s="2">
        <v>45673</v>
      </c>
      <c r="K902" s="2">
        <v>45676</v>
      </c>
      <c r="L902" s="1">
        <v>3</v>
      </c>
      <c r="M902" s="1" t="s">
        <v>97</v>
      </c>
      <c r="N902" s="1" t="s">
        <v>90</v>
      </c>
      <c r="O902" s="4">
        <v>95658.87</v>
      </c>
      <c r="P902" s="1">
        <v>5</v>
      </c>
      <c r="Q902" s="10" t="s">
        <v>40</v>
      </c>
      <c r="R902" s="14" t="str" cm="1">
        <f t="array" ref="R902">_xlfn.IFS(C902&lt;18,"Under 18",C902&lt;36,"18-35",C902&lt;51,"36-50",C902&lt;66,"51-65",C902&gt;=66,"66+")</f>
        <v>Under 18</v>
      </c>
      <c r="S902" s="18">
        <v>45658</v>
      </c>
    </row>
    <row r="903" spans="1:19">
      <c r="A903" s="21" t="s">
        <v>1535</v>
      </c>
      <c r="B903" s="1" t="s">
        <v>310</v>
      </c>
      <c r="C903" s="1">
        <v>16</v>
      </c>
      <c r="D903" s="1" t="s">
        <v>27</v>
      </c>
      <c r="E903" s="1" t="s">
        <v>117</v>
      </c>
      <c r="F903" s="1" t="s">
        <v>33</v>
      </c>
      <c r="G903" s="1" t="s">
        <v>36</v>
      </c>
      <c r="H903" s="1" t="s">
        <v>105</v>
      </c>
      <c r="I903" s="1" t="s">
        <v>36</v>
      </c>
      <c r="J903" s="2">
        <v>45353</v>
      </c>
      <c r="K903" s="2">
        <v>45414</v>
      </c>
      <c r="L903" s="1">
        <v>2</v>
      </c>
      <c r="M903" s="1" t="s">
        <v>38</v>
      </c>
      <c r="N903" s="1" t="s">
        <v>82</v>
      </c>
      <c r="O903" s="4">
        <v>14842.53</v>
      </c>
      <c r="P903" s="1">
        <v>2</v>
      </c>
      <c r="Q903" s="10" t="s">
        <v>58</v>
      </c>
      <c r="R903" s="14" t="str" cm="1">
        <f t="array" ref="R903">_xlfn.IFS(C903&lt;18,"Under 18",C903&lt;36,"18-35",C903&lt;51,"36-50",C903&lt;66,"51-65",C903&gt;=66,"66+")</f>
        <v>Under 18</v>
      </c>
      <c r="S903" s="18">
        <v>45352</v>
      </c>
    </row>
    <row r="904" spans="1:19">
      <c r="A904" s="21" t="s">
        <v>1536</v>
      </c>
      <c r="B904" s="1" t="s">
        <v>234</v>
      </c>
      <c r="C904" s="1">
        <v>10</v>
      </c>
      <c r="D904" s="1" t="s">
        <v>27</v>
      </c>
      <c r="E904" s="1" t="s">
        <v>66</v>
      </c>
      <c r="F904" s="1" t="s">
        <v>67</v>
      </c>
      <c r="G904" s="1" t="s">
        <v>36</v>
      </c>
      <c r="H904" s="1" t="s">
        <v>99</v>
      </c>
      <c r="I904" s="1" t="s">
        <v>24</v>
      </c>
      <c r="J904" s="2">
        <v>45839</v>
      </c>
      <c r="K904" s="2">
        <v>45962</v>
      </c>
      <c r="L904" s="1">
        <v>4</v>
      </c>
      <c r="M904" s="1" t="s">
        <v>27</v>
      </c>
      <c r="N904" s="1" t="s">
        <v>39</v>
      </c>
      <c r="O904" s="4">
        <v>13908.79</v>
      </c>
      <c r="P904" s="1">
        <v>3</v>
      </c>
      <c r="Q904" s="10" t="s">
        <v>72</v>
      </c>
      <c r="R904" s="14" t="str" cm="1">
        <f t="array" ref="R904">_xlfn.IFS(C904&lt;18,"Under 18",C904&lt;36,"18-35",C904&lt;51,"36-50",C904&lt;66,"51-65",C904&gt;=66,"66+")</f>
        <v>Under 18</v>
      </c>
      <c r="S904" s="18">
        <v>45839</v>
      </c>
    </row>
    <row r="905" spans="1:19">
      <c r="A905" s="21" t="s">
        <v>1537</v>
      </c>
      <c r="B905" s="1" t="s">
        <v>60</v>
      </c>
      <c r="C905" s="1">
        <v>47</v>
      </c>
      <c r="D905" s="1" t="s">
        <v>19</v>
      </c>
      <c r="E905" s="1" t="s">
        <v>202</v>
      </c>
      <c r="F905" s="1" t="s">
        <v>120</v>
      </c>
      <c r="G905" s="1" t="s">
        <v>22</v>
      </c>
      <c r="H905" s="1" t="s">
        <v>35</v>
      </c>
      <c r="I905" s="1" t="s">
        <v>62</v>
      </c>
      <c r="J905" s="2">
        <v>45477</v>
      </c>
      <c r="K905" s="2">
        <v>45397</v>
      </c>
      <c r="L905" s="1">
        <v>8</v>
      </c>
      <c r="M905" s="1" t="s">
        <v>27</v>
      </c>
      <c r="N905" s="1" t="s">
        <v>39</v>
      </c>
      <c r="O905" s="4">
        <v>67597.539999999994</v>
      </c>
      <c r="P905" s="1">
        <v>4</v>
      </c>
      <c r="Q905" s="10" t="s">
        <v>72</v>
      </c>
      <c r="R905" s="14" t="str" cm="1">
        <f t="array" ref="R905">_xlfn.IFS(C905&lt;18,"Under 18",C905&lt;36,"18-35",C905&lt;51,"36-50",C905&lt;66,"51-65",C905&gt;=66,"66+")</f>
        <v>36-50</v>
      </c>
      <c r="S905" s="18">
        <v>45474</v>
      </c>
    </row>
    <row r="906" spans="1:19">
      <c r="A906" s="21" t="s">
        <v>1538</v>
      </c>
      <c r="B906" s="1" t="s">
        <v>242</v>
      </c>
      <c r="C906" s="1">
        <v>71</v>
      </c>
      <c r="D906" s="1" t="s">
        <v>27</v>
      </c>
      <c r="E906" s="1" t="s">
        <v>137</v>
      </c>
      <c r="F906" s="1" t="s">
        <v>75</v>
      </c>
      <c r="G906" s="1" t="s">
        <v>68</v>
      </c>
      <c r="H906" s="1" t="s">
        <v>45</v>
      </c>
      <c r="I906" s="1" t="s">
        <v>24</v>
      </c>
      <c r="J906" s="2">
        <v>45881</v>
      </c>
      <c r="K906" s="2">
        <v>45942</v>
      </c>
      <c r="L906" s="1">
        <v>2</v>
      </c>
      <c r="M906" s="1" t="s">
        <v>38</v>
      </c>
      <c r="N906" s="1" t="s">
        <v>82</v>
      </c>
      <c r="O906" s="4">
        <v>77358.78</v>
      </c>
      <c r="P906" s="1">
        <v>5</v>
      </c>
      <c r="Q906" s="10" t="s">
        <v>72</v>
      </c>
      <c r="R906" s="14" t="str" cm="1">
        <f t="array" ref="R906">_xlfn.IFS(C906&lt;18,"Under 18",C906&lt;36,"18-35",C906&lt;51,"36-50",C906&lt;66,"51-65",C906&gt;=66,"66+")</f>
        <v>66+</v>
      </c>
      <c r="S906" s="18">
        <v>45870</v>
      </c>
    </row>
    <row r="907" spans="1:19">
      <c r="A907" s="21" t="s">
        <v>1539</v>
      </c>
      <c r="B907" s="1" t="s">
        <v>570</v>
      </c>
      <c r="C907" s="1">
        <v>18</v>
      </c>
      <c r="D907" s="1" t="s">
        <v>19</v>
      </c>
      <c r="E907" s="1" t="s">
        <v>32</v>
      </c>
      <c r="F907" s="1" t="s">
        <v>120</v>
      </c>
      <c r="G907" s="1" t="s">
        <v>34</v>
      </c>
      <c r="H907" s="1" t="s">
        <v>93</v>
      </c>
      <c r="I907" s="1" t="s">
        <v>36</v>
      </c>
      <c r="J907" s="2">
        <v>45447</v>
      </c>
      <c r="K907" s="2">
        <v>45477</v>
      </c>
      <c r="L907" s="1">
        <v>1</v>
      </c>
      <c r="M907" s="1" t="s">
        <v>56</v>
      </c>
      <c r="N907" s="1" t="s">
        <v>63</v>
      </c>
      <c r="O907" s="4">
        <v>111289.11</v>
      </c>
      <c r="P907" s="1">
        <v>2</v>
      </c>
      <c r="Q907" s="10" t="s">
        <v>72</v>
      </c>
      <c r="R907" s="14" t="str" cm="1">
        <f t="array" ref="R907">_xlfn.IFS(C907&lt;18,"Under 18",C907&lt;36,"18-35",C907&lt;51,"36-50",C907&lt;66,"51-65",C907&gt;=66,"66+")</f>
        <v>18-35</v>
      </c>
      <c r="S907" s="18">
        <v>45444</v>
      </c>
    </row>
    <row r="908" spans="1:19">
      <c r="A908" s="21" t="s">
        <v>1540</v>
      </c>
      <c r="B908" s="1" t="s">
        <v>826</v>
      </c>
      <c r="C908" s="1">
        <v>81</v>
      </c>
      <c r="D908" s="1" t="s">
        <v>19</v>
      </c>
      <c r="E908" s="1" t="s">
        <v>159</v>
      </c>
      <c r="F908" s="1" t="s">
        <v>67</v>
      </c>
      <c r="G908" s="1" t="s">
        <v>132</v>
      </c>
      <c r="H908" s="1" t="s">
        <v>76</v>
      </c>
      <c r="I908" s="1" t="s">
        <v>36</v>
      </c>
      <c r="J908" s="2">
        <v>45773</v>
      </c>
      <c r="K908" s="2">
        <v>45721</v>
      </c>
      <c r="L908" s="1">
        <v>7</v>
      </c>
      <c r="M908" s="1" t="s">
        <v>48</v>
      </c>
      <c r="N908" s="1" t="s">
        <v>57</v>
      </c>
      <c r="O908" s="4">
        <v>12385.91</v>
      </c>
      <c r="P908" s="1">
        <v>4</v>
      </c>
      <c r="Q908" s="10" t="s">
        <v>29</v>
      </c>
      <c r="R908" s="14" t="str" cm="1">
        <f t="array" ref="R908">_xlfn.IFS(C908&lt;18,"Under 18",C908&lt;36,"18-35",C908&lt;51,"36-50",C908&lt;66,"51-65",C908&gt;=66,"66+")</f>
        <v>66+</v>
      </c>
      <c r="S908" s="18">
        <v>45748</v>
      </c>
    </row>
    <row r="909" spans="1:19">
      <c r="A909" s="21" t="s">
        <v>1541</v>
      </c>
      <c r="B909" s="1" t="s">
        <v>375</v>
      </c>
      <c r="C909" s="1">
        <v>79</v>
      </c>
      <c r="D909" s="1" t="s">
        <v>27</v>
      </c>
      <c r="E909" s="1" t="s">
        <v>117</v>
      </c>
      <c r="F909" s="1" t="s">
        <v>52</v>
      </c>
      <c r="G909" s="1" t="s">
        <v>36</v>
      </c>
      <c r="H909" s="1" t="s">
        <v>69</v>
      </c>
      <c r="I909" s="1" t="s">
        <v>24</v>
      </c>
      <c r="J909" s="2">
        <v>45659</v>
      </c>
      <c r="K909" s="2">
        <v>45690</v>
      </c>
      <c r="L909" s="1">
        <v>1</v>
      </c>
      <c r="M909" s="1" t="s">
        <v>97</v>
      </c>
      <c r="N909" s="1" t="s">
        <v>28</v>
      </c>
      <c r="O909" s="4">
        <v>32999.379999999997</v>
      </c>
      <c r="P909" s="1">
        <v>3</v>
      </c>
      <c r="Q909" s="10" t="s">
        <v>72</v>
      </c>
      <c r="R909" s="14" t="str" cm="1">
        <f t="array" ref="R909">_xlfn.IFS(C909&lt;18,"Under 18",C909&lt;36,"18-35",C909&lt;51,"36-50",C909&lt;66,"51-65",C909&gt;=66,"66+")</f>
        <v>66+</v>
      </c>
      <c r="S909" s="18">
        <v>45658</v>
      </c>
    </row>
    <row r="910" spans="1:19">
      <c r="A910" s="21" t="s">
        <v>1542</v>
      </c>
      <c r="B910" s="1" t="s">
        <v>283</v>
      </c>
      <c r="C910" s="1">
        <v>52</v>
      </c>
      <c r="D910" s="1" t="s">
        <v>27</v>
      </c>
      <c r="E910" s="1" t="s">
        <v>20</v>
      </c>
      <c r="F910" s="1" t="s">
        <v>52</v>
      </c>
      <c r="G910" s="1" t="s">
        <v>110</v>
      </c>
      <c r="H910" s="1" t="s">
        <v>69</v>
      </c>
      <c r="I910" s="1" t="s">
        <v>36</v>
      </c>
      <c r="J910" s="2">
        <v>45487</v>
      </c>
      <c r="K910" s="2">
        <v>45489</v>
      </c>
      <c r="L910" s="1">
        <v>2</v>
      </c>
      <c r="M910" s="1" t="s">
        <v>48</v>
      </c>
      <c r="N910" s="1" t="s">
        <v>63</v>
      </c>
      <c r="O910" s="4">
        <v>37446.410000000003</v>
      </c>
      <c r="P910" s="1">
        <v>3</v>
      </c>
      <c r="Q910" s="10" t="s">
        <v>58</v>
      </c>
      <c r="R910" s="14" t="str" cm="1">
        <f t="array" ref="R910">_xlfn.IFS(C910&lt;18,"Under 18",C910&lt;36,"18-35",C910&lt;51,"36-50",C910&lt;66,"51-65",C910&gt;=66,"66+")</f>
        <v>51-65</v>
      </c>
      <c r="S910" s="18">
        <v>45474</v>
      </c>
    </row>
    <row r="911" spans="1:19">
      <c r="A911" s="21" t="s">
        <v>1543</v>
      </c>
      <c r="B911" s="1" t="s">
        <v>1038</v>
      </c>
      <c r="C911" s="1">
        <v>18</v>
      </c>
      <c r="D911" s="1" t="s">
        <v>19</v>
      </c>
      <c r="E911" s="1" t="s">
        <v>66</v>
      </c>
      <c r="F911" s="1" t="s">
        <v>52</v>
      </c>
      <c r="G911" s="1" t="s">
        <v>22</v>
      </c>
      <c r="H911" s="1" t="s">
        <v>99</v>
      </c>
      <c r="I911" s="1" t="s">
        <v>24</v>
      </c>
      <c r="J911" s="2">
        <v>45575</v>
      </c>
      <c r="K911" s="2">
        <v>45580</v>
      </c>
      <c r="L911" s="1">
        <v>5</v>
      </c>
      <c r="M911" s="1" t="s">
        <v>48</v>
      </c>
      <c r="N911" s="1" t="s">
        <v>39</v>
      </c>
      <c r="O911" s="4">
        <v>42174.98</v>
      </c>
      <c r="P911" s="1">
        <v>4</v>
      </c>
      <c r="Q911" s="10" t="s">
        <v>40</v>
      </c>
      <c r="R911" s="14" t="str" cm="1">
        <f t="array" ref="R911">_xlfn.IFS(C911&lt;18,"Under 18",C911&lt;36,"18-35",C911&lt;51,"36-50",C911&lt;66,"51-65",C911&gt;=66,"66+")</f>
        <v>18-35</v>
      </c>
      <c r="S911" s="18">
        <v>45566</v>
      </c>
    </row>
    <row r="912" spans="1:19">
      <c r="A912" s="21" t="s">
        <v>1544</v>
      </c>
      <c r="B912" s="1" t="s">
        <v>816</v>
      </c>
      <c r="C912" s="1">
        <v>42</v>
      </c>
      <c r="D912" s="1" t="s">
        <v>43</v>
      </c>
      <c r="E912" s="1" t="s">
        <v>159</v>
      </c>
      <c r="F912" s="1" t="s">
        <v>120</v>
      </c>
      <c r="G912" s="1" t="s">
        <v>132</v>
      </c>
      <c r="H912" s="1" t="s">
        <v>35</v>
      </c>
      <c r="I912" s="1" t="s">
        <v>62</v>
      </c>
      <c r="J912" s="2">
        <v>45679</v>
      </c>
      <c r="K912" s="2">
        <v>45683</v>
      </c>
      <c r="L912" s="1">
        <v>4</v>
      </c>
      <c r="M912" s="1" t="s">
        <v>48</v>
      </c>
      <c r="N912" s="1" t="s">
        <v>82</v>
      </c>
      <c r="O912" s="4">
        <v>27095.05</v>
      </c>
      <c r="P912" s="1">
        <v>4</v>
      </c>
      <c r="Q912" s="10" t="s">
        <v>72</v>
      </c>
      <c r="R912" s="14" t="str" cm="1">
        <f t="array" ref="R912">_xlfn.IFS(C912&lt;18,"Under 18",C912&lt;36,"18-35",C912&lt;51,"36-50",C912&lt;66,"51-65",C912&gt;=66,"66+")</f>
        <v>36-50</v>
      </c>
      <c r="S912" s="18">
        <v>45658</v>
      </c>
    </row>
    <row r="913" spans="1:19">
      <c r="A913" s="21" t="s">
        <v>1545</v>
      </c>
      <c r="B913" s="1" t="s">
        <v>310</v>
      </c>
      <c r="C913" s="1">
        <v>56</v>
      </c>
      <c r="D913" s="1" t="s">
        <v>43</v>
      </c>
      <c r="E913" s="1" t="s">
        <v>117</v>
      </c>
      <c r="F913" s="1" t="s">
        <v>120</v>
      </c>
      <c r="G913" s="1" t="s">
        <v>104</v>
      </c>
      <c r="H913" s="1" t="s">
        <v>23</v>
      </c>
      <c r="I913" s="1" t="s">
        <v>36</v>
      </c>
      <c r="J913" s="2">
        <v>45602</v>
      </c>
      <c r="K913" s="2">
        <v>45462</v>
      </c>
      <c r="L913" s="1">
        <v>8</v>
      </c>
      <c r="M913" s="1" t="s">
        <v>97</v>
      </c>
      <c r="N913" s="1" t="s">
        <v>39</v>
      </c>
      <c r="O913" s="4">
        <v>41377.9</v>
      </c>
      <c r="P913" s="1">
        <v>4</v>
      </c>
      <c r="Q913" s="10" t="s">
        <v>72</v>
      </c>
      <c r="R913" s="14" t="str" cm="1">
        <f t="array" ref="R913">_xlfn.IFS(C913&lt;18,"Under 18",C913&lt;36,"18-35",C913&lt;51,"36-50",C913&lt;66,"51-65",C913&gt;=66,"66+")</f>
        <v>51-65</v>
      </c>
      <c r="S913" s="18">
        <v>45597</v>
      </c>
    </row>
    <row r="914" spans="1:19">
      <c r="A914" s="21" t="s">
        <v>1546</v>
      </c>
      <c r="B914" s="1" t="s">
        <v>266</v>
      </c>
      <c r="C914" s="1">
        <v>61</v>
      </c>
      <c r="D914" s="1" t="s">
        <v>27</v>
      </c>
      <c r="E914" s="1" t="s">
        <v>117</v>
      </c>
      <c r="F914" s="1" t="s">
        <v>21</v>
      </c>
      <c r="G914" s="1" t="s">
        <v>132</v>
      </c>
      <c r="H914" s="1" t="s">
        <v>93</v>
      </c>
      <c r="I914" s="1" t="s">
        <v>62</v>
      </c>
      <c r="J914" s="2">
        <v>45476</v>
      </c>
      <c r="K914" s="2">
        <v>45568</v>
      </c>
      <c r="L914" s="1">
        <v>3</v>
      </c>
      <c r="M914" s="1" t="s">
        <v>56</v>
      </c>
      <c r="N914" s="1" t="s">
        <v>57</v>
      </c>
      <c r="O914" s="4">
        <v>26667.45</v>
      </c>
      <c r="P914" s="1">
        <v>5</v>
      </c>
      <c r="Q914" s="10" t="s">
        <v>29</v>
      </c>
      <c r="R914" s="14" t="str" cm="1">
        <f t="array" ref="R914">_xlfn.IFS(C914&lt;18,"Under 18",C914&lt;36,"18-35",C914&lt;51,"36-50",C914&lt;66,"51-65",C914&gt;=66,"66+")</f>
        <v>51-65</v>
      </c>
      <c r="S914" s="18">
        <v>45474</v>
      </c>
    </row>
    <row r="915" spans="1:19">
      <c r="A915" s="21" t="s">
        <v>1547</v>
      </c>
      <c r="B915" s="1" t="s">
        <v>79</v>
      </c>
      <c r="C915" s="1">
        <v>3</v>
      </c>
      <c r="D915" s="1" t="s">
        <v>19</v>
      </c>
      <c r="E915" s="1" t="s">
        <v>51</v>
      </c>
      <c r="F915" s="1" t="s">
        <v>120</v>
      </c>
      <c r="G915" s="1" t="s">
        <v>110</v>
      </c>
      <c r="H915" s="1" t="s">
        <v>45</v>
      </c>
      <c r="I915" s="1" t="s">
        <v>24</v>
      </c>
      <c r="J915" s="2">
        <v>45952</v>
      </c>
      <c r="K915" s="2">
        <v>45955</v>
      </c>
      <c r="L915" s="1">
        <v>3</v>
      </c>
      <c r="M915" s="1" t="s">
        <v>97</v>
      </c>
      <c r="N915" s="1" t="s">
        <v>28</v>
      </c>
      <c r="O915" s="4">
        <v>48375.01</v>
      </c>
      <c r="P915" s="1">
        <v>3</v>
      </c>
      <c r="Q915" s="10" t="s">
        <v>72</v>
      </c>
      <c r="R915" s="14" t="str" cm="1">
        <f t="array" ref="R915">_xlfn.IFS(C915&lt;18,"Under 18",C915&lt;36,"18-35",C915&lt;51,"36-50",C915&lt;66,"51-65",C915&gt;=66,"66+")</f>
        <v>Under 18</v>
      </c>
      <c r="S915" s="18">
        <v>45931</v>
      </c>
    </row>
    <row r="916" spans="1:19">
      <c r="A916" s="21" t="s">
        <v>1548</v>
      </c>
      <c r="B916" s="1" t="s">
        <v>419</v>
      </c>
      <c r="C916" s="1">
        <v>73</v>
      </c>
      <c r="D916" s="1" t="s">
        <v>19</v>
      </c>
      <c r="E916" s="1" t="s">
        <v>44</v>
      </c>
      <c r="F916" s="1" t="s">
        <v>120</v>
      </c>
      <c r="G916" s="1" t="s">
        <v>110</v>
      </c>
      <c r="H916" s="1" t="s">
        <v>93</v>
      </c>
      <c r="I916" s="1" t="s">
        <v>36</v>
      </c>
      <c r="J916" s="2">
        <v>45391</v>
      </c>
      <c r="K916" s="2">
        <v>45452</v>
      </c>
      <c r="L916" s="1">
        <v>2</v>
      </c>
      <c r="M916" s="1" t="s">
        <v>97</v>
      </c>
      <c r="N916" s="1" t="s">
        <v>85</v>
      </c>
      <c r="O916" s="4">
        <v>100277.65</v>
      </c>
      <c r="P916" s="1">
        <v>5</v>
      </c>
      <c r="Q916" s="10" t="s">
        <v>29</v>
      </c>
      <c r="R916" s="14" t="str" cm="1">
        <f t="array" ref="R916">_xlfn.IFS(C916&lt;18,"Under 18",C916&lt;36,"18-35",C916&lt;51,"36-50",C916&lt;66,"51-65",C916&gt;=66,"66+")</f>
        <v>66+</v>
      </c>
      <c r="S916" s="18">
        <v>45383</v>
      </c>
    </row>
    <row r="917" spans="1:19">
      <c r="A917" s="21" t="s">
        <v>1549</v>
      </c>
      <c r="B917" s="1" t="s">
        <v>42</v>
      </c>
      <c r="C917" s="1">
        <v>14</v>
      </c>
      <c r="D917" s="1" t="s">
        <v>27</v>
      </c>
      <c r="E917" s="1" t="s">
        <v>32</v>
      </c>
      <c r="F917" s="1" t="s">
        <v>33</v>
      </c>
      <c r="G917" s="1" t="s">
        <v>68</v>
      </c>
      <c r="H917" s="1" t="s">
        <v>69</v>
      </c>
      <c r="I917" s="1" t="s">
        <v>62</v>
      </c>
      <c r="J917" s="2">
        <v>45546</v>
      </c>
      <c r="K917" s="2">
        <v>45613</v>
      </c>
      <c r="L917" s="1">
        <v>8</v>
      </c>
      <c r="M917" s="1" t="s">
        <v>27</v>
      </c>
      <c r="N917" s="1" t="s">
        <v>85</v>
      </c>
      <c r="O917" s="4">
        <v>33201.339999999997</v>
      </c>
      <c r="P917" s="1">
        <v>4</v>
      </c>
      <c r="Q917" s="10" t="s">
        <v>29</v>
      </c>
      <c r="R917" s="14" t="str" cm="1">
        <f t="array" ref="R917">_xlfn.IFS(C917&lt;18,"Under 18",C917&lt;36,"18-35",C917&lt;51,"36-50",C917&lt;66,"51-65",C917&gt;=66,"66+")</f>
        <v>Under 18</v>
      </c>
      <c r="S917" s="18">
        <v>45536</v>
      </c>
    </row>
    <row r="918" spans="1:19">
      <c r="A918" s="21" t="s">
        <v>1550</v>
      </c>
      <c r="B918" s="1" t="s">
        <v>291</v>
      </c>
      <c r="C918" s="1">
        <v>42</v>
      </c>
      <c r="D918" s="1" t="s">
        <v>19</v>
      </c>
      <c r="E918" s="1" t="s">
        <v>44</v>
      </c>
      <c r="F918" s="1" t="s">
        <v>21</v>
      </c>
      <c r="G918" s="1" t="s">
        <v>53</v>
      </c>
      <c r="H918" s="1" t="s">
        <v>93</v>
      </c>
      <c r="I918" s="1" t="s">
        <v>36</v>
      </c>
      <c r="J918" s="2">
        <v>45577</v>
      </c>
      <c r="K918" s="2">
        <v>45640</v>
      </c>
      <c r="L918" s="1">
        <v>4</v>
      </c>
      <c r="M918" s="1" t="s">
        <v>97</v>
      </c>
      <c r="N918" s="1" t="s">
        <v>39</v>
      </c>
      <c r="O918" s="4">
        <v>58993.25</v>
      </c>
      <c r="P918" s="1">
        <v>1</v>
      </c>
      <c r="Q918" s="10" t="s">
        <v>72</v>
      </c>
      <c r="R918" s="14" t="str" cm="1">
        <f t="array" ref="R918">_xlfn.IFS(C918&lt;18,"Under 18",C918&lt;36,"18-35",C918&lt;51,"36-50",C918&lt;66,"51-65",C918&gt;=66,"66+")</f>
        <v>36-50</v>
      </c>
      <c r="S918" s="18">
        <v>45566</v>
      </c>
    </row>
    <row r="919" spans="1:19">
      <c r="A919" s="21" t="s">
        <v>1551</v>
      </c>
      <c r="B919" s="1" t="s">
        <v>285</v>
      </c>
      <c r="C919" s="1">
        <v>27</v>
      </c>
      <c r="D919" s="1" t="s">
        <v>43</v>
      </c>
      <c r="E919" s="1" t="s">
        <v>202</v>
      </c>
      <c r="F919" s="1" t="s">
        <v>120</v>
      </c>
      <c r="G919" s="1" t="s">
        <v>104</v>
      </c>
      <c r="H919" s="1" t="s">
        <v>35</v>
      </c>
      <c r="I919" s="1" t="s">
        <v>36</v>
      </c>
      <c r="J919" s="2">
        <v>45714</v>
      </c>
      <c r="K919" s="2">
        <v>45750</v>
      </c>
      <c r="L919" s="1">
        <v>6</v>
      </c>
      <c r="M919" s="1" t="s">
        <v>27</v>
      </c>
      <c r="N919" s="1" t="s">
        <v>57</v>
      </c>
      <c r="O919" s="4">
        <v>28113.45</v>
      </c>
      <c r="P919" s="1">
        <v>3</v>
      </c>
      <c r="Q919" s="10" t="s">
        <v>72</v>
      </c>
      <c r="R919" s="14" t="str" cm="1">
        <f t="array" ref="R919">_xlfn.IFS(C919&lt;18,"Under 18",C919&lt;36,"18-35",C919&lt;51,"36-50",C919&lt;66,"51-65",C919&gt;=66,"66+")</f>
        <v>18-35</v>
      </c>
      <c r="S919" s="18">
        <v>45689</v>
      </c>
    </row>
    <row r="920" spans="1:19">
      <c r="A920" s="21" t="s">
        <v>1552</v>
      </c>
      <c r="B920" s="1" t="s">
        <v>909</v>
      </c>
      <c r="C920" s="1">
        <v>36</v>
      </c>
      <c r="D920" s="1" t="s">
        <v>27</v>
      </c>
      <c r="E920" s="1" t="s">
        <v>159</v>
      </c>
      <c r="F920" s="1" t="s">
        <v>21</v>
      </c>
      <c r="G920" s="1" t="s">
        <v>132</v>
      </c>
      <c r="H920" s="1" t="s">
        <v>99</v>
      </c>
      <c r="I920" s="1" t="s">
        <v>62</v>
      </c>
      <c r="J920" s="2">
        <v>45894</v>
      </c>
      <c r="K920" s="2">
        <v>45895</v>
      </c>
      <c r="L920" s="1">
        <v>1</v>
      </c>
      <c r="M920" s="1" t="s">
        <v>38</v>
      </c>
      <c r="N920" s="1" t="s">
        <v>28</v>
      </c>
      <c r="O920" s="4">
        <v>46748.91</v>
      </c>
      <c r="P920" s="1">
        <v>3</v>
      </c>
      <c r="Q920" s="10" t="s">
        <v>72</v>
      </c>
      <c r="R920" s="14" t="str" cm="1">
        <f t="array" ref="R920">_xlfn.IFS(C920&lt;18,"Under 18",C920&lt;36,"18-35",C920&lt;51,"36-50",C920&lt;66,"51-65",C920&gt;=66,"66+")</f>
        <v>36-50</v>
      </c>
      <c r="S920" s="18">
        <v>45870</v>
      </c>
    </row>
    <row r="921" spans="1:19">
      <c r="A921" s="21" t="s">
        <v>1553</v>
      </c>
      <c r="B921" s="1" t="s">
        <v>726</v>
      </c>
      <c r="C921" s="1">
        <v>65</v>
      </c>
      <c r="D921" s="1" t="s">
        <v>27</v>
      </c>
      <c r="E921" s="1" t="s">
        <v>117</v>
      </c>
      <c r="F921" s="1" t="s">
        <v>21</v>
      </c>
      <c r="G921" s="1" t="s">
        <v>53</v>
      </c>
      <c r="H921" s="1" t="s">
        <v>88</v>
      </c>
      <c r="I921" s="1" t="s">
        <v>36</v>
      </c>
      <c r="J921" s="2">
        <v>45526</v>
      </c>
      <c r="K921" s="2">
        <v>45528</v>
      </c>
      <c r="L921" s="1">
        <v>2</v>
      </c>
      <c r="M921" s="1" t="s">
        <v>56</v>
      </c>
      <c r="N921" s="1" t="s">
        <v>85</v>
      </c>
      <c r="O921" s="4">
        <v>113932.02</v>
      </c>
      <c r="P921" s="1">
        <v>3</v>
      </c>
      <c r="Q921" s="10" t="s">
        <v>72</v>
      </c>
      <c r="R921" s="14" t="str" cm="1">
        <f t="array" ref="R921">_xlfn.IFS(C921&lt;18,"Under 18",C921&lt;36,"18-35",C921&lt;51,"36-50",C921&lt;66,"51-65",C921&gt;=66,"66+")</f>
        <v>51-65</v>
      </c>
      <c r="S921" s="18">
        <v>45505</v>
      </c>
    </row>
    <row r="922" spans="1:19">
      <c r="A922" s="21" t="s">
        <v>1554</v>
      </c>
      <c r="B922" s="1" t="s">
        <v>1414</v>
      </c>
      <c r="C922" s="1">
        <v>23</v>
      </c>
      <c r="D922" s="1" t="s">
        <v>19</v>
      </c>
      <c r="E922" s="1" t="s">
        <v>117</v>
      </c>
      <c r="F922" s="1" t="s">
        <v>52</v>
      </c>
      <c r="G922" s="1" t="s">
        <v>104</v>
      </c>
      <c r="H922" s="1" t="s">
        <v>61</v>
      </c>
      <c r="I922" s="1" t="s">
        <v>62</v>
      </c>
      <c r="J922" s="2">
        <v>45330</v>
      </c>
      <c r="K922" s="2">
        <v>45359</v>
      </c>
      <c r="L922" s="1">
        <v>1</v>
      </c>
      <c r="M922" s="1" t="s">
        <v>56</v>
      </c>
      <c r="N922" s="1" t="s">
        <v>63</v>
      </c>
      <c r="O922" s="4">
        <v>57161.17</v>
      </c>
      <c r="P922" s="1">
        <v>1</v>
      </c>
      <c r="Q922" s="10" t="s">
        <v>72</v>
      </c>
      <c r="R922" s="14" t="str" cm="1">
        <f t="array" ref="R922">_xlfn.IFS(C922&lt;18,"Under 18",C922&lt;36,"18-35",C922&lt;51,"36-50",C922&lt;66,"51-65",C922&gt;=66,"66+")</f>
        <v>18-35</v>
      </c>
      <c r="S922" s="18">
        <v>45323</v>
      </c>
    </row>
    <row r="923" spans="1:19">
      <c r="A923" s="21" t="s">
        <v>1555</v>
      </c>
      <c r="B923" s="1" t="s">
        <v>50</v>
      </c>
      <c r="C923" s="1">
        <v>21</v>
      </c>
      <c r="D923" s="1" t="s">
        <v>43</v>
      </c>
      <c r="E923" s="1" t="s">
        <v>137</v>
      </c>
      <c r="F923" s="1" t="s">
        <v>75</v>
      </c>
      <c r="G923" s="1" t="s">
        <v>36</v>
      </c>
      <c r="H923" s="1" t="s">
        <v>45</v>
      </c>
      <c r="I923" s="1" t="s">
        <v>62</v>
      </c>
      <c r="J923" s="2">
        <v>45679</v>
      </c>
      <c r="K923" s="2">
        <v>45680</v>
      </c>
      <c r="L923" s="1">
        <v>1</v>
      </c>
      <c r="M923" s="1" t="s">
        <v>56</v>
      </c>
      <c r="N923" s="1" t="s">
        <v>63</v>
      </c>
      <c r="O923" s="4">
        <v>18192.39</v>
      </c>
      <c r="P923" s="1">
        <v>3</v>
      </c>
      <c r="Q923" s="10" t="s">
        <v>29</v>
      </c>
      <c r="R923" s="14" t="str" cm="1">
        <f t="array" ref="R923">_xlfn.IFS(C923&lt;18,"Under 18",C923&lt;36,"18-35",C923&lt;51,"36-50",C923&lt;66,"51-65",C923&gt;=66,"66+")</f>
        <v>18-35</v>
      </c>
      <c r="S923" s="18">
        <v>45658</v>
      </c>
    </row>
    <row r="924" spans="1:19">
      <c r="A924" s="21" t="s">
        <v>1556</v>
      </c>
      <c r="B924" s="1" t="s">
        <v>204</v>
      </c>
      <c r="C924" s="1">
        <v>35</v>
      </c>
      <c r="D924" s="1" t="s">
        <v>27</v>
      </c>
      <c r="E924" s="1" t="s">
        <v>159</v>
      </c>
      <c r="F924" s="1" t="s">
        <v>33</v>
      </c>
      <c r="G924" s="1" t="s">
        <v>53</v>
      </c>
      <c r="H924" s="1" t="s">
        <v>93</v>
      </c>
      <c r="I924" s="1" t="s">
        <v>36</v>
      </c>
      <c r="J924" s="2">
        <v>45824</v>
      </c>
      <c r="K924" s="2">
        <v>45828</v>
      </c>
      <c r="L924" s="1">
        <v>4</v>
      </c>
      <c r="M924" s="1" t="s">
        <v>27</v>
      </c>
      <c r="N924" s="1" t="s">
        <v>39</v>
      </c>
      <c r="O924" s="4">
        <v>49270.16</v>
      </c>
      <c r="P924" s="1">
        <v>4</v>
      </c>
      <c r="Q924" s="10" t="s">
        <v>58</v>
      </c>
      <c r="R924" s="14" t="str" cm="1">
        <f t="array" ref="R924">_xlfn.IFS(C924&lt;18,"Under 18",C924&lt;36,"18-35",C924&lt;51,"36-50",C924&lt;66,"51-65",C924&gt;=66,"66+")</f>
        <v>18-35</v>
      </c>
      <c r="S924" s="18">
        <v>45809</v>
      </c>
    </row>
    <row r="925" spans="1:19">
      <c r="A925" s="21" t="s">
        <v>1557</v>
      </c>
      <c r="B925" s="1" t="s">
        <v>291</v>
      </c>
      <c r="C925" s="1">
        <v>36</v>
      </c>
      <c r="D925" s="1" t="s">
        <v>43</v>
      </c>
      <c r="E925" s="1" t="s">
        <v>66</v>
      </c>
      <c r="F925" s="1" t="s">
        <v>75</v>
      </c>
      <c r="G925" s="1" t="s">
        <v>34</v>
      </c>
      <c r="H925" s="1" t="s">
        <v>61</v>
      </c>
      <c r="I925" s="1" t="s">
        <v>36</v>
      </c>
      <c r="J925" s="2">
        <v>45558</v>
      </c>
      <c r="K925" s="2">
        <v>45560</v>
      </c>
      <c r="L925" s="1">
        <v>2</v>
      </c>
      <c r="M925" s="1" t="s">
        <v>27</v>
      </c>
      <c r="N925" s="1" t="s">
        <v>39</v>
      </c>
      <c r="O925" s="4">
        <v>64017.5</v>
      </c>
      <c r="P925" s="1">
        <v>4</v>
      </c>
      <c r="Q925" s="10" t="s">
        <v>72</v>
      </c>
      <c r="R925" s="14" t="str" cm="1">
        <f t="array" ref="R925">_xlfn.IFS(C925&lt;18,"Under 18",C925&lt;36,"18-35",C925&lt;51,"36-50",C925&lt;66,"51-65",C925&gt;=66,"66+")</f>
        <v>36-50</v>
      </c>
      <c r="S925" s="18">
        <v>45536</v>
      </c>
    </row>
    <row r="926" spans="1:19">
      <c r="A926" s="21" t="s">
        <v>1558</v>
      </c>
      <c r="B926" s="1" t="s">
        <v>1359</v>
      </c>
      <c r="C926" s="1">
        <v>72</v>
      </c>
      <c r="D926" s="1" t="s">
        <v>43</v>
      </c>
      <c r="E926" s="1" t="s">
        <v>202</v>
      </c>
      <c r="F926" s="1" t="s">
        <v>67</v>
      </c>
      <c r="G926" s="1" t="s">
        <v>110</v>
      </c>
      <c r="H926" s="1" t="s">
        <v>99</v>
      </c>
      <c r="I926" s="1" t="s">
        <v>24</v>
      </c>
      <c r="J926" s="2">
        <v>45871</v>
      </c>
      <c r="K926" s="2">
        <v>45701</v>
      </c>
      <c r="L926" s="1">
        <v>5</v>
      </c>
      <c r="M926" s="1" t="s">
        <v>27</v>
      </c>
      <c r="N926" s="1" t="s">
        <v>28</v>
      </c>
      <c r="O926" s="4">
        <v>83937.1</v>
      </c>
      <c r="P926" s="1">
        <v>3</v>
      </c>
      <c r="Q926" s="10" t="s">
        <v>29</v>
      </c>
      <c r="R926" s="14" t="str" cm="1">
        <f t="array" ref="R926">_xlfn.IFS(C926&lt;18,"Under 18",C926&lt;36,"18-35",C926&lt;51,"36-50",C926&lt;66,"51-65",C926&gt;=66,"66+")</f>
        <v>66+</v>
      </c>
      <c r="S926" s="18">
        <v>45870</v>
      </c>
    </row>
    <row r="927" spans="1:19">
      <c r="A927" s="21" t="s">
        <v>1560</v>
      </c>
      <c r="B927" s="1" t="s">
        <v>585</v>
      </c>
      <c r="C927" s="1">
        <v>69</v>
      </c>
      <c r="D927" s="1" t="s">
        <v>27</v>
      </c>
      <c r="E927" s="1" t="s">
        <v>159</v>
      </c>
      <c r="F927" s="1" t="s">
        <v>21</v>
      </c>
      <c r="G927" s="1" t="s">
        <v>68</v>
      </c>
      <c r="H927" s="1" t="s">
        <v>88</v>
      </c>
      <c r="I927" s="1" t="s">
        <v>36</v>
      </c>
      <c r="J927" s="2">
        <v>45377</v>
      </c>
      <c r="K927" s="2">
        <v>45381</v>
      </c>
      <c r="L927" s="1">
        <v>4</v>
      </c>
      <c r="M927" s="1" t="s">
        <v>56</v>
      </c>
      <c r="N927" s="1" t="s">
        <v>63</v>
      </c>
      <c r="O927" s="4">
        <v>52070.239999999998</v>
      </c>
      <c r="P927" s="1">
        <v>5</v>
      </c>
      <c r="Q927" s="10" t="s">
        <v>72</v>
      </c>
      <c r="R927" s="14" t="str" cm="1">
        <f t="array" ref="R927">_xlfn.IFS(C927&lt;18,"Under 18",C927&lt;36,"18-35",C927&lt;51,"36-50",C927&lt;66,"51-65",C927&gt;=66,"66+")</f>
        <v>66+</v>
      </c>
      <c r="S927" s="18">
        <v>45352</v>
      </c>
    </row>
    <row r="928" spans="1:19">
      <c r="A928" s="21" t="s">
        <v>1561</v>
      </c>
      <c r="B928" s="1" t="s">
        <v>551</v>
      </c>
      <c r="C928" s="1">
        <v>67</v>
      </c>
      <c r="D928" s="1" t="s">
        <v>19</v>
      </c>
      <c r="E928" s="1" t="s">
        <v>202</v>
      </c>
      <c r="F928" s="1" t="s">
        <v>75</v>
      </c>
      <c r="G928" s="1" t="s">
        <v>22</v>
      </c>
      <c r="H928" s="1" t="s">
        <v>88</v>
      </c>
      <c r="I928" s="1" t="s">
        <v>36</v>
      </c>
      <c r="J928" s="2">
        <v>45667</v>
      </c>
      <c r="K928" s="2">
        <v>45698</v>
      </c>
      <c r="L928" s="1">
        <v>1</v>
      </c>
      <c r="M928" s="1" t="s">
        <v>48</v>
      </c>
      <c r="N928" s="1" t="s">
        <v>39</v>
      </c>
      <c r="O928" s="4">
        <v>45645.64</v>
      </c>
      <c r="P928" s="1">
        <v>4</v>
      </c>
      <c r="Q928" s="10" t="s">
        <v>72</v>
      </c>
      <c r="R928" s="14" t="str" cm="1">
        <f t="array" ref="R928">_xlfn.IFS(C928&lt;18,"Under 18",C928&lt;36,"18-35",C928&lt;51,"36-50",C928&lt;66,"51-65",C928&gt;=66,"66+")</f>
        <v>66+</v>
      </c>
      <c r="S928" s="18">
        <v>45658</v>
      </c>
    </row>
    <row r="929" spans="1:19">
      <c r="A929" s="21" t="s">
        <v>1562</v>
      </c>
      <c r="B929" s="1" t="s">
        <v>236</v>
      </c>
      <c r="C929" s="1">
        <v>11</v>
      </c>
      <c r="D929" s="1" t="s">
        <v>43</v>
      </c>
      <c r="E929" s="1" t="s">
        <v>202</v>
      </c>
      <c r="F929" s="1" t="s">
        <v>52</v>
      </c>
      <c r="G929" s="1" t="s">
        <v>22</v>
      </c>
      <c r="H929" s="1" t="s">
        <v>61</v>
      </c>
      <c r="I929" s="1" t="s">
        <v>24</v>
      </c>
      <c r="J929" s="2">
        <v>45460</v>
      </c>
      <c r="K929" s="2">
        <v>45469</v>
      </c>
      <c r="L929" s="1">
        <v>9</v>
      </c>
      <c r="M929" s="1" t="s">
        <v>27</v>
      </c>
      <c r="N929" s="1" t="s">
        <v>28</v>
      </c>
      <c r="O929" s="4">
        <v>58871.16</v>
      </c>
      <c r="P929" s="1">
        <v>5</v>
      </c>
      <c r="Q929" s="10" t="s">
        <v>29</v>
      </c>
      <c r="R929" s="14" t="str" cm="1">
        <f t="array" ref="R929">_xlfn.IFS(C929&lt;18,"Under 18",C929&lt;36,"18-35",C929&lt;51,"36-50",C929&lt;66,"51-65",C929&gt;=66,"66+")</f>
        <v>Under 18</v>
      </c>
      <c r="S929" s="18">
        <v>45444</v>
      </c>
    </row>
    <row r="930" spans="1:19">
      <c r="A930" s="21" t="s">
        <v>1564</v>
      </c>
      <c r="B930" s="1" t="s">
        <v>169</v>
      </c>
      <c r="C930" s="1">
        <v>46</v>
      </c>
      <c r="D930" s="1" t="s">
        <v>43</v>
      </c>
      <c r="E930" s="1" t="s">
        <v>117</v>
      </c>
      <c r="F930" s="1" t="s">
        <v>33</v>
      </c>
      <c r="G930" s="1" t="s">
        <v>68</v>
      </c>
      <c r="H930" s="1" t="s">
        <v>105</v>
      </c>
      <c r="I930" s="1" t="s">
        <v>24</v>
      </c>
      <c r="J930" s="2">
        <v>45680</v>
      </c>
      <c r="K930" s="2">
        <v>45681</v>
      </c>
      <c r="L930" s="1">
        <v>1</v>
      </c>
      <c r="M930" s="1" t="s">
        <v>48</v>
      </c>
      <c r="N930" s="1" t="s">
        <v>85</v>
      </c>
      <c r="O930" s="4">
        <v>31038.7</v>
      </c>
      <c r="P930" s="1">
        <v>2</v>
      </c>
      <c r="Q930" s="10" t="s">
        <v>29</v>
      </c>
      <c r="R930" s="14" t="str" cm="1">
        <f t="array" ref="R930">_xlfn.IFS(C930&lt;18,"Under 18",C930&lt;36,"18-35",C930&lt;51,"36-50",C930&lt;66,"51-65",C930&gt;=66,"66+")</f>
        <v>36-50</v>
      </c>
      <c r="S930" s="18">
        <v>45658</v>
      </c>
    </row>
    <row r="931" spans="1:19">
      <c r="A931" s="21" t="s">
        <v>1565</v>
      </c>
      <c r="B931" s="1" t="s">
        <v>324</v>
      </c>
      <c r="C931" s="1">
        <v>37</v>
      </c>
      <c r="D931" s="1" t="s">
        <v>27</v>
      </c>
      <c r="E931" s="1" t="s">
        <v>20</v>
      </c>
      <c r="F931" s="1" t="s">
        <v>33</v>
      </c>
      <c r="G931" s="1" t="s">
        <v>36</v>
      </c>
      <c r="H931" s="1" t="s">
        <v>93</v>
      </c>
      <c r="I931" s="1" t="s">
        <v>62</v>
      </c>
      <c r="J931" s="2">
        <v>45928</v>
      </c>
      <c r="K931" s="2">
        <v>45930</v>
      </c>
      <c r="L931" s="1">
        <v>2</v>
      </c>
      <c r="M931" s="1" t="s">
        <v>38</v>
      </c>
      <c r="N931" s="1" t="s">
        <v>28</v>
      </c>
      <c r="O931" s="4">
        <v>13916.35</v>
      </c>
      <c r="P931" s="1">
        <v>4</v>
      </c>
      <c r="Q931" s="10" t="s">
        <v>40</v>
      </c>
      <c r="R931" s="14" t="str" cm="1">
        <f t="array" ref="R931">_xlfn.IFS(C931&lt;18,"Under 18",C931&lt;36,"18-35",C931&lt;51,"36-50",C931&lt;66,"51-65",C931&gt;=66,"66+")</f>
        <v>36-50</v>
      </c>
      <c r="S931" s="18">
        <v>45901</v>
      </c>
    </row>
    <row r="932" spans="1:19">
      <c r="A932" s="21" t="s">
        <v>1566</v>
      </c>
      <c r="B932" s="1" t="s">
        <v>116</v>
      </c>
      <c r="C932" s="1">
        <v>67</v>
      </c>
      <c r="D932" s="1" t="s">
        <v>43</v>
      </c>
      <c r="E932" s="1" t="s">
        <v>247</v>
      </c>
      <c r="F932" s="1" t="s">
        <v>52</v>
      </c>
      <c r="G932" s="1" t="s">
        <v>132</v>
      </c>
      <c r="H932" s="1" t="s">
        <v>76</v>
      </c>
      <c r="I932" s="1" t="s">
        <v>36</v>
      </c>
      <c r="J932" s="2">
        <v>45834</v>
      </c>
      <c r="K932" s="2">
        <v>45837</v>
      </c>
      <c r="L932" s="1">
        <v>3</v>
      </c>
      <c r="M932" s="1" t="s">
        <v>38</v>
      </c>
      <c r="N932" s="1" t="s">
        <v>82</v>
      </c>
      <c r="O932" s="4">
        <v>22896.93</v>
      </c>
      <c r="P932" s="1">
        <v>3</v>
      </c>
      <c r="Q932" s="10" t="s">
        <v>29</v>
      </c>
      <c r="R932" s="14" t="str" cm="1">
        <f t="array" ref="R932">_xlfn.IFS(C932&lt;18,"Under 18",C932&lt;36,"18-35",C932&lt;51,"36-50",C932&lt;66,"51-65",C932&gt;=66,"66+")</f>
        <v>66+</v>
      </c>
      <c r="S932" s="18">
        <v>45809</v>
      </c>
    </row>
    <row r="933" spans="1:19">
      <c r="A933" s="21" t="s">
        <v>1567</v>
      </c>
      <c r="B933" s="1" t="s">
        <v>103</v>
      </c>
      <c r="C933" s="1">
        <v>74</v>
      </c>
      <c r="D933" s="1" t="s">
        <v>43</v>
      </c>
      <c r="E933" s="1" t="s">
        <v>44</v>
      </c>
      <c r="F933" s="1" t="s">
        <v>120</v>
      </c>
      <c r="G933" s="1" t="s">
        <v>34</v>
      </c>
      <c r="H933" s="1" t="s">
        <v>76</v>
      </c>
      <c r="I933" s="1" t="s">
        <v>36</v>
      </c>
      <c r="J933" s="2">
        <v>45628</v>
      </c>
      <c r="K933" s="2">
        <v>45341</v>
      </c>
      <c r="L933" s="1">
        <v>7</v>
      </c>
      <c r="M933" s="1" t="s">
        <v>27</v>
      </c>
      <c r="N933" s="1" t="s">
        <v>39</v>
      </c>
      <c r="O933" s="4">
        <v>42646.62</v>
      </c>
      <c r="P933" s="1">
        <v>5</v>
      </c>
      <c r="Q933" s="10" t="s">
        <v>29</v>
      </c>
      <c r="R933" s="14" t="str" cm="1">
        <f t="array" ref="R933">_xlfn.IFS(C933&lt;18,"Under 18",C933&lt;36,"18-35",C933&lt;51,"36-50",C933&lt;66,"51-65",C933&gt;=66,"66+")</f>
        <v>66+</v>
      </c>
      <c r="S933" s="18">
        <v>45627</v>
      </c>
    </row>
    <row r="934" spans="1:19">
      <c r="A934" s="21" t="s">
        <v>1568</v>
      </c>
      <c r="B934" s="1" t="s">
        <v>143</v>
      </c>
      <c r="C934" s="1">
        <v>17</v>
      </c>
      <c r="D934" s="1" t="s">
        <v>19</v>
      </c>
      <c r="E934" s="1" t="s">
        <v>117</v>
      </c>
      <c r="F934" s="1" t="s">
        <v>52</v>
      </c>
      <c r="G934" s="1" t="s">
        <v>36</v>
      </c>
      <c r="H934" s="1" t="s">
        <v>105</v>
      </c>
      <c r="I934" s="1" t="s">
        <v>24</v>
      </c>
      <c r="J934" s="2">
        <v>45354</v>
      </c>
      <c r="K934" s="2">
        <v>45629</v>
      </c>
      <c r="L934" s="1">
        <v>9</v>
      </c>
      <c r="M934" s="1" t="s">
        <v>38</v>
      </c>
      <c r="N934" s="1" t="s">
        <v>39</v>
      </c>
      <c r="O934" s="4">
        <v>91184.46</v>
      </c>
      <c r="P934" s="1">
        <v>3</v>
      </c>
      <c r="Q934" s="10" t="s">
        <v>29</v>
      </c>
      <c r="R934" s="14" t="str" cm="1">
        <f t="array" ref="R934">_xlfn.IFS(C934&lt;18,"Under 18",C934&lt;36,"18-35",C934&lt;51,"36-50",C934&lt;66,"51-65",C934&gt;=66,"66+")</f>
        <v>Under 18</v>
      </c>
      <c r="S934" s="18">
        <v>45352</v>
      </c>
    </row>
    <row r="935" spans="1:19">
      <c r="A935" s="21" t="s">
        <v>1569</v>
      </c>
      <c r="B935" s="1" t="s">
        <v>1318</v>
      </c>
      <c r="C935" s="1">
        <v>71</v>
      </c>
      <c r="D935" s="1" t="s">
        <v>43</v>
      </c>
      <c r="E935" s="1" t="s">
        <v>32</v>
      </c>
      <c r="F935" s="1" t="s">
        <v>21</v>
      </c>
      <c r="G935" s="1" t="s">
        <v>132</v>
      </c>
      <c r="H935" s="1" t="s">
        <v>23</v>
      </c>
      <c r="I935" s="1" t="s">
        <v>24</v>
      </c>
      <c r="J935" s="2">
        <v>45802</v>
      </c>
      <c r="K935" s="2">
        <v>45806</v>
      </c>
      <c r="L935" s="1">
        <v>4</v>
      </c>
      <c r="M935" s="1" t="s">
        <v>97</v>
      </c>
      <c r="N935" s="1" t="s">
        <v>90</v>
      </c>
      <c r="O935" s="4">
        <v>59285.21</v>
      </c>
      <c r="P935" s="1">
        <v>4</v>
      </c>
      <c r="Q935" s="10" t="s">
        <v>40</v>
      </c>
      <c r="R935" s="14" t="str" cm="1">
        <f t="array" ref="R935">_xlfn.IFS(C935&lt;18,"Under 18",C935&lt;36,"18-35",C935&lt;51,"36-50",C935&lt;66,"51-65",C935&gt;=66,"66+")</f>
        <v>66+</v>
      </c>
      <c r="S935" s="18">
        <v>45778</v>
      </c>
    </row>
    <row r="936" spans="1:19">
      <c r="A936" s="21" t="s">
        <v>1570</v>
      </c>
      <c r="B936" s="1" t="s">
        <v>1529</v>
      </c>
      <c r="C936" s="1">
        <v>22</v>
      </c>
      <c r="D936" s="1" t="s">
        <v>27</v>
      </c>
      <c r="E936" s="1" t="s">
        <v>247</v>
      </c>
      <c r="F936" s="1" t="s">
        <v>52</v>
      </c>
      <c r="G936" s="1" t="s">
        <v>36</v>
      </c>
      <c r="H936" s="1" t="s">
        <v>105</v>
      </c>
      <c r="I936" s="1" t="s">
        <v>24</v>
      </c>
      <c r="J936" s="2">
        <v>45877</v>
      </c>
      <c r="K936" s="2">
        <v>45883</v>
      </c>
      <c r="L936" s="1">
        <v>6</v>
      </c>
      <c r="M936" s="1" t="s">
        <v>27</v>
      </c>
      <c r="N936" s="1" t="s">
        <v>57</v>
      </c>
      <c r="O936" s="4">
        <v>23577.279999999999</v>
      </c>
      <c r="P936" s="1">
        <v>3</v>
      </c>
      <c r="Q936" s="10" t="s">
        <v>29</v>
      </c>
      <c r="R936" s="14" t="str" cm="1">
        <f t="array" ref="R936">_xlfn.IFS(C936&lt;18,"Under 18",C936&lt;36,"18-35",C936&lt;51,"36-50",C936&lt;66,"51-65",C936&gt;=66,"66+")</f>
        <v>18-35</v>
      </c>
      <c r="S936" s="18">
        <v>45870</v>
      </c>
    </row>
    <row r="937" spans="1:19">
      <c r="A937" s="21" t="s">
        <v>1571</v>
      </c>
      <c r="B937" s="1" t="s">
        <v>348</v>
      </c>
      <c r="C937" s="1">
        <v>14</v>
      </c>
      <c r="D937" s="1" t="s">
        <v>43</v>
      </c>
      <c r="E937" s="1" t="s">
        <v>247</v>
      </c>
      <c r="F937" s="1" t="s">
        <v>120</v>
      </c>
      <c r="G937" s="1" t="s">
        <v>36</v>
      </c>
      <c r="H937" s="1" t="s">
        <v>105</v>
      </c>
      <c r="I937" s="1" t="s">
        <v>36</v>
      </c>
      <c r="J937" s="2">
        <v>45549</v>
      </c>
      <c r="K937" s="2">
        <v>45553</v>
      </c>
      <c r="L937" s="1">
        <v>4</v>
      </c>
      <c r="M937" s="1" t="s">
        <v>56</v>
      </c>
      <c r="N937" s="1" t="s">
        <v>57</v>
      </c>
      <c r="O937" s="4">
        <v>81018.06</v>
      </c>
      <c r="P937" s="1">
        <v>4</v>
      </c>
      <c r="Q937" s="10" t="s">
        <v>29</v>
      </c>
      <c r="R937" s="14" t="str" cm="1">
        <f t="array" ref="R937">_xlfn.IFS(C937&lt;18,"Under 18",C937&lt;36,"18-35",C937&lt;51,"36-50",C937&lt;66,"51-65",C937&gt;=66,"66+")</f>
        <v>Under 18</v>
      </c>
      <c r="S937" s="18">
        <v>45536</v>
      </c>
    </row>
    <row r="938" spans="1:19">
      <c r="A938" s="21" t="s">
        <v>1572</v>
      </c>
      <c r="B938" s="1" t="s">
        <v>396</v>
      </c>
      <c r="C938" s="1">
        <v>87</v>
      </c>
      <c r="D938" s="1" t="s">
        <v>43</v>
      </c>
      <c r="E938" s="1" t="s">
        <v>20</v>
      </c>
      <c r="F938" s="1" t="s">
        <v>52</v>
      </c>
      <c r="G938" s="1" t="s">
        <v>34</v>
      </c>
      <c r="H938" s="1" t="s">
        <v>45</v>
      </c>
      <c r="I938" s="1" t="s">
        <v>36</v>
      </c>
      <c r="J938" s="2">
        <v>45640</v>
      </c>
      <c r="K938" s="2">
        <v>45646</v>
      </c>
      <c r="L938" s="1">
        <v>6</v>
      </c>
      <c r="M938" s="1" t="s">
        <v>38</v>
      </c>
      <c r="N938" s="1" t="s">
        <v>85</v>
      </c>
      <c r="O938" s="4">
        <v>68379.75</v>
      </c>
      <c r="P938" s="1">
        <v>5</v>
      </c>
      <c r="Q938" s="10" t="s">
        <v>29</v>
      </c>
      <c r="R938" s="14" t="str" cm="1">
        <f t="array" ref="R938">_xlfn.IFS(C938&lt;18,"Under 18",C938&lt;36,"18-35",C938&lt;51,"36-50",C938&lt;66,"51-65",C938&gt;=66,"66+")</f>
        <v>66+</v>
      </c>
      <c r="S938" s="18">
        <v>45627</v>
      </c>
    </row>
    <row r="939" spans="1:19">
      <c r="A939" s="21" t="s">
        <v>1573</v>
      </c>
      <c r="B939" s="1" t="s">
        <v>507</v>
      </c>
      <c r="C939" s="1">
        <v>36</v>
      </c>
      <c r="D939" s="1" t="s">
        <v>43</v>
      </c>
      <c r="E939" s="1" t="s">
        <v>20</v>
      </c>
      <c r="F939" s="1" t="s">
        <v>21</v>
      </c>
      <c r="G939" s="1" t="s">
        <v>53</v>
      </c>
      <c r="H939" s="1" t="s">
        <v>99</v>
      </c>
      <c r="I939" s="1" t="s">
        <v>36</v>
      </c>
      <c r="J939" s="2">
        <v>45429</v>
      </c>
      <c r="K939" s="2">
        <v>45434</v>
      </c>
      <c r="L939" s="1">
        <v>5</v>
      </c>
      <c r="M939" s="1" t="s">
        <v>38</v>
      </c>
      <c r="N939" s="1" t="s">
        <v>85</v>
      </c>
      <c r="O939" s="4">
        <v>58843.12</v>
      </c>
      <c r="P939" s="1">
        <v>5</v>
      </c>
      <c r="Q939" s="10" t="s">
        <v>40</v>
      </c>
      <c r="R939" s="14" t="str" cm="1">
        <f t="array" ref="R939">_xlfn.IFS(C939&lt;18,"Under 18",C939&lt;36,"18-35",C939&lt;51,"36-50",C939&lt;66,"51-65",C939&gt;=66,"66+")</f>
        <v>36-50</v>
      </c>
      <c r="S939" s="18">
        <v>45413</v>
      </c>
    </row>
    <row r="940" spans="1:19">
      <c r="A940" s="21" t="s">
        <v>1574</v>
      </c>
      <c r="B940" s="1" t="s">
        <v>615</v>
      </c>
      <c r="C940" s="1">
        <v>76</v>
      </c>
      <c r="D940" s="1" t="s">
        <v>43</v>
      </c>
      <c r="E940" s="1" t="s">
        <v>51</v>
      </c>
      <c r="F940" s="1" t="s">
        <v>75</v>
      </c>
      <c r="G940" s="1" t="s">
        <v>110</v>
      </c>
      <c r="H940" s="1" t="s">
        <v>45</v>
      </c>
      <c r="I940" s="1" t="s">
        <v>24</v>
      </c>
      <c r="J940" s="2">
        <v>46017</v>
      </c>
      <c r="K940" s="2">
        <v>46020</v>
      </c>
      <c r="L940" s="1">
        <v>3</v>
      </c>
      <c r="M940" s="1" t="s">
        <v>56</v>
      </c>
      <c r="N940" s="1" t="s">
        <v>85</v>
      </c>
      <c r="O940" s="4">
        <v>34179.79</v>
      </c>
      <c r="P940" s="1">
        <v>4</v>
      </c>
      <c r="Q940" s="10" t="s">
        <v>72</v>
      </c>
      <c r="R940" s="14" t="str" cm="1">
        <f t="array" ref="R940">_xlfn.IFS(C940&lt;18,"Under 18",C940&lt;36,"18-35",C940&lt;51,"36-50",C940&lt;66,"51-65",C940&gt;=66,"66+")</f>
        <v>66+</v>
      </c>
      <c r="S940" s="18">
        <v>45992</v>
      </c>
    </row>
    <row r="941" spans="1:19">
      <c r="A941" s="21" t="s">
        <v>1575</v>
      </c>
      <c r="B941" s="1" t="s">
        <v>291</v>
      </c>
      <c r="C941" s="1">
        <v>81</v>
      </c>
      <c r="D941" s="1" t="s">
        <v>27</v>
      </c>
      <c r="E941" s="1" t="s">
        <v>44</v>
      </c>
      <c r="F941" s="1" t="s">
        <v>67</v>
      </c>
      <c r="G941" s="1" t="s">
        <v>53</v>
      </c>
      <c r="H941" s="1" t="s">
        <v>61</v>
      </c>
      <c r="I941" s="1" t="s">
        <v>62</v>
      </c>
      <c r="J941" s="2">
        <v>45494</v>
      </c>
      <c r="K941" s="2">
        <v>45496</v>
      </c>
      <c r="L941" s="1">
        <v>2</v>
      </c>
      <c r="M941" s="1" t="s">
        <v>38</v>
      </c>
      <c r="N941" s="1" t="s">
        <v>57</v>
      </c>
      <c r="O941" s="4">
        <v>23274.28</v>
      </c>
      <c r="P941" s="1">
        <v>1</v>
      </c>
      <c r="Q941" s="10" t="s">
        <v>72</v>
      </c>
      <c r="R941" s="14" t="str" cm="1">
        <f t="array" ref="R941">_xlfn.IFS(C941&lt;18,"Under 18",C941&lt;36,"18-35",C941&lt;51,"36-50",C941&lt;66,"51-65",C941&gt;=66,"66+")</f>
        <v>66+</v>
      </c>
      <c r="S941" s="18">
        <v>45474</v>
      </c>
    </row>
    <row r="942" spans="1:19">
      <c r="A942" s="21" t="s">
        <v>1576</v>
      </c>
      <c r="B942" s="1" t="s">
        <v>18</v>
      </c>
      <c r="C942" s="1">
        <v>60</v>
      </c>
      <c r="D942" s="1" t="s">
        <v>27</v>
      </c>
      <c r="E942" s="1" t="s">
        <v>247</v>
      </c>
      <c r="F942" s="1" t="s">
        <v>33</v>
      </c>
      <c r="G942" s="1" t="s">
        <v>34</v>
      </c>
      <c r="H942" s="1" t="s">
        <v>99</v>
      </c>
      <c r="I942" s="1" t="s">
        <v>36</v>
      </c>
      <c r="J942" s="2">
        <v>45708</v>
      </c>
      <c r="K942" s="2">
        <v>45715</v>
      </c>
      <c r="L942" s="1">
        <v>7</v>
      </c>
      <c r="M942" s="1" t="s">
        <v>27</v>
      </c>
      <c r="N942" s="1" t="s">
        <v>85</v>
      </c>
      <c r="O942" s="4">
        <v>109000.83</v>
      </c>
      <c r="P942" s="1">
        <v>1</v>
      </c>
      <c r="Q942" s="10" t="s">
        <v>72</v>
      </c>
      <c r="R942" s="14" t="str" cm="1">
        <f t="array" ref="R942">_xlfn.IFS(C942&lt;18,"Under 18",C942&lt;36,"18-35",C942&lt;51,"36-50",C942&lt;66,"51-65",C942&gt;=66,"66+")</f>
        <v>51-65</v>
      </c>
      <c r="S942" s="18">
        <v>45689</v>
      </c>
    </row>
    <row r="943" spans="1:19">
      <c r="A943" s="21" t="s">
        <v>1577</v>
      </c>
      <c r="B943" s="1" t="s">
        <v>428</v>
      </c>
      <c r="C943" s="1">
        <v>32</v>
      </c>
      <c r="D943" s="1" t="s">
        <v>27</v>
      </c>
      <c r="E943" s="1" t="s">
        <v>44</v>
      </c>
      <c r="F943" s="1" t="s">
        <v>52</v>
      </c>
      <c r="G943" s="1" t="s">
        <v>68</v>
      </c>
      <c r="H943" s="1" t="s">
        <v>105</v>
      </c>
      <c r="I943" s="1" t="s">
        <v>36</v>
      </c>
      <c r="J943" s="2">
        <v>45678</v>
      </c>
      <c r="K943" s="2">
        <v>45682</v>
      </c>
      <c r="L943" s="1">
        <v>4</v>
      </c>
      <c r="M943" s="1" t="s">
        <v>97</v>
      </c>
      <c r="N943" s="1" t="s">
        <v>82</v>
      </c>
      <c r="O943" s="4">
        <v>72081.990000000005</v>
      </c>
      <c r="P943" s="1">
        <v>4</v>
      </c>
      <c r="Q943" s="10" t="s">
        <v>40</v>
      </c>
      <c r="R943" s="14" t="str" cm="1">
        <f t="array" ref="R943">_xlfn.IFS(C943&lt;18,"Under 18",C943&lt;36,"18-35",C943&lt;51,"36-50",C943&lt;66,"51-65",C943&gt;=66,"66+")</f>
        <v>18-35</v>
      </c>
      <c r="S943" s="18">
        <v>45658</v>
      </c>
    </row>
    <row r="944" spans="1:19">
      <c r="A944" s="21" t="s">
        <v>1578</v>
      </c>
      <c r="B944" s="1" t="s">
        <v>538</v>
      </c>
      <c r="C944" s="1">
        <v>18</v>
      </c>
      <c r="D944" s="1" t="s">
        <v>19</v>
      </c>
      <c r="E944" s="1" t="s">
        <v>247</v>
      </c>
      <c r="F944" s="1" t="s">
        <v>75</v>
      </c>
      <c r="G944" s="1" t="s">
        <v>68</v>
      </c>
      <c r="H944" s="1" t="s">
        <v>45</v>
      </c>
      <c r="I944" s="1" t="s">
        <v>24</v>
      </c>
      <c r="J944" s="2">
        <v>45370</v>
      </c>
      <c r="K944" s="2">
        <v>45375</v>
      </c>
      <c r="L944" s="1">
        <v>5</v>
      </c>
      <c r="M944" s="1" t="s">
        <v>56</v>
      </c>
      <c r="N944" s="1" t="s">
        <v>39</v>
      </c>
      <c r="O944" s="4">
        <v>51363.74</v>
      </c>
      <c r="P944" s="1">
        <v>3</v>
      </c>
      <c r="Q944" s="10" t="s">
        <v>58</v>
      </c>
      <c r="R944" s="14" t="str" cm="1">
        <f t="array" ref="R944">_xlfn.IFS(C944&lt;18,"Under 18",C944&lt;36,"18-35",C944&lt;51,"36-50",C944&lt;66,"51-65",C944&gt;=66,"66+")</f>
        <v>18-35</v>
      </c>
      <c r="S944" s="18">
        <v>45352</v>
      </c>
    </row>
    <row r="945" spans="1:19">
      <c r="A945" s="21" t="s">
        <v>1580</v>
      </c>
      <c r="B945" s="1" t="s">
        <v>136</v>
      </c>
      <c r="C945" s="1">
        <v>25</v>
      </c>
      <c r="D945" s="1" t="s">
        <v>19</v>
      </c>
      <c r="E945" s="1" t="s">
        <v>32</v>
      </c>
      <c r="F945" s="1" t="s">
        <v>120</v>
      </c>
      <c r="G945" s="1" t="s">
        <v>22</v>
      </c>
      <c r="H945" s="1" t="s">
        <v>61</v>
      </c>
      <c r="I945" s="1" t="s">
        <v>36</v>
      </c>
      <c r="J945" s="2">
        <v>45571</v>
      </c>
      <c r="K945" s="2">
        <v>45458</v>
      </c>
      <c r="L945" s="1">
        <v>5</v>
      </c>
      <c r="M945" s="1" t="s">
        <v>38</v>
      </c>
      <c r="N945" s="1" t="s">
        <v>85</v>
      </c>
      <c r="O945" s="4">
        <v>44944.31</v>
      </c>
      <c r="P945" s="1">
        <v>4</v>
      </c>
      <c r="Q945" s="10" t="s">
        <v>58</v>
      </c>
      <c r="R945" s="14" t="str" cm="1">
        <f t="array" ref="R945">_xlfn.IFS(C945&lt;18,"Under 18",C945&lt;36,"18-35",C945&lt;51,"36-50",C945&lt;66,"51-65",C945&gt;=66,"66+")</f>
        <v>18-35</v>
      </c>
      <c r="S945" s="18">
        <v>45566</v>
      </c>
    </row>
    <row r="946" spans="1:19">
      <c r="A946" s="21" t="s">
        <v>1581</v>
      </c>
      <c r="B946" s="1" t="s">
        <v>542</v>
      </c>
      <c r="C946" s="1">
        <v>6</v>
      </c>
      <c r="D946" s="1" t="s">
        <v>43</v>
      </c>
      <c r="E946" s="1" t="s">
        <v>32</v>
      </c>
      <c r="F946" s="1" t="s">
        <v>52</v>
      </c>
      <c r="G946" s="1" t="s">
        <v>104</v>
      </c>
      <c r="H946" s="1" t="s">
        <v>76</v>
      </c>
      <c r="I946" s="1" t="s">
        <v>36</v>
      </c>
      <c r="J946" s="2">
        <v>45848</v>
      </c>
      <c r="K946" s="2">
        <v>45945</v>
      </c>
      <c r="L946" s="1">
        <v>8</v>
      </c>
      <c r="M946" s="1" t="s">
        <v>97</v>
      </c>
      <c r="N946" s="1" t="s">
        <v>39</v>
      </c>
      <c r="O946" s="4">
        <v>54116.09</v>
      </c>
      <c r="P946" s="1">
        <v>5</v>
      </c>
      <c r="Q946" s="10" t="s">
        <v>72</v>
      </c>
      <c r="R946" s="14" t="str" cm="1">
        <f t="array" ref="R946">_xlfn.IFS(C946&lt;18,"Under 18",C946&lt;36,"18-35",C946&lt;51,"36-50",C946&lt;66,"51-65",C946&gt;=66,"66+")</f>
        <v>Under 18</v>
      </c>
      <c r="S946" s="18">
        <v>45839</v>
      </c>
    </row>
    <row r="947" spans="1:19">
      <c r="A947" s="21" t="s">
        <v>1582</v>
      </c>
      <c r="B947" s="1" t="s">
        <v>792</v>
      </c>
      <c r="C947" s="1">
        <v>6</v>
      </c>
      <c r="D947" s="1" t="s">
        <v>19</v>
      </c>
      <c r="E947" s="1" t="s">
        <v>66</v>
      </c>
      <c r="F947" s="1" t="s">
        <v>21</v>
      </c>
      <c r="G947" s="1" t="s">
        <v>34</v>
      </c>
      <c r="H947" s="1" t="s">
        <v>76</v>
      </c>
      <c r="I947" s="1" t="s">
        <v>62</v>
      </c>
      <c r="J947" s="2">
        <v>45348</v>
      </c>
      <c r="K947" s="2">
        <v>45351</v>
      </c>
      <c r="L947" s="1">
        <v>3</v>
      </c>
      <c r="M947" s="1" t="s">
        <v>38</v>
      </c>
      <c r="N947" s="1" t="s">
        <v>82</v>
      </c>
      <c r="O947" s="4">
        <v>37420.19</v>
      </c>
      <c r="P947" s="1">
        <v>4</v>
      </c>
      <c r="Q947" s="10" t="s">
        <v>72</v>
      </c>
      <c r="R947" s="14" t="str" cm="1">
        <f t="array" ref="R947">_xlfn.IFS(C947&lt;18,"Under 18",C947&lt;36,"18-35",C947&lt;51,"36-50",C947&lt;66,"51-65",C947&gt;=66,"66+")</f>
        <v>Under 18</v>
      </c>
      <c r="S947" s="18">
        <v>45323</v>
      </c>
    </row>
    <row r="948" spans="1:19">
      <c r="A948" s="21" t="s">
        <v>1583</v>
      </c>
      <c r="B948" s="1" t="s">
        <v>1359</v>
      </c>
      <c r="C948" s="1">
        <v>56</v>
      </c>
      <c r="D948" s="1" t="s">
        <v>27</v>
      </c>
      <c r="E948" s="1" t="s">
        <v>51</v>
      </c>
      <c r="F948" s="1" t="s">
        <v>120</v>
      </c>
      <c r="G948" s="1" t="s">
        <v>104</v>
      </c>
      <c r="H948" s="1" t="s">
        <v>76</v>
      </c>
      <c r="I948" s="1" t="s">
        <v>62</v>
      </c>
      <c r="J948" s="2">
        <v>45855</v>
      </c>
      <c r="K948" s="2">
        <v>45858</v>
      </c>
      <c r="L948" s="1">
        <v>3</v>
      </c>
      <c r="M948" s="1" t="s">
        <v>48</v>
      </c>
      <c r="N948" s="1" t="s">
        <v>28</v>
      </c>
      <c r="O948" s="4">
        <v>67702.789999999994</v>
      </c>
      <c r="P948" s="1">
        <v>4</v>
      </c>
      <c r="Q948" s="10" t="s">
        <v>29</v>
      </c>
      <c r="R948" s="14" t="str" cm="1">
        <f t="array" ref="R948">_xlfn.IFS(C948&lt;18,"Under 18",C948&lt;36,"18-35",C948&lt;51,"36-50",C948&lt;66,"51-65",C948&gt;=66,"66+")</f>
        <v>51-65</v>
      </c>
      <c r="S948" s="18">
        <v>45839</v>
      </c>
    </row>
    <row r="949" spans="1:19">
      <c r="A949" s="21" t="s">
        <v>1584</v>
      </c>
      <c r="B949" s="1" t="s">
        <v>726</v>
      </c>
      <c r="C949" s="1">
        <v>39</v>
      </c>
      <c r="D949" s="1" t="s">
        <v>27</v>
      </c>
      <c r="E949" s="1" t="s">
        <v>32</v>
      </c>
      <c r="F949" s="1" t="s">
        <v>52</v>
      </c>
      <c r="G949" s="1" t="s">
        <v>110</v>
      </c>
      <c r="H949" s="1" t="s">
        <v>76</v>
      </c>
      <c r="I949" s="1" t="s">
        <v>62</v>
      </c>
      <c r="J949" s="2">
        <v>45444</v>
      </c>
      <c r="K949" s="2">
        <v>45536</v>
      </c>
      <c r="L949" s="1">
        <v>3</v>
      </c>
      <c r="M949" s="1" t="s">
        <v>97</v>
      </c>
      <c r="N949" s="1" t="s">
        <v>63</v>
      </c>
      <c r="O949" s="4">
        <v>21672.92</v>
      </c>
      <c r="P949" s="1">
        <v>4</v>
      </c>
      <c r="Q949" s="10" t="s">
        <v>72</v>
      </c>
      <c r="R949" s="14" t="str" cm="1">
        <f t="array" ref="R949">_xlfn.IFS(C949&lt;18,"Under 18",C949&lt;36,"18-35",C949&lt;51,"36-50",C949&lt;66,"51-65",C949&gt;=66,"66+")</f>
        <v>36-50</v>
      </c>
      <c r="S949" s="18">
        <v>45444</v>
      </c>
    </row>
    <row r="950" spans="1:19">
      <c r="A950" s="21" t="s">
        <v>1585</v>
      </c>
      <c r="B950" s="1" t="s">
        <v>553</v>
      </c>
      <c r="C950" s="1">
        <v>78</v>
      </c>
      <c r="D950" s="1" t="s">
        <v>19</v>
      </c>
      <c r="E950" s="1" t="s">
        <v>44</v>
      </c>
      <c r="F950" s="1" t="s">
        <v>52</v>
      </c>
      <c r="G950" s="1" t="s">
        <v>110</v>
      </c>
      <c r="H950" s="1" t="s">
        <v>99</v>
      </c>
      <c r="I950" s="1" t="s">
        <v>24</v>
      </c>
      <c r="J950" s="2">
        <v>45722</v>
      </c>
      <c r="K950" s="2">
        <v>45753</v>
      </c>
      <c r="L950" s="1">
        <v>1</v>
      </c>
      <c r="M950" s="1" t="s">
        <v>27</v>
      </c>
      <c r="N950" s="1" t="s">
        <v>63</v>
      </c>
      <c r="O950" s="4">
        <v>103171.78</v>
      </c>
      <c r="P950" s="1">
        <v>3</v>
      </c>
      <c r="Q950" s="10" t="s">
        <v>58</v>
      </c>
      <c r="R950" s="14" t="str" cm="1">
        <f t="array" ref="R950">_xlfn.IFS(C950&lt;18,"Under 18",C950&lt;36,"18-35",C950&lt;51,"36-50",C950&lt;66,"51-65",C950&gt;=66,"66+")</f>
        <v>66+</v>
      </c>
      <c r="S950" s="18">
        <v>45717</v>
      </c>
    </row>
    <row r="951" spans="1:19">
      <c r="A951" s="21" t="s">
        <v>1586</v>
      </c>
      <c r="B951" s="1" t="s">
        <v>384</v>
      </c>
      <c r="C951" s="1">
        <v>80</v>
      </c>
      <c r="D951" s="1" t="s">
        <v>27</v>
      </c>
      <c r="E951" s="1" t="s">
        <v>44</v>
      </c>
      <c r="F951" s="1" t="s">
        <v>33</v>
      </c>
      <c r="G951" s="1" t="s">
        <v>104</v>
      </c>
      <c r="H951" s="1" t="s">
        <v>45</v>
      </c>
      <c r="I951" s="1" t="s">
        <v>24</v>
      </c>
      <c r="J951" s="2">
        <v>45676</v>
      </c>
      <c r="K951" s="2">
        <v>45678</v>
      </c>
      <c r="L951" s="1">
        <v>2</v>
      </c>
      <c r="M951" s="1" t="s">
        <v>27</v>
      </c>
      <c r="N951" s="1" t="s">
        <v>85</v>
      </c>
      <c r="O951" s="4">
        <v>76908.05</v>
      </c>
      <c r="P951" s="1">
        <v>3</v>
      </c>
      <c r="Q951" s="10" t="s">
        <v>29</v>
      </c>
      <c r="R951" s="14" t="str" cm="1">
        <f t="array" ref="R951">_xlfn.IFS(C951&lt;18,"Under 18",C951&lt;36,"18-35",C951&lt;51,"36-50",C951&lt;66,"51-65",C951&gt;=66,"66+")</f>
        <v>66+</v>
      </c>
      <c r="S951" s="18">
        <v>45658</v>
      </c>
    </row>
    <row r="952" spans="1:19">
      <c r="A952" s="21" t="s">
        <v>1587</v>
      </c>
      <c r="B952" s="1" t="s">
        <v>837</v>
      </c>
      <c r="C952" s="1">
        <v>43</v>
      </c>
      <c r="D952" s="1" t="s">
        <v>27</v>
      </c>
      <c r="E952" s="1" t="s">
        <v>20</v>
      </c>
      <c r="F952" s="1" t="s">
        <v>75</v>
      </c>
      <c r="G952" s="1" t="s">
        <v>68</v>
      </c>
      <c r="H952" s="1" t="s">
        <v>69</v>
      </c>
      <c r="I952" s="1" t="s">
        <v>36</v>
      </c>
      <c r="J952" s="2">
        <v>45397</v>
      </c>
      <c r="K952" s="2">
        <v>45398</v>
      </c>
      <c r="L952" s="1">
        <v>1</v>
      </c>
      <c r="M952" s="1" t="s">
        <v>56</v>
      </c>
      <c r="N952" s="1" t="s">
        <v>82</v>
      </c>
      <c r="O952" s="4">
        <v>57171.199999999997</v>
      </c>
      <c r="P952" s="1">
        <v>5</v>
      </c>
      <c r="Q952" s="10" t="s">
        <v>29</v>
      </c>
      <c r="R952" s="14" t="str" cm="1">
        <f t="array" ref="R952">_xlfn.IFS(C952&lt;18,"Under 18",C952&lt;36,"18-35",C952&lt;51,"36-50",C952&lt;66,"51-65",C952&gt;=66,"66+")</f>
        <v>36-50</v>
      </c>
      <c r="S952" s="18">
        <v>45383</v>
      </c>
    </row>
    <row r="953" spans="1:19">
      <c r="A953" s="21" t="s">
        <v>1588</v>
      </c>
      <c r="B953" s="1" t="s">
        <v>361</v>
      </c>
      <c r="C953" s="1">
        <v>56</v>
      </c>
      <c r="D953" s="1" t="s">
        <v>43</v>
      </c>
      <c r="E953" s="1" t="s">
        <v>66</v>
      </c>
      <c r="F953" s="1" t="s">
        <v>52</v>
      </c>
      <c r="G953" s="1" t="s">
        <v>22</v>
      </c>
      <c r="H953" s="1" t="s">
        <v>93</v>
      </c>
      <c r="I953" s="1" t="s">
        <v>36</v>
      </c>
      <c r="J953" s="2">
        <v>45869</v>
      </c>
      <c r="K953" s="2">
        <v>45755</v>
      </c>
      <c r="L953" s="1">
        <v>4</v>
      </c>
      <c r="M953" s="1" t="s">
        <v>38</v>
      </c>
      <c r="N953" s="1" t="s">
        <v>90</v>
      </c>
      <c r="O953" s="4">
        <v>67756.789999999994</v>
      </c>
      <c r="P953" s="1">
        <v>5</v>
      </c>
      <c r="Q953" s="10" t="s">
        <v>29</v>
      </c>
      <c r="R953" s="14" t="str" cm="1">
        <f t="array" ref="R953">_xlfn.IFS(C953&lt;18,"Under 18",C953&lt;36,"18-35",C953&lt;51,"36-50",C953&lt;66,"51-65",C953&gt;=66,"66+")</f>
        <v>51-65</v>
      </c>
      <c r="S953" s="18">
        <v>45839</v>
      </c>
    </row>
    <row r="954" spans="1:19">
      <c r="A954" s="21" t="s">
        <v>1589</v>
      </c>
      <c r="B954" s="1" t="s">
        <v>143</v>
      </c>
      <c r="C954" s="1">
        <v>67</v>
      </c>
      <c r="D954" s="1" t="s">
        <v>27</v>
      </c>
      <c r="E954" s="1" t="s">
        <v>117</v>
      </c>
      <c r="F954" s="1" t="s">
        <v>75</v>
      </c>
      <c r="G954" s="1" t="s">
        <v>53</v>
      </c>
      <c r="H954" s="1" t="s">
        <v>61</v>
      </c>
      <c r="I954" s="1" t="s">
        <v>62</v>
      </c>
      <c r="J954" s="2">
        <v>45517</v>
      </c>
      <c r="K954" s="2">
        <v>45523</v>
      </c>
      <c r="L954" s="1">
        <v>6</v>
      </c>
      <c r="M954" s="1" t="s">
        <v>97</v>
      </c>
      <c r="N954" s="1" t="s">
        <v>63</v>
      </c>
      <c r="O954" s="4">
        <v>129438.18</v>
      </c>
      <c r="P954" s="1">
        <v>4</v>
      </c>
      <c r="Q954" s="10" t="s">
        <v>72</v>
      </c>
      <c r="R954" s="14" t="str" cm="1">
        <f t="array" ref="R954">_xlfn.IFS(C954&lt;18,"Under 18",C954&lt;36,"18-35",C954&lt;51,"36-50",C954&lt;66,"51-65",C954&gt;=66,"66+")</f>
        <v>66+</v>
      </c>
      <c r="S954" s="18">
        <v>45505</v>
      </c>
    </row>
    <row r="955" spans="1:19">
      <c r="A955" s="21" t="s">
        <v>1590</v>
      </c>
      <c r="B955" s="1" t="s">
        <v>709</v>
      </c>
      <c r="C955" s="1">
        <v>19</v>
      </c>
      <c r="D955" s="1" t="s">
        <v>27</v>
      </c>
      <c r="E955" s="1" t="s">
        <v>32</v>
      </c>
      <c r="F955" s="1" t="s">
        <v>67</v>
      </c>
      <c r="G955" s="1" t="s">
        <v>110</v>
      </c>
      <c r="H955" s="1" t="s">
        <v>76</v>
      </c>
      <c r="I955" s="1" t="s">
        <v>62</v>
      </c>
      <c r="J955" s="2">
        <v>45696</v>
      </c>
      <c r="K955" s="2">
        <v>45785</v>
      </c>
      <c r="L955" s="1">
        <v>3</v>
      </c>
      <c r="M955" s="1" t="s">
        <v>27</v>
      </c>
      <c r="N955" s="1" t="s">
        <v>57</v>
      </c>
      <c r="O955" s="4">
        <v>83920.28</v>
      </c>
      <c r="P955" s="1">
        <v>4</v>
      </c>
      <c r="Q955" s="10" t="s">
        <v>40</v>
      </c>
      <c r="R955" s="14" t="str" cm="1">
        <f t="array" ref="R955">_xlfn.IFS(C955&lt;18,"Under 18",C955&lt;36,"18-35",C955&lt;51,"36-50",C955&lt;66,"51-65",C955&gt;=66,"66+")</f>
        <v>18-35</v>
      </c>
      <c r="S955" s="18">
        <v>45689</v>
      </c>
    </row>
    <row r="956" spans="1:19">
      <c r="A956" s="21" t="s">
        <v>1591</v>
      </c>
      <c r="B956" s="1" t="s">
        <v>1359</v>
      </c>
      <c r="C956" s="1">
        <v>53</v>
      </c>
      <c r="D956" s="1" t="s">
        <v>27</v>
      </c>
      <c r="E956" s="1" t="s">
        <v>51</v>
      </c>
      <c r="F956" s="1" t="s">
        <v>120</v>
      </c>
      <c r="G956" s="1" t="s">
        <v>36</v>
      </c>
      <c r="H956" s="1" t="s">
        <v>45</v>
      </c>
      <c r="I956" s="1" t="s">
        <v>24</v>
      </c>
      <c r="J956" s="2">
        <v>45366</v>
      </c>
      <c r="K956" s="2">
        <v>45367</v>
      </c>
      <c r="L956" s="1">
        <v>1</v>
      </c>
      <c r="M956" s="1" t="s">
        <v>38</v>
      </c>
      <c r="N956" s="1" t="s">
        <v>39</v>
      </c>
      <c r="O956" s="4">
        <v>61056.85</v>
      </c>
      <c r="P956" s="1">
        <v>4</v>
      </c>
      <c r="Q956" s="10" t="s">
        <v>72</v>
      </c>
      <c r="R956" s="14" t="str" cm="1">
        <f t="array" ref="R956">_xlfn.IFS(C956&lt;18,"Under 18",C956&lt;36,"18-35",C956&lt;51,"36-50",C956&lt;66,"51-65",C956&gt;=66,"66+")</f>
        <v>51-65</v>
      </c>
      <c r="S956" s="18">
        <v>45352</v>
      </c>
    </row>
    <row r="957" spans="1:19">
      <c r="A957" s="21" t="s">
        <v>1593</v>
      </c>
      <c r="B957" s="1" t="s">
        <v>190</v>
      </c>
      <c r="C957" s="1">
        <v>33</v>
      </c>
      <c r="D957" s="1" t="s">
        <v>19</v>
      </c>
      <c r="E957" s="1" t="s">
        <v>159</v>
      </c>
      <c r="F957" s="1" t="s">
        <v>21</v>
      </c>
      <c r="G957" s="1" t="s">
        <v>68</v>
      </c>
      <c r="H957" s="1" t="s">
        <v>23</v>
      </c>
      <c r="I957" s="1" t="s">
        <v>36</v>
      </c>
      <c r="J957" s="2">
        <v>45565</v>
      </c>
      <c r="K957" s="2">
        <v>45392</v>
      </c>
      <c r="L957" s="1">
        <v>4</v>
      </c>
      <c r="M957" s="1" t="s">
        <v>48</v>
      </c>
      <c r="N957" s="1" t="s">
        <v>63</v>
      </c>
      <c r="O957" s="4">
        <v>31848.81</v>
      </c>
      <c r="P957" s="1">
        <v>5</v>
      </c>
      <c r="Q957" s="10" t="s">
        <v>58</v>
      </c>
      <c r="R957" s="14" t="str" cm="1">
        <f t="array" ref="R957">_xlfn.IFS(C957&lt;18,"Under 18",C957&lt;36,"18-35",C957&lt;51,"36-50",C957&lt;66,"51-65",C957&gt;=66,"66+")</f>
        <v>18-35</v>
      </c>
      <c r="S957" s="18">
        <v>45536</v>
      </c>
    </row>
    <row r="958" spans="1:19">
      <c r="A958" s="21" t="s">
        <v>1594</v>
      </c>
      <c r="B958" s="1" t="s">
        <v>593</v>
      </c>
      <c r="C958" s="1">
        <v>77</v>
      </c>
      <c r="D958" s="1" t="s">
        <v>43</v>
      </c>
      <c r="E958" s="1" t="s">
        <v>32</v>
      </c>
      <c r="F958" s="1" t="s">
        <v>33</v>
      </c>
      <c r="G958" s="1" t="s">
        <v>132</v>
      </c>
      <c r="H958" s="1" t="s">
        <v>69</v>
      </c>
      <c r="I958" s="1" t="s">
        <v>24</v>
      </c>
      <c r="J958" s="2">
        <v>45690</v>
      </c>
      <c r="K958" s="2">
        <v>45749</v>
      </c>
      <c r="L958" s="1">
        <v>2</v>
      </c>
      <c r="M958" s="1" t="s">
        <v>48</v>
      </c>
      <c r="N958" s="1" t="s">
        <v>90</v>
      </c>
      <c r="O958" s="4">
        <v>36443.39</v>
      </c>
      <c r="P958" s="1">
        <v>5</v>
      </c>
      <c r="Q958" s="10" t="s">
        <v>40</v>
      </c>
      <c r="R958" s="14" t="str" cm="1">
        <f t="array" ref="R958">_xlfn.IFS(C958&lt;18,"Under 18",C958&lt;36,"18-35",C958&lt;51,"36-50",C958&lt;66,"51-65",C958&gt;=66,"66+")</f>
        <v>66+</v>
      </c>
      <c r="S958" s="18">
        <v>45689</v>
      </c>
    </row>
    <row r="959" spans="1:19">
      <c r="A959" s="21" t="s">
        <v>1595</v>
      </c>
      <c r="B959" s="1" t="s">
        <v>548</v>
      </c>
      <c r="C959" s="1">
        <v>11</v>
      </c>
      <c r="D959" s="1" t="s">
        <v>43</v>
      </c>
      <c r="E959" s="1" t="s">
        <v>137</v>
      </c>
      <c r="F959" s="1" t="s">
        <v>52</v>
      </c>
      <c r="G959" s="1" t="s">
        <v>34</v>
      </c>
      <c r="H959" s="1" t="s">
        <v>93</v>
      </c>
      <c r="I959" s="1" t="s">
        <v>36</v>
      </c>
      <c r="J959" s="2">
        <v>45818</v>
      </c>
      <c r="K959" s="2">
        <v>45848</v>
      </c>
      <c r="L959" s="1">
        <v>1</v>
      </c>
      <c r="M959" s="1" t="s">
        <v>48</v>
      </c>
      <c r="N959" s="1" t="s">
        <v>63</v>
      </c>
      <c r="O959" s="4">
        <v>56783.37</v>
      </c>
      <c r="P959" s="1">
        <v>4</v>
      </c>
      <c r="Q959" s="10" t="s">
        <v>40</v>
      </c>
      <c r="R959" s="14" t="str" cm="1">
        <f t="array" ref="R959">_xlfn.IFS(C959&lt;18,"Under 18",C959&lt;36,"18-35",C959&lt;51,"36-50",C959&lt;66,"51-65",C959&gt;=66,"66+")</f>
        <v>Under 18</v>
      </c>
      <c r="S959" s="18">
        <v>45809</v>
      </c>
    </row>
    <row r="960" spans="1:19">
      <c r="A960" s="21" t="s">
        <v>1596</v>
      </c>
      <c r="B960" s="1" t="s">
        <v>1038</v>
      </c>
      <c r="C960" s="1">
        <v>29</v>
      </c>
      <c r="D960" s="1" t="s">
        <v>27</v>
      </c>
      <c r="E960" s="1" t="s">
        <v>137</v>
      </c>
      <c r="F960" s="1" t="s">
        <v>33</v>
      </c>
      <c r="G960" s="1" t="s">
        <v>104</v>
      </c>
      <c r="H960" s="1" t="s">
        <v>69</v>
      </c>
      <c r="I960" s="1" t="s">
        <v>24</v>
      </c>
      <c r="J960" s="2">
        <v>45578</v>
      </c>
      <c r="K960" s="2">
        <v>45579</v>
      </c>
      <c r="L960" s="1">
        <v>1</v>
      </c>
      <c r="M960" s="1" t="s">
        <v>56</v>
      </c>
      <c r="N960" s="1" t="s">
        <v>90</v>
      </c>
      <c r="O960" s="4">
        <v>32549.57</v>
      </c>
      <c r="P960" s="1">
        <v>3</v>
      </c>
      <c r="Q960" s="10" t="s">
        <v>29</v>
      </c>
      <c r="R960" s="14" t="str" cm="1">
        <f t="array" ref="R960">_xlfn.IFS(C960&lt;18,"Under 18",C960&lt;36,"18-35",C960&lt;51,"36-50",C960&lt;66,"51-65",C960&gt;=66,"66+")</f>
        <v>18-35</v>
      </c>
      <c r="S960" s="18">
        <v>45566</v>
      </c>
    </row>
    <row r="961" spans="1:19">
      <c r="A961" s="21" t="s">
        <v>1597</v>
      </c>
      <c r="B961" s="1" t="s">
        <v>521</v>
      </c>
      <c r="C961" s="1">
        <v>45</v>
      </c>
      <c r="D961" s="1" t="s">
        <v>19</v>
      </c>
      <c r="E961" s="1" t="s">
        <v>117</v>
      </c>
      <c r="F961" s="1" t="s">
        <v>75</v>
      </c>
      <c r="G961" s="1" t="s">
        <v>104</v>
      </c>
      <c r="H961" s="1" t="s">
        <v>76</v>
      </c>
      <c r="I961" s="1" t="s">
        <v>62</v>
      </c>
      <c r="J961" s="2">
        <v>45860</v>
      </c>
      <c r="K961" s="2">
        <v>45867</v>
      </c>
      <c r="L961" s="1">
        <v>7</v>
      </c>
      <c r="M961" s="1" t="s">
        <v>27</v>
      </c>
      <c r="N961" s="1" t="s">
        <v>63</v>
      </c>
      <c r="O961" s="4">
        <v>79385.570000000007</v>
      </c>
      <c r="P961" s="1">
        <v>5</v>
      </c>
      <c r="Q961" s="10" t="s">
        <v>40</v>
      </c>
      <c r="R961" s="14" t="str" cm="1">
        <f t="array" ref="R961">_xlfn.IFS(C961&lt;18,"Under 18",C961&lt;36,"18-35",C961&lt;51,"36-50",C961&lt;66,"51-65",C961&gt;=66,"66+")</f>
        <v>36-50</v>
      </c>
      <c r="S961" s="18">
        <v>45839</v>
      </c>
    </row>
    <row r="962" spans="1:19">
      <c r="A962" s="21" t="s">
        <v>1598</v>
      </c>
      <c r="B962" s="1" t="s">
        <v>321</v>
      </c>
      <c r="C962" s="1">
        <v>9</v>
      </c>
      <c r="D962" s="1" t="s">
        <v>19</v>
      </c>
      <c r="E962" s="1" t="s">
        <v>159</v>
      </c>
      <c r="F962" s="1" t="s">
        <v>67</v>
      </c>
      <c r="G962" s="1" t="s">
        <v>110</v>
      </c>
      <c r="H962" s="1" t="s">
        <v>88</v>
      </c>
      <c r="I962" s="1" t="s">
        <v>36</v>
      </c>
      <c r="J962" s="2">
        <v>45495</v>
      </c>
      <c r="K962" s="2">
        <v>45498</v>
      </c>
      <c r="L962" s="1">
        <v>3</v>
      </c>
      <c r="M962" s="1" t="s">
        <v>97</v>
      </c>
      <c r="N962" s="1" t="s">
        <v>28</v>
      </c>
      <c r="O962" s="4">
        <v>77681.919999999998</v>
      </c>
      <c r="P962" s="1">
        <v>3</v>
      </c>
      <c r="Q962" s="10" t="s">
        <v>29</v>
      </c>
      <c r="R962" s="14" t="str" cm="1">
        <f t="array" ref="R962">_xlfn.IFS(C962&lt;18,"Under 18",C962&lt;36,"18-35",C962&lt;51,"36-50",C962&lt;66,"51-65",C962&gt;=66,"66+")</f>
        <v>Under 18</v>
      </c>
      <c r="S962" s="18">
        <v>45474</v>
      </c>
    </row>
    <row r="963" spans="1:19">
      <c r="A963" s="21" t="s">
        <v>1599</v>
      </c>
      <c r="B963" s="1" t="s">
        <v>295</v>
      </c>
      <c r="C963" s="1">
        <v>22</v>
      </c>
      <c r="D963" s="1" t="s">
        <v>27</v>
      </c>
      <c r="E963" s="1" t="s">
        <v>51</v>
      </c>
      <c r="F963" s="1" t="s">
        <v>67</v>
      </c>
      <c r="G963" s="1" t="s">
        <v>132</v>
      </c>
      <c r="H963" s="1" t="s">
        <v>23</v>
      </c>
      <c r="I963" s="1" t="s">
        <v>62</v>
      </c>
      <c r="J963" s="2">
        <v>45396</v>
      </c>
      <c r="K963" s="2">
        <v>45397</v>
      </c>
      <c r="L963" s="1">
        <v>1</v>
      </c>
      <c r="M963" s="1" t="s">
        <v>97</v>
      </c>
      <c r="N963" s="1" t="s">
        <v>28</v>
      </c>
      <c r="O963" s="4">
        <v>83506.73</v>
      </c>
      <c r="P963" s="1">
        <v>3</v>
      </c>
      <c r="Q963" s="10" t="s">
        <v>29</v>
      </c>
      <c r="R963" s="14" t="str" cm="1">
        <f t="array" ref="R963">_xlfn.IFS(C963&lt;18,"Under 18",C963&lt;36,"18-35",C963&lt;51,"36-50",C963&lt;66,"51-65",C963&gt;=66,"66+")</f>
        <v>18-35</v>
      </c>
      <c r="S963" s="18">
        <v>45383</v>
      </c>
    </row>
    <row r="964" spans="1:19">
      <c r="A964" s="21" t="s">
        <v>1600</v>
      </c>
      <c r="B964" s="1" t="s">
        <v>208</v>
      </c>
      <c r="C964" s="1">
        <v>28</v>
      </c>
      <c r="D964" s="1" t="s">
        <v>43</v>
      </c>
      <c r="E964" s="1" t="s">
        <v>51</v>
      </c>
      <c r="F964" s="1" t="s">
        <v>75</v>
      </c>
      <c r="G964" s="1" t="s">
        <v>34</v>
      </c>
      <c r="H964" s="1" t="s">
        <v>35</v>
      </c>
      <c r="I964" s="1" t="s">
        <v>36</v>
      </c>
      <c r="J964" s="2">
        <v>45368</v>
      </c>
      <c r="K964" s="2">
        <v>45372</v>
      </c>
      <c r="L964" s="1">
        <v>4</v>
      </c>
      <c r="M964" s="1" t="s">
        <v>97</v>
      </c>
      <c r="N964" s="1" t="s">
        <v>82</v>
      </c>
      <c r="O964" s="4">
        <v>111972.08</v>
      </c>
      <c r="P964" s="1">
        <v>3</v>
      </c>
      <c r="Q964" s="10" t="s">
        <v>40</v>
      </c>
      <c r="R964" s="14" t="str" cm="1">
        <f t="array" ref="R964">_xlfn.IFS(C964&lt;18,"Under 18",C964&lt;36,"18-35",C964&lt;51,"36-50",C964&lt;66,"51-65",C964&gt;=66,"66+")</f>
        <v>18-35</v>
      </c>
      <c r="S964" s="18">
        <v>45352</v>
      </c>
    </row>
    <row r="965" spans="1:19">
      <c r="A965" s="21" t="s">
        <v>1601</v>
      </c>
      <c r="B965" s="1" t="s">
        <v>295</v>
      </c>
      <c r="C965" s="1">
        <v>7</v>
      </c>
      <c r="D965" s="1" t="s">
        <v>19</v>
      </c>
      <c r="E965" s="1" t="s">
        <v>51</v>
      </c>
      <c r="F965" s="1" t="s">
        <v>21</v>
      </c>
      <c r="G965" s="1" t="s">
        <v>36</v>
      </c>
      <c r="H965" s="1" t="s">
        <v>93</v>
      </c>
      <c r="I965" s="1" t="s">
        <v>36</v>
      </c>
      <c r="J965" s="2">
        <v>45842</v>
      </c>
      <c r="K965" s="2">
        <v>45760</v>
      </c>
      <c r="L965" s="1">
        <v>6</v>
      </c>
      <c r="M965" s="1" t="s">
        <v>48</v>
      </c>
      <c r="N965" s="1" t="s">
        <v>28</v>
      </c>
      <c r="O965" s="4">
        <v>50995.27</v>
      </c>
      <c r="P965" s="1">
        <v>5</v>
      </c>
      <c r="Q965" s="10" t="s">
        <v>29</v>
      </c>
      <c r="R965" s="14" t="str" cm="1">
        <f t="array" ref="R965">_xlfn.IFS(C965&lt;18,"Under 18",C965&lt;36,"18-35",C965&lt;51,"36-50",C965&lt;66,"51-65",C965&gt;=66,"66+")</f>
        <v>Under 18</v>
      </c>
      <c r="S965" s="18">
        <v>45839</v>
      </c>
    </row>
    <row r="966" spans="1:19">
      <c r="A966" s="21" t="s">
        <v>1602</v>
      </c>
      <c r="B966" s="1" t="s">
        <v>348</v>
      </c>
      <c r="C966" s="1">
        <v>82</v>
      </c>
      <c r="D966" s="1" t="s">
        <v>19</v>
      </c>
      <c r="E966" s="1" t="s">
        <v>159</v>
      </c>
      <c r="F966" s="1" t="s">
        <v>52</v>
      </c>
      <c r="G966" s="1" t="s">
        <v>132</v>
      </c>
      <c r="H966" s="1" t="s">
        <v>105</v>
      </c>
      <c r="I966" s="1" t="s">
        <v>24</v>
      </c>
      <c r="J966" s="2">
        <v>45795</v>
      </c>
      <c r="K966" s="2">
        <v>45799</v>
      </c>
      <c r="L966" s="1">
        <v>4</v>
      </c>
      <c r="M966" s="1" t="s">
        <v>27</v>
      </c>
      <c r="N966" s="1" t="s">
        <v>57</v>
      </c>
      <c r="O966" s="4">
        <v>49917.99</v>
      </c>
      <c r="P966" s="1">
        <v>5</v>
      </c>
      <c r="Q966" s="10" t="s">
        <v>29</v>
      </c>
      <c r="R966" s="14" t="str" cm="1">
        <f t="array" ref="R966">_xlfn.IFS(C966&lt;18,"Under 18",C966&lt;36,"18-35",C966&lt;51,"36-50",C966&lt;66,"51-65",C966&gt;=66,"66+")</f>
        <v>66+</v>
      </c>
      <c r="S966" s="18">
        <v>45778</v>
      </c>
    </row>
    <row r="967" spans="1:19">
      <c r="A967" s="21" t="s">
        <v>1603</v>
      </c>
      <c r="B967" s="1" t="s">
        <v>816</v>
      </c>
      <c r="C967" s="1">
        <v>55</v>
      </c>
      <c r="D967" s="1" t="s">
        <v>19</v>
      </c>
      <c r="E967" s="1" t="s">
        <v>202</v>
      </c>
      <c r="F967" s="1" t="s">
        <v>33</v>
      </c>
      <c r="G967" s="1" t="s">
        <v>110</v>
      </c>
      <c r="H967" s="1" t="s">
        <v>23</v>
      </c>
      <c r="I967" s="1" t="s">
        <v>24</v>
      </c>
      <c r="J967" s="2">
        <v>45815</v>
      </c>
      <c r="K967" s="2">
        <v>45856</v>
      </c>
      <c r="L967" s="1">
        <v>12</v>
      </c>
      <c r="M967" s="1" t="s">
        <v>27</v>
      </c>
      <c r="N967" s="1" t="s">
        <v>90</v>
      </c>
      <c r="O967" s="4">
        <v>114750.12</v>
      </c>
      <c r="P967" s="1">
        <v>1</v>
      </c>
      <c r="Q967" s="10" t="s">
        <v>58</v>
      </c>
      <c r="R967" s="14" t="str" cm="1">
        <f t="array" ref="R967">_xlfn.IFS(C967&lt;18,"Under 18",C967&lt;36,"18-35",C967&lt;51,"36-50",C967&lt;66,"51-65",C967&gt;=66,"66+")</f>
        <v>51-65</v>
      </c>
      <c r="S967" s="18">
        <v>45809</v>
      </c>
    </row>
    <row r="968" spans="1:19">
      <c r="A968" s="21" t="s">
        <v>1604</v>
      </c>
      <c r="B968" s="1" t="s">
        <v>636</v>
      </c>
      <c r="C968" s="1">
        <v>52</v>
      </c>
      <c r="D968" s="1" t="s">
        <v>27</v>
      </c>
      <c r="E968" s="1" t="s">
        <v>247</v>
      </c>
      <c r="F968" s="1" t="s">
        <v>75</v>
      </c>
      <c r="G968" s="1" t="s">
        <v>104</v>
      </c>
      <c r="H968" s="1" t="s">
        <v>61</v>
      </c>
      <c r="I968" s="1" t="s">
        <v>62</v>
      </c>
      <c r="J968" s="2">
        <v>45296</v>
      </c>
      <c r="K968" s="2">
        <v>45417</v>
      </c>
      <c r="L968" s="1">
        <v>4</v>
      </c>
      <c r="M968" s="1" t="s">
        <v>27</v>
      </c>
      <c r="N968" s="1" t="s">
        <v>85</v>
      </c>
      <c r="O968" s="4">
        <v>77722.81</v>
      </c>
      <c r="P968" s="1">
        <v>4</v>
      </c>
      <c r="Q968" s="10" t="s">
        <v>72</v>
      </c>
      <c r="R968" s="14" t="str" cm="1">
        <f t="array" ref="R968">_xlfn.IFS(C968&lt;18,"Under 18",C968&lt;36,"18-35",C968&lt;51,"36-50",C968&lt;66,"51-65",C968&gt;=66,"66+")</f>
        <v>51-65</v>
      </c>
      <c r="S968" s="18">
        <v>45292</v>
      </c>
    </row>
    <row r="969" spans="1:19">
      <c r="A969" s="21" t="s">
        <v>1605</v>
      </c>
      <c r="B969" s="1" t="s">
        <v>510</v>
      </c>
      <c r="C969" s="1">
        <v>85</v>
      </c>
      <c r="D969" s="1" t="s">
        <v>19</v>
      </c>
      <c r="E969" s="1" t="s">
        <v>51</v>
      </c>
      <c r="F969" s="1" t="s">
        <v>33</v>
      </c>
      <c r="G969" s="1" t="s">
        <v>110</v>
      </c>
      <c r="H969" s="1" t="s">
        <v>45</v>
      </c>
      <c r="I969" s="1" t="s">
        <v>36</v>
      </c>
      <c r="J969" s="2">
        <v>45358</v>
      </c>
      <c r="K969" s="2">
        <v>45511</v>
      </c>
      <c r="L969" s="1">
        <v>5</v>
      </c>
      <c r="M969" s="1" t="s">
        <v>38</v>
      </c>
      <c r="N969" s="1" t="s">
        <v>57</v>
      </c>
      <c r="O969" s="4">
        <v>152886.54</v>
      </c>
      <c r="P969" s="1">
        <v>4</v>
      </c>
      <c r="Q969" s="10" t="s">
        <v>29</v>
      </c>
      <c r="R969" s="14" t="str" cm="1">
        <f t="array" ref="R969">_xlfn.IFS(C969&lt;18,"Under 18",C969&lt;36,"18-35",C969&lt;51,"36-50",C969&lt;66,"51-65",C969&gt;=66,"66+")</f>
        <v>66+</v>
      </c>
      <c r="S969" s="18">
        <v>45352</v>
      </c>
    </row>
    <row r="970" spans="1:19">
      <c r="A970" s="21" t="s">
        <v>1606</v>
      </c>
      <c r="B970" s="1" t="s">
        <v>242</v>
      </c>
      <c r="C970" s="1">
        <v>10</v>
      </c>
      <c r="D970" s="1" t="s">
        <v>27</v>
      </c>
      <c r="E970" s="1" t="s">
        <v>20</v>
      </c>
      <c r="F970" s="1" t="s">
        <v>33</v>
      </c>
      <c r="G970" s="1" t="s">
        <v>53</v>
      </c>
      <c r="H970" s="1" t="s">
        <v>69</v>
      </c>
      <c r="I970" s="1" t="s">
        <v>24</v>
      </c>
      <c r="J970" s="2">
        <v>45958</v>
      </c>
      <c r="K970" s="2">
        <v>45959</v>
      </c>
      <c r="L970" s="1">
        <v>1</v>
      </c>
      <c r="M970" s="1" t="s">
        <v>27</v>
      </c>
      <c r="N970" s="1" t="s">
        <v>90</v>
      </c>
      <c r="O970" s="4">
        <v>66132</v>
      </c>
      <c r="P970" s="1">
        <v>4</v>
      </c>
      <c r="Q970" s="10" t="s">
        <v>40</v>
      </c>
      <c r="R970" s="14" t="str" cm="1">
        <f t="array" ref="R970">_xlfn.IFS(C970&lt;18,"Under 18",C970&lt;36,"18-35",C970&lt;51,"36-50",C970&lt;66,"51-65",C970&gt;=66,"66+")</f>
        <v>Under 18</v>
      </c>
      <c r="S970" s="18">
        <v>45931</v>
      </c>
    </row>
    <row r="971" spans="1:19">
      <c r="A971" s="21" t="s">
        <v>1608</v>
      </c>
      <c r="B971" s="1" t="s">
        <v>179</v>
      </c>
      <c r="C971" s="1">
        <v>70</v>
      </c>
      <c r="D971" s="1" t="s">
        <v>19</v>
      </c>
      <c r="E971" s="1" t="s">
        <v>66</v>
      </c>
      <c r="F971" s="1" t="s">
        <v>120</v>
      </c>
      <c r="G971" s="1" t="s">
        <v>132</v>
      </c>
      <c r="H971" s="1" t="s">
        <v>23</v>
      </c>
      <c r="I971" s="1" t="s">
        <v>24</v>
      </c>
      <c r="J971" s="2">
        <v>45602</v>
      </c>
      <c r="K971" s="2">
        <v>45457</v>
      </c>
      <c r="L971" s="1">
        <v>3</v>
      </c>
      <c r="M971" s="1" t="s">
        <v>38</v>
      </c>
      <c r="N971" s="1" t="s">
        <v>39</v>
      </c>
      <c r="O971" s="4">
        <v>43620.01</v>
      </c>
      <c r="P971" s="1">
        <v>5</v>
      </c>
      <c r="Q971" s="10" t="s">
        <v>72</v>
      </c>
      <c r="R971" s="14" t="str" cm="1">
        <f t="array" ref="R971">_xlfn.IFS(C971&lt;18,"Under 18",C971&lt;36,"18-35",C971&lt;51,"36-50",C971&lt;66,"51-65",C971&gt;=66,"66+")</f>
        <v>66+</v>
      </c>
      <c r="S971" s="18">
        <v>45597</v>
      </c>
    </row>
    <row r="972" spans="1:19">
      <c r="A972" s="21" t="s">
        <v>1609</v>
      </c>
      <c r="B972" s="1" t="s">
        <v>499</v>
      </c>
      <c r="C972" s="1">
        <v>83</v>
      </c>
      <c r="D972" s="1" t="s">
        <v>19</v>
      </c>
      <c r="E972" s="1" t="s">
        <v>20</v>
      </c>
      <c r="F972" s="1" t="s">
        <v>67</v>
      </c>
      <c r="G972" s="1" t="s">
        <v>104</v>
      </c>
      <c r="H972" s="1" t="s">
        <v>99</v>
      </c>
      <c r="I972" s="1" t="s">
        <v>62</v>
      </c>
      <c r="J972" s="2">
        <v>45582</v>
      </c>
      <c r="K972" s="2">
        <v>45585</v>
      </c>
      <c r="L972" s="1">
        <v>3</v>
      </c>
      <c r="M972" s="1" t="s">
        <v>97</v>
      </c>
      <c r="N972" s="1" t="s">
        <v>57</v>
      </c>
      <c r="O972" s="4">
        <v>62755.47</v>
      </c>
      <c r="P972" s="1">
        <v>4</v>
      </c>
      <c r="Q972" s="10" t="s">
        <v>58</v>
      </c>
      <c r="R972" s="14" t="str" cm="1">
        <f t="array" ref="R972">_xlfn.IFS(C972&lt;18,"Under 18",C972&lt;36,"18-35",C972&lt;51,"36-50",C972&lt;66,"51-65",C972&gt;=66,"66+")</f>
        <v>66+</v>
      </c>
      <c r="S972" s="18">
        <v>45566</v>
      </c>
    </row>
    <row r="973" spans="1:19">
      <c r="A973" s="21" t="s">
        <v>1611</v>
      </c>
      <c r="B973" s="1" t="s">
        <v>405</v>
      </c>
      <c r="C973" s="1">
        <v>26</v>
      </c>
      <c r="D973" s="1" t="s">
        <v>27</v>
      </c>
      <c r="E973" s="1" t="s">
        <v>159</v>
      </c>
      <c r="F973" s="1" t="s">
        <v>67</v>
      </c>
      <c r="G973" s="1" t="s">
        <v>68</v>
      </c>
      <c r="H973" s="1" t="s">
        <v>76</v>
      </c>
      <c r="I973" s="1" t="s">
        <v>24</v>
      </c>
      <c r="J973" s="2">
        <v>45727</v>
      </c>
      <c r="K973" s="2">
        <v>45758</v>
      </c>
      <c r="L973" s="1">
        <v>1</v>
      </c>
      <c r="M973" s="1" t="s">
        <v>97</v>
      </c>
      <c r="N973" s="1" t="s">
        <v>57</v>
      </c>
      <c r="O973" s="4">
        <v>68958.100000000006</v>
      </c>
      <c r="P973" s="1">
        <v>5</v>
      </c>
      <c r="Q973" s="10" t="s">
        <v>29</v>
      </c>
      <c r="R973" s="14" t="str" cm="1">
        <f t="array" ref="R973">_xlfn.IFS(C973&lt;18,"Under 18",C973&lt;36,"18-35",C973&lt;51,"36-50",C973&lt;66,"51-65",C973&gt;=66,"66+")</f>
        <v>18-35</v>
      </c>
      <c r="S973" s="18">
        <v>45717</v>
      </c>
    </row>
    <row r="974" spans="1:19">
      <c r="A974" s="21" t="s">
        <v>1612</v>
      </c>
      <c r="B974" s="1" t="s">
        <v>126</v>
      </c>
      <c r="C974" s="1">
        <v>80</v>
      </c>
      <c r="D974" s="1" t="s">
        <v>27</v>
      </c>
      <c r="E974" s="1" t="s">
        <v>51</v>
      </c>
      <c r="F974" s="1" t="s">
        <v>75</v>
      </c>
      <c r="G974" s="1" t="s">
        <v>110</v>
      </c>
      <c r="H974" s="1" t="s">
        <v>88</v>
      </c>
      <c r="I974" s="1" t="s">
        <v>62</v>
      </c>
      <c r="J974" s="2">
        <v>45738</v>
      </c>
      <c r="K974" s="2">
        <v>45742</v>
      </c>
      <c r="L974" s="1">
        <v>4</v>
      </c>
      <c r="M974" s="1" t="s">
        <v>56</v>
      </c>
      <c r="N974" s="1" t="s">
        <v>63</v>
      </c>
      <c r="O974" s="4">
        <v>68381.64</v>
      </c>
      <c r="P974" s="1">
        <v>5</v>
      </c>
      <c r="Q974" s="10" t="s">
        <v>29</v>
      </c>
      <c r="R974" s="14" t="str" cm="1">
        <f t="array" ref="R974">_xlfn.IFS(C974&lt;18,"Under 18",C974&lt;36,"18-35",C974&lt;51,"36-50",C974&lt;66,"51-65",C974&gt;=66,"66+")</f>
        <v>66+</v>
      </c>
      <c r="S974" s="18">
        <v>45717</v>
      </c>
    </row>
    <row r="975" spans="1:19">
      <c r="A975" s="21" t="s">
        <v>1613</v>
      </c>
      <c r="B975" s="1" t="s">
        <v>892</v>
      </c>
      <c r="C975" s="1">
        <v>48</v>
      </c>
      <c r="D975" s="1" t="s">
        <v>19</v>
      </c>
      <c r="E975" s="1" t="s">
        <v>202</v>
      </c>
      <c r="F975" s="1" t="s">
        <v>52</v>
      </c>
      <c r="G975" s="1" t="s">
        <v>53</v>
      </c>
      <c r="H975" s="1" t="s">
        <v>76</v>
      </c>
      <c r="I975" s="1" t="s">
        <v>36</v>
      </c>
      <c r="J975" s="2">
        <v>46004</v>
      </c>
      <c r="K975" s="2">
        <v>46017</v>
      </c>
      <c r="L975" s="1">
        <v>13</v>
      </c>
      <c r="M975" s="1" t="s">
        <v>56</v>
      </c>
      <c r="N975" s="1" t="s">
        <v>82</v>
      </c>
      <c r="O975" s="4">
        <v>87458.67</v>
      </c>
      <c r="P975" s="1">
        <v>4</v>
      </c>
      <c r="Q975" s="10" t="s">
        <v>29</v>
      </c>
      <c r="R975" s="14" t="str" cm="1">
        <f t="array" ref="R975">_xlfn.IFS(C975&lt;18,"Under 18",C975&lt;36,"18-35",C975&lt;51,"36-50",C975&lt;66,"51-65",C975&gt;=66,"66+")</f>
        <v>36-50</v>
      </c>
      <c r="S975" s="18">
        <v>45992</v>
      </c>
    </row>
    <row r="976" spans="1:19">
      <c r="A976" s="21" t="s">
        <v>1615</v>
      </c>
      <c r="B976" s="1" t="s">
        <v>437</v>
      </c>
      <c r="C976" s="1">
        <v>44</v>
      </c>
      <c r="D976" s="1" t="s">
        <v>43</v>
      </c>
      <c r="E976" s="1" t="s">
        <v>66</v>
      </c>
      <c r="F976" s="1" t="s">
        <v>52</v>
      </c>
      <c r="G976" s="1" t="s">
        <v>104</v>
      </c>
      <c r="H976" s="1" t="s">
        <v>69</v>
      </c>
      <c r="I976" s="1" t="s">
        <v>36</v>
      </c>
      <c r="J976" s="2">
        <v>45301</v>
      </c>
      <c r="K976" s="2">
        <v>45332</v>
      </c>
      <c r="L976" s="1">
        <v>1</v>
      </c>
      <c r="M976" s="1" t="s">
        <v>56</v>
      </c>
      <c r="N976" s="1" t="s">
        <v>63</v>
      </c>
      <c r="O976" s="4">
        <v>40766.89</v>
      </c>
      <c r="P976" s="1">
        <v>3</v>
      </c>
      <c r="Q976" s="10" t="s">
        <v>40</v>
      </c>
      <c r="R976" s="14" t="str" cm="1">
        <f t="array" ref="R976">_xlfn.IFS(C976&lt;18,"Under 18",C976&lt;36,"18-35",C976&lt;51,"36-50",C976&lt;66,"51-65",C976&gt;=66,"66+")</f>
        <v>36-50</v>
      </c>
      <c r="S976" s="18">
        <v>45292</v>
      </c>
    </row>
    <row r="977" spans="1:19">
      <c r="A977" s="21" t="s">
        <v>1616</v>
      </c>
      <c r="B977" s="1" t="s">
        <v>613</v>
      </c>
      <c r="C977" s="1">
        <v>51</v>
      </c>
      <c r="D977" s="1" t="s">
        <v>19</v>
      </c>
      <c r="E977" s="1" t="s">
        <v>247</v>
      </c>
      <c r="F977" s="1" t="s">
        <v>33</v>
      </c>
      <c r="G977" s="1" t="s">
        <v>53</v>
      </c>
      <c r="H977" s="1" t="s">
        <v>35</v>
      </c>
      <c r="I977" s="1" t="s">
        <v>36</v>
      </c>
      <c r="J977" s="2">
        <v>45491</v>
      </c>
      <c r="K977" s="2">
        <v>45492</v>
      </c>
      <c r="L977" s="1">
        <v>1</v>
      </c>
      <c r="M977" s="1" t="s">
        <v>27</v>
      </c>
      <c r="N977" s="1" t="s">
        <v>85</v>
      </c>
      <c r="O977" s="4">
        <v>76576.600000000006</v>
      </c>
      <c r="P977" s="1">
        <v>5</v>
      </c>
      <c r="Q977" s="10" t="s">
        <v>58</v>
      </c>
      <c r="R977" s="14" t="str" cm="1">
        <f t="array" ref="R977">_xlfn.IFS(C977&lt;18,"Under 18",C977&lt;36,"18-35",C977&lt;51,"36-50",C977&lt;66,"51-65",C977&gt;=66,"66+")</f>
        <v>51-65</v>
      </c>
      <c r="S977" s="18">
        <v>45474</v>
      </c>
    </row>
    <row r="978" spans="1:19">
      <c r="A978" s="21" t="s">
        <v>1617</v>
      </c>
      <c r="B978" s="1" t="s">
        <v>226</v>
      </c>
      <c r="C978" s="1">
        <v>76</v>
      </c>
      <c r="D978" s="1" t="s">
        <v>19</v>
      </c>
      <c r="E978" s="1" t="s">
        <v>247</v>
      </c>
      <c r="F978" s="1" t="s">
        <v>120</v>
      </c>
      <c r="G978" s="1" t="s">
        <v>53</v>
      </c>
      <c r="H978" s="1" t="s">
        <v>45</v>
      </c>
      <c r="I978" s="1" t="s">
        <v>36</v>
      </c>
      <c r="J978" s="2">
        <v>46003</v>
      </c>
      <c r="K978" s="2">
        <v>46006</v>
      </c>
      <c r="L978" s="1">
        <v>3</v>
      </c>
      <c r="M978" s="1" t="s">
        <v>97</v>
      </c>
      <c r="N978" s="1" t="s">
        <v>90</v>
      </c>
      <c r="O978" s="4">
        <v>59252.33</v>
      </c>
      <c r="P978" s="1">
        <v>4</v>
      </c>
      <c r="Q978" s="10" t="s">
        <v>40</v>
      </c>
      <c r="R978" s="14" t="str" cm="1">
        <f t="array" ref="R978">_xlfn.IFS(C978&lt;18,"Under 18",C978&lt;36,"18-35",C978&lt;51,"36-50",C978&lt;66,"51-65",C978&gt;=66,"66+")</f>
        <v>66+</v>
      </c>
      <c r="S978" s="18">
        <v>45992</v>
      </c>
    </row>
    <row r="979" spans="1:19">
      <c r="A979" s="21" t="s">
        <v>1618</v>
      </c>
      <c r="B979" s="1" t="s">
        <v>109</v>
      </c>
      <c r="C979" s="1">
        <v>50</v>
      </c>
      <c r="D979" s="1" t="s">
        <v>27</v>
      </c>
      <c r="E979" s="1" t="s">
        <v>51</v>
      </c>
      <c r="F979" s="1" t="s">
        <v>67</v>
      </c>
      <c r="G979" s="1" t="s">
        <v>68</v>
      </c>
      <c r="H979" s="1" t="s">
        <v>105</v>
      </c>
      <c r="I979" s="1" t="s">
        <v>36</v>
      </c>
      <c r="J979" s="2">
        <v>45624</v>
      </c>
      <c r="K979" s="2">
        <v>45363</v>
      </c>
      <c r="L979" s="1">
        <v>5</v>
      </c>
      <c r="M979" s="1" t="s">
        <v>48</v>
      </c>
      <c r="N979" s="1" t="s">
        <v>57</v>
      </c>
      <c r="O979" s="4">
        <v>28367.09</v>
      </c>
      <c r="P979" s="1">
        <v>3</v>
      </c>
      <c r="Q979" s="10" t="s">
        <v>58</v>
      </c>
      <c r="R979" s="14" t="str" cm="1">
        <f t="array" ref="R979">_xlfn.IFS(C979&lt;18,"Under 18",C979&lt;36,"18-35",C979&lt;51,"36-50",C979&lt;66,"51-65",C979&gt;=66,"66+")</f>
        <v>36-50</v>
      </c>
      <c r="S979" s="18">
        <v>45597</v>
      </c>
    </row>
    <row r="980" spans="1:19">
      <c r="A980" s="21" t="s">
        <v>1619</v>
      </c>
      <c r="B980" s="1" t="s">
        <v>131</v>
      </c>
      <c r="C980" s="1">
        <v>22</v>
      </c>
      <c r="D980" s="1" t="s">
        <v>19</v>
      </c>
      <c r="E980" s="1" t="s">
        <v>159</v>
      </c>
      <c r="F980" s="1" t="s">
        <v>75</v>
      </c>
      <c r="G980" s="1" t="s">
        <v>22</v>
      </c>
      <c r="H980" s="1" t="s">
        <v>88</v>
      </c>
      <c r="I980" s="1" t="s">
        <v>62</v>
      </c>
      <c r="J980" s="2">
        <v>45495</v>
      </c>
      <c r="K980" s="2">
        <v>45497</v>
      </c>
      <c r="L980" s="1">
        <v>2</v>
      </c>
      <c r="M980" s="1" t="s">
        <v>38</v>
      </c>
      <c r="N980" s="1" t="s">
        <v>85</v>
      </c>
      <c r="O980" s="4">
        <v>27343.57</v>
      </c>
      <c r="P980" s="1">
        <v>3</v>
      </c>
      <c r="Q980" s="10" t="s">
        <v>72</v>
      </c>
      <c r="R980" s="14" t="str" cm="1">
        <f t="array" ref="R980">_xlfn.IFS(C980&lt;18,"Under 18",C980&lt;36,"18-35",C980&lt;51,"36-50",C980&lt;66,"51-65",C980&gt;=66,"66+")</f>
        <v>18-35</v>
      </c>
      <c r="S980" s="18">
        <v>45474</v>
      </c>
    </row>
    <row r="981" spans="1:19">
      <c r="A981" s="21" t="s">
        <v>1620</v>
      </c>
      <c r="B981" s="1" t="s">
        <v>87</v>
      </c>
      <c r="C981" s="1">
        <v>28</v>
      </c>
      <c r="D981" s="1" t="s">
        <v>27</v>
      </c>
      <c r="E981" s="1" t="s">
        <v>137</v>
      </c>
      <c r="F981" s="1" t="s">
        <v>33</v>
      </c>
      <c r="G981" s="1" t="s">
        <v>36</v>
      </c>
      <c r="H981" s="1" t="s">
        <v>93</v>
      </c>
      <c r="I981" s="1" t="s">
        <v>62</v>
      </c>
      <c r="J981" s="2">
        <v>45469</v>
      </c>
      <c r="K981" s="2">
        <v>45298</v>
      </c>
      <c r="L981" s="1">
        <v>5</v>
      </c>
      <c r="M981" s="1" t="s">
        <v>48</v>
      </c>
      <c r="N981" s="1" t="s">
        <v>28</v>
      </c>
      <c r="O981" s="4">
        <v>65132.44</v>
      </c>
      <c r="P981" s="1">
        <v>5</v>
      </c>
      <c r="Q981" s="10" t="s">
        <v>40</v>
      </c>
      <c r="R981" s="14" t="str" cm="1">
        <f t="array" ref="R981">_xlfn.IFS(C981&lt;18,"Under 18",C981&lt;36,"18-35",C981&lt;51,"36-50",C981&lt;66,"51-65",C981&gt;=66,"66+")</f>
        <v>18-35</v>
      </c>
      <c r="S981" s="18">
        <v>45444</v>
      </c>
    </row>
    <row r="982" spans="1:19">
      <c r="A982" s="21" t="s">
        <v>1621</v>
      </c>
      <c r="B982" s="1" t="s">
        <v>321</v>
      </c>
      <c r="C982" s="1">
        <v>20</v>
      </c>
      <c r="D982" s="1" t="s">
        <v>27</v>
      </c>
      <c r="E982" s="1" t="s">
        <v>44</v>
      </c>
      <c r="F982" s="1" t="s">
        <v>67</v>
      </c>
      <c r="G982" s="1" t="s">
        <v>22</v>
      </c>
      <c r="H982" s="1" t="s">
        <v>99</v>
      </c>
      <c r="I982" s="1" t="s">
        <v>62</v>
      </c>
      <c r="J982" s="2">
        <v>45950</v>
      </c>
      <c r="K982" s="2">
        <v>45952</v>
      </c>
      <c r="L982" s="1">
        <v>2</v>
      </c>
      <c r="M982" s="1" t="s">
        <v>27</v>
      </c>
      <c r="N982" s="1" t="s">
        <v>28</v>
      </c>
      <c r="O982" s="4">
        <v>68672.36</v>
      </c>
      <c r="P982" s="1">
        <v>3</v>
      </c>
      <c r="Q982" s="10" t="s">
        <v>29</v>
      </c>
      <c r="R982" s="14" t="str" cm="1">
        <f t="array" ref="R982">_xlfn.IFS(C982&lt;18,"Under 18",C982&lt;36,"18-35",C982&lt;51,"36-50",C982&lt;66,"51-65",C982&gt;=66,"66+")</f>
        <v>18-35</v>
      </c>
      <c r="S982" s="18">
        <v>45931</v>
      </c>
    </row>
    <row r="983" spans="1:19">
      <c r="A983" s="21" t="s">
        <v>1622</v>
      </c>
      <c r="B983" s="1" t="s">
        <v>494</v>
      </c>
      <c r="C983" s="1">
        <v>62</v>
      </c>
      <c r="D983" s="1" t="s">
        <v>19</v>
      </c>
      <c r="E983" s="1" t="s">
        <v>202</v>
      </c>
      <c r="F983" s="1" t="s">
        <v>120</v>
      </c>
      <c r="G983" s="1" t="s">
        <v>53</v>
      </c>
      <c r="H983" s="1" t="s">
        <v>76</v>
      </c>
      <c r="I983" s="1" t="s">
        <v>24</v>
      </c>
      <c r="J983" s="2">
        <v>45422</v>
      </c>
      <c r="K983" s="2">
        <v>45453</v>
      </c>
      <c r="L983" s="1">
        <v>1</v>
      </c>
      <c r="M983" s="1" t="s">
        <v>27</v>
      </c>
      <c r="N983" s="1" t="s">
        <v>57</v>
      </c>
      <c r="O983" s="4">
        <v>31601.99</v>
      </c>
      <c r="P983" s="1">
        <v>4</v>
      </c>
      <c r="Q983" s="10" t="s">
        <v>58</v>
      </c>
      <c r="R983" s="14" t="str" cm="1">
        <f t="array" ref="R983">_xlfn.IFS(C983&lt;18,"Under 18",C983&lt;36,"18-35",C983&lt;51,"36-50",C983&lt;66,"51-65",C983&gt;=66,"66+")</f>
        <v>51-65</v>
      </c>
      <c r="S983" s="18">
        <v>45413</v>
      </c>
    </row>
    <row r="984" spans="1:19">
      <c r="A984" s="21" t="s">
        <v>1623</v>
      </c>
      <c r="B984" s="1" t="s">
        <v>275</v>
      </c>
      <c r="C984" s="1">
        <v>69</v>
      </c>
      <c r="D984" s="1" t="s">
        <v>43</v>
      </c>
      <c r="E984" s="1" t="s">
        <v>247</v>
      </c>
      <c r="F984" s="1" t="s">
        <v>52</v>
      </c>
      <c r="G984" s="1" t="s">
        <v>68</v>
      </c>
      <c r="H984" s="1" t="s">
        <v>23</v>
      </c>
      <c r="I984" s="1" t="s">
        <v>24</v>
      </c>
      <c r="J984" s="2">
        <v>45578</v>
      </c>
      <c r="K984" s="2">
        <v>45585</v>
      </c>
      <c r="L984" s="1">
        <v>7</v>
      </c>
      <c r="M984" s="1" t="s">
        <v>38</v>
      </c>
      <c r="N984" s="1" t="s">
        <v>85</v>
      </c>
      <c r="O984" s="4">
        <v>58148.59</v>
      </c>
      <c r="P984" s="1">
        <v>5</v>
      </c>
      <c r="Q984" s="10" t="s">
        <v>29</v>
      </c>
      <c r="R984" s="14" t="str" cm="1">
        <f t="array" ref="R984">_xlfn.IFS(C984&lt;18,"Under 18",C984&lt;36,"18-35",C984&lt;51,"36-50",C984&lt;66,"51-65",C984&gt;=66,"66+")</f>
        <v>66+</v>
      </c>
      <c r="S984" s="18">
        <v>45566</v>
      </c>
    </row>
    <row r="985" spans="1:19">
      <c r="A985" s="21" t="s">
        <v>1624</v>
      </c>
      <c r="B985" s="1" t="s">
        <v>527</v>
      </c>
      <c r="C985" s="1">
        <v>39</v>
      </c>
      <c r="D985" s="1" t="s">
        <v>27</v>
      </c>
      <c r="E985" s="1" t="s">
        <v>117</v>
      </c>
      <c r="F985" s="1" t="s">
        <v>120</v>
      </c>
      <c r="G985" s="1" t="s">
        <v>53</v>
      </c>
      <c r="H985" s="1" t="s">
        <v>99</v>
      </c>
      <c r="I985" s="1" t="s">
        <v>24</v>
      </c>
      <c r="J985" s="2">
        <v>45296</v>
      </c>
      <c r="K985" s="2">
        <v>45570</v>
      </c>
      <c r="L985" s="1">
        <v>9</v>
      </c>
      <c r="M985" s="1" t="s">
        <v>56</v>
      </c>
      <c r="N985" s="1" t="s">
        <v>90</v>
      </c>
      <c r="O985" s="4">
        <v>53908.12</v>
      </c>
      <c r="P985" s="1">
        <v>5</v>
      </c>
      <c r="Q985" s="10" t="s">
        <v>29</v>
      </c>
      <c r="R985" s="14" t="str" cm="1">
        <f t="array" ref="R985">_xlfn.IFS(C985&lt;18,"Under 18",C985&lt;36,"18-35",C985&lt;51,"36-50",C985&lt;66,"51-65",C985&gt;=66,"66+")</f>
        <v>36-50</v>
      </c>
      <c r="S985" s="18">
        <v>45292</v>
      </c>
    </row>
    <row r="986" spans="1:19">
      <c r="A986" s="21" t="s">
        <v>1625</v>
      </c>
      <c r="B986" s="1" t="s">
        <v>510</v>
      </c>
      <c r="C986" s="1">
        <v>10</v>
      </c>
      <c r="D986" s="1" t="s">
        <v>19</v>
      </c>
      <c r="E986" s="1" t="s">
        <v>247</v>
      </c>
      <c r="F986" s="1" t="s">
        <v>33</v>
      </c>
      <c r="G986" s="1" t="s">
        <v>22</v>
      </c>
      <c r="H986" s="1" t="s">
        <v>88</v>
      </c>
      <c r="I986" s="1" t="s">
        <v>36</v>
      </c>
      <c r="J986" s="2">
        <v>45426</v>
      </c>
      <c r="K986" s="2">
        <v>45438</v>
      </c>
      <c r="L986" s="1">
        <v>12</v>
      </c>
      <c r="M986" s="1" t="s">
        <v>27</v>
      </c>
      <c r="N986" s="1" t="s">
        <v>85</v>
      </c>
      <c r="O986" s="4">
        <v>94249.26</v>
      </c>
      <c r="P986" s="1">
        <v>2</v>
      </c>
      <c r="Q986" s="10" t="s">
        <v>58</v>
      </c>
      <c r="R986" s="14" t="str" cm="1">
        <f t="array" ref="R986">_xlfn.IFS(C986&lt;18,"Under 18",C986&lt;36,"18-35",C986&lt;51,"36-50",C986&lt;66,"51-65",C986&gt;=66,"66+")</f>
        <v>Under 18</v>
      </c>
      <c r="S986" s="18">
        <v>45413</v>
      </c>
    </row>
    <row r="987" spans="1:19">
      <c r="A987" s="21" t="s">
        <v>1626</v>
      </c>
      <c r="B987" s="1" t="s">
        <v>613</v>
      </c>
      <c r="C987" s="1">
        <v>72</v>
      </c>
      <c r="D987" s="1" t="s">
        <v>27</v>
      </c>
      <c r="E987" s="1" t="s">
        <v>159</v>
      </c>
      <c r="F987" s="1" t="s">
        <v>52</v>
      </c>
      <c r="G987" s="1" t="s">
        <v>36</v>
      </c>
      <c r="H987" s="1" t="s">
        <v>76</v>
      </c>
      <c r="I987" s="1" t="s">
        <v>36</v>
      </c>
      <c r="J987" s="2">
        <v>45419</v>
      </c>
      <c r="K987" s="2">
        <v>45450</v>
      </c>
      <c r="L987" s="1">
        <v>1</v>
      </c>
      <c r="M987" s="1" t="s">
        <v>97</v>
      </c>
      <c r="N987" s="1" t="s">
        <v>57</v>
      </c>
      <c r="O987" s="4">
        <v>54809.65</v>
      </c>
      <c r="P987" s="1">
        <v>5</v>
      </c>
      <c r="Q987" s="10" t="s">
        <v>58</v>
      </c>
      <c r="R987" s="14" t="str" cm="1">
        <f t="array" ref="R987">_xlfn.IFS(C987&lt;18,"Under 18",C987&lt;36,"18-35",C987&lt;51,"36-50",C987&lt;66,"51-65",C987&gt;=66,"66+")</f>
        <v>66+</v>
      </c>
      <c r="S987" s="18">
        <v>45413</v>
      </c>
    </row>
    <row r="988" spans="1:19">
      <c r="A988" s="21" t="s">
        <v>1627</v>
      </c>
      <c r="B988" s="1" t="s">
        <v>837</v>
      </c>
      <c r="C988" s="1">
        <v>38</v>
      </c>
      <c r="D988" s="1" t="s">
        <v>27</v>
      </c>
      <c r="E988" s="1" t="s">
        <v>51</v>
      </c>
      <c r="F988" s="1" t="s">
        <v>75</v>
      </c>
      <c r="G988" s="1" t="s">
        <v>110</v>
      </c>
      <c r="H988" s="1" t="s">
        <v>88</v>
      </c>
      <c r="I988" s="1" t="s">
        <v>24</v>
      </c>
      <c r="J988" s="2">
        <v>45715</v>
      </c>
      <c r="K988" s="2">
        <v>45933</v>
      </c>
      <c r="L988" s="1">
        <v>11</v>
      </c>
      <c r="M988" s="1" t="s">
        <v>56</v>
      </c>
      <c r="N988" s="1" t="s">
        <v>85</v>
      </c>
      <c r="O988" s="4">
        <v>84803.11</v>
      </c>
      <c r="P988" s="1">
        <v>2</v>
      </c>
      <c r="Q988" s="10" t="s">
        <v>72</v>
      </c>
      <c r="R988" s="14" t="str" cm="1">
        <f t="array" ref="R988">_xlfn.IFS(C988&lt;18,"Under 18",C988&lt;36,"18-35",C988&lt;51,"36-50",C988&lt;66,"51-65",C988&gt;=66,"66+")</f>
        <v>36-50</v>
      </c>
      <c r="S988" s="18">
        <v>45689</v>
      </c>
    </row>
    <row r="989" spans="1:19">
      <c r="A989" s="21" t="s">
        <v>1628</v>
      </c>
      <c r="B989" s="1" t="s">
        <v>18</v>
      </c>
      <c r="C989" s="1">
        <v>17</v>
      </c>
      <c r="D989" s="1" t="s">
        <v>19</v>
      </c>
      <c r="E989" s="1" t="s">
        <v>51</v>
      </c>
      <c r="F989" s="1" t="s">
        <v>21</v>
      </c>
      <c r="G989" s="1" t="s">
        <v>68</v>
      </c>
      <c r="H989" s="1" t="s">
        <v>69</v>
      </c>
      <c r="I989" s="1" t="s">
        <v>62</v>
      </c>
      <c r="J989" s="2">
        <v>45913</v>
      </c>
      <c r="K989" s="2">
        <v>45925</v>
      </c>
      <c r="L989" s="1">
        <v>12</v>
      </c>
      <c r="M989" s="1" t="s">
        <v>38</v>
      </c>
      <c r="N989" s="1" t="s">
        <v>57</v>
      </c>
      <c r="O989" s="4">
        <v>23450.12</v>
      </c>
      <c r="P989" s="1">
        <v>4</v>
      </c>
      <c r="Q989" s="10" t="s">
        <v>29</v>
      </c>
      <c r="R989" s="14" t="str" cm="1">
        <f t="array" ref="R989">_xlfn.IFS(C989&lt;18,"Under 18",C989&lt;36,"18-35",C989&lt;51,"36-50",C989&lt;66,"51-65",C989&gt;=66,"66+")</f>
        <v>Under 18</v>
      </c>
      <c r="S989" s="18">
        <v>45901</v>
      </c>
    </row>
    <row r="990" spans="1:19">
      <c r="A990" s="21" t="s">
        <v>1629</v>
      </c>
      <c r="B990" s="1" t="s">
        <v>1038</v>
      </c>
      <c r="C990" s="1">
        <v>27</v>
      </c>
      <c r="D990" s="1" t="s">
        <v>27</v>
      </c>
      <c r="E990" s="1" t="s">
        <v>66</v>
      </c>
      <c r="F990" s="1" t="s">
        <v>120</v>
      </c>
      <c r="G990" s="1" t="s">
        <v>104</v>
      </c>
      <c r="H990" s="1" t="s">
        <v>76</v>
      </c>
      <c r="I990" s="1" t="s">
        <v>62</v>
      </c>
      <c r="J990" s="2">
        <v>45858</v>
      </c>
      <c r="K990" s="2">
        <v>45861</v>
      </c>
      <c r="L990" s="1">
        <v>3</v>
      </c>
      <c r="M990" s="1" t="s">
        <v>97</v>
      </c>
      <c r="N990" s="1" t="s">
        <v>82</v>
      </c>
      <c r="O990" s="4">
        <v>49863.73</v>
      </c>
      <c r="P990" s="1">
        <v>2</v>
      </c>
      <c r="Q990" s="10" t="s">
        <v>40</v>
      </c>
      <c r="R990" s="14" t="str" cm="1">
        <f t="array" ref="R990">_xlfn.IFS(C990&lt;18,"Under 18",C990&lt;36,"18-35",C990&lt;51,"36-50",C990&lt;66,"51-65",C990&gt;=66,"66+")</f>
        <v>18-35</v>
      </c>
      <c r="S990" s="18">
        <v>45839</v>
      </c>
    </row>
    <row r="991" spans="1:19">
      <c r="A991" s="21" t="s">
        <v>1630</v>
      </c>
      <c r="B991" s="1" t="s">
        <v>335</v>
      </c>
      <c r="C991" s="1">
        <v>47</v>
      </c>
      <c r="D991" s="1" t="s">
        <v>27</v>
      </c>
      <c r="E991" s="1" t="s">
        <v>51</v>
      </c>
      <c r="F991" s="1" t="s">
        <v>21</v>
      </c>
      <c r="G991" s="1" t="s">
        <v>34</v>
      </c>
      <c r="H991" s="1" t="s">
        <v>88</v>
      </c>
      <c r="I991" s="1" t="s">
        <v>24</v>
      </c>
      <c r="J991" s="2">
        <v>45757</v>
      </c>
      <c r="K991" s="2">
        <v>45879</v>
      </c>
      <c r="L991" s="1">
        <v>4</v>
      </c>
      <c r="M991" s="1" t="s">
        <v>48</v>
      </c>
      <c r="N991" s="1" t="s">
        <v>57</v>
      </c>
      <c r="O991" s="4">
        <v>28697.25</v>
      </c>
      <c r="P991" s="1">
        <v>5</v>
      </c>
      <c r="Q991" s="10" t="s">
        <v>72</v>
      </c>
      <c r="R991" s="14" t="str" cm="1">
        <f t="array" ref="R991">_xlfn.IFS(C991&lt;18,"Under 18",C991&lt;36,"18-35",C991&lt;51,"36-50",C991&lt;66,"51-65",C991&gt;=66,"66+")</f>
        <v>36-50</v>
      </c>
      <c r="S991" s="18">
        <v>45748</v>
      </c>
    </row>
    <row r="992" spans="1:19">
      <c r="A992" s="21" t="s">
        <v>1631</v>
      </c>
      <c r="B992" s="1" t="s">
        <v>837</v>
      </c>
      <c r="C992" s="1">
        <v>71</v>
      </c>
      <c r="D992" s="1" t="s">
        <v>19</v>
      </c>
      <c r="E992" s="1" t="s">
        <v>202</v>
      </c>
      <c r="F992" s="1" t="s">
        <v>120</v>
      </c>
      <c r="G992" s="1" t="s">
        <v>104</v>
      </c>
      <c r="H992" s="1" t="s">
        <v>61</v>
      </c>
      <c r="I992" s="1" t="s">
        <v>36</v>
      </c>
      <c r="J992" s="2">
        <v>45742</v>
      </c>
      <c r="K992" s="2">
        <v>45661</v>
      </c>
      <c r="L992" s="1">
        <v>6</v>
      </c>
      <c r="M992" s="1" t="s">
        <v>56</v>
      </c>
      <c r="N992" s="1" t="s">
        <v>85</v>
      </c>
      <c r="O992" s="4">
        <v>26477.45</v>
      </c>
      <c r="P992" s="1">
        <v>5</v>
      </c>
      <c r="Q992" s="10" t="s">
        <v>29</v>
      </c>
      <c r="R992" s="14" t="str" cm="1">
        <f t="array" ref="R992">_xlfn.IFS(C992&lt;18,"Under 18",C992&lt;36,"18-35",C992&lt;51,"36-50",C992&lt;66,"51-65",C992&gt;=66,"66+")</f>
        <v>66+</v>
      </c>
      <c r="S992" s="18">
        <v>45717</v>
      </c>
    </row>
    <row r="993" spans="1:19">
      <c r="A993" s="21" t="s">
        <v>1632</v>
      </c>
      <c r="B993" s="1" t="s">
        <v>1318</v>
      </c>
      <c r="C993" s="1">
        <v>53</v>
      </c>
      <c r="D993" s="1" t="s">
        <v>19</v>
      </c>
      <c r="E993" s="1" t="s">
        <v>247</v>
      </c>
      <c r="F993" s="1" t="s">
        <v>52</v>
      </c>
      <c r="G993" s="1" t="s">
        <v>22</v>
      </c>
      <c r="H993" s="1" t="s">
        <v>105</v>
      </c>
      <c r="I993" s="1" t="s">
        <v>62</v>
      </c>
      <c r="J993" s="2">
        <v>45395</v>
      </c>
      <c r="K993" s="2">
        <v>45398</v>
      </c>
      <c r="L993" s="1">
        <v>3</v>
      </c>
      <c r="M993" s="1" t="s">
        <v>56</v>
      </c>
      <c r="N993" s="1" t="s">
        <v>39</v>
      </c>
      <c r="O993" s="4">
        <v>29247.86</v>
      </c>
      <c r="P993" s="1">
        <v>4</v>
      </c>
      <c r="Q993" s="10" t="s">
        <v>29</v>
      </c>
      <c r="R993" s="14" t="str" cm="1">
        <f t="array" ref="R993">_xlfn.IFS(C993&lt;18,"Under 18",C993&lt;36,"18-35",C993&lt;51,"36-50",C993&lt;66,"51-65",C993&gt;=66,"66+")</f>
        <v>51-65</v>
      </c>
      <c r="S993" s="18">
        <v>45383</v>
      </c>
    </row>
    <row r="994" spans="1:19">
      <c r="A994" s="21" t="s">
        <v>1634</v>
      </c>
      <c r="B994" s="1" t="s">
        <v>507</v>
      </c>
      <c r="C994" s="1">
        <v>41</v>
      </c>
      <c r="D994" s="1" t="s">
        <v>27</v>
      </c>
      <c r="E994" s="1" t="s">
        <v>202</v>
      </c>
      <c r="F994" s="1" t="s">
        <v>67</v>
      </c>
      <c r="G994" s="1" t="s">
        <v>104</v>
      </c>
      <c r="H994" s="1" t="s">
        <v>93</v>
      </c>
      <c r="I994" s="1" t="s">
        <v>62</v>
      </c>
      <c r="J994" s="2">
        <v>45607</v>
      </c>
      <c r="K994" s="2">
        <v>45610</v>
      </c>
      <c r="L994" s="1">
        <v>3</v>
      </c>
      <c r="M994" s="1" t="s">
        <v>38</v>
      </c>
      <c r="N994" s="1" t="s">
        <v>39</v>
      </c>
      <c r="O994" s="4">
        <v>27977.22</v>
      </c>
      <c r="P994" s="1">
        <v>5</v>
      </c>
      <c r="Q994" s="10" t="s">
        <v>40</v>
      </c>
      <c r="R994" s="14" t="str" cm="1">
        <f t="array" ref="R994">_xlfn.IFS(C994&lt;18,"Under 18",C994&lt;36,"18-35",C994&lt;51,"36-50",C994&lt;66,"51-65",C994&gt;=66,"66+")</f>
        <v>36-50</v>
      </c>
      <c r="S994" s="18">
        <v>45597</v>
      </c>
    </row>
    <row r="995" spans="1:19">
      <c r="A995" s="21" t="s">
        <v>1635</v>
      </c>
      <c r="B995" s="1" t="s">
        <v>502</v>
      </c>
      <c r="C995" s="1">
        <v>74</v>
      </c>
      <c r="D995" s="1" t="s">
        <v>43</v>
      </c>
      <c r="E995" s="1" t="s">
        <v>66</v>
      </c>
      <c r="F995" s="1" t="s">
        <v>67</v>
      </c>
      <c r="G995" s="1" t="s">
        <v>104</v>
      </c>
      <c r="H995" s="1" t="s">
        <v>69</v>
      </c>
      <c r="I995" s="1" t="s">
        <v>36</v>
      </c>
      <c r="J995" s="2">
        <v>45917</v>
      </c>
      <c r="K995" s="2">
        <v>45924</v>
      </c>
      <c r="L995" s="1">
        <v>7</v>
      </c>
      <c r="M995" s="1" t="s">
        <v>97</v>
      </c>
      <c r="N995" s="1" t="s">
        <v>28</v>
      </c>
      <c r="O995" s="4">
        <v>72215.44</v>
      </c>
      <c r="P995" s="1">
        <v>5</v>
      </c>
      <c r="Q995" s="10" t="s">
        <v>29</v>
      </c>
      <c r="R995" s="14" t="str" cm="1">
        <f t="array" ref="R995">_xlfn.IFS(C995&lt;18,"Under 18",C995&lt;36,"18-35",C995&lt;51,"36-50",C995&lt;66,"51-65",C995&gt;=66,"66+")</f>
        <v>66+</v>
      </c>
      <c r="S995" s="18">
        <v>45901</v>
      </c>
    </row>
    <row r="996" spans="1:19">
      <c r="A996" s="21" t="s">
        <v>1636</v>
      </c>
      <c r="B996" s="1" t="s">
        <v>123</v>
      </c>
      <c r="C996" s="1">
        <v>8</v>
      </c>
      <c r="D996" s="1" t="s">
        <v>43</v>
      </c>
      <c r="E996" s="1" t="s">
        <v>44</v>
      </c>
      <c r="F996" s="1" t="s">
        <v>67</v>
      </c>
      <c r="G996" s="1" t="s">
        <v>22</v>
      </c>
      <c r="H996" s="1" t="s">
        <v>61</v>
      </c>
      <c r="I996" s="1" t="s">
        <v>24</v>
      </c>
      <c r="J996" s="2">
        <v>45544</v>
      </c>
      <c r="K996" s="2">
        <v>45548</v>
      </c>
      <c r="L996" s="1">
        <v>4</v>
      </c>
      <c r="M996" s="1" t="s">
        <v>56</v>
      </c>
      <c r="N996" s="1" t="s">
        <v>85</v>
      </c>
      <c r="O996" s="4">
        <v>47793.91</v>
      </c>
      <c r="P996" s="1">
        <v>5</v>
      </c>
      <c r="Q996" s="10" t="s">
        <v>29</v>
      </c>
      <c r="R996" s="14" t="str" cm="1">
        <f t="array" ref="R996">_xlfn.IFS(C996&lt;18,"Under 18",C996&lt;36,"18-35",C996&lt;51,"36-50",C996&lt;66,"51-65",C996&gt;=66,"66+")</f>
        <v>Under 18</v>
      </c>
      <c r="S996" s="18">
        <v>45536</v>
      </c>
    </row>
    <row r="997" spans="1:19">
      <c r="A997" s="21" t="s">
        <v>1637</v>
      </c>
      <c r="B997" s="1" t="s">
        <v>103</v>
      </c>
      <c r="C997" s="1">
        <v>4</v>
      </c>
      <c r="D997" s="1" t="s">
        <v>27</v>
      </c>
      <c r="E997" s="1" t="s">
        <v>44</v>
      </c>
      <c r="F997" s="1" t="s">
        <v>52</v>
      </c>
      <c r="G997" s="1" t="s">
        <v>34</v>
      </c>
      <c r="H997" s="1" t="s">
        <v>23</v>
      </c>
      <c r="I997" s="1" t="s">
        <v>62</v>
      </c>
      <c r="J997" s="2">
        <v>45569</v>
      </c>
      <c r="K997" s="2">
        <v>45401</v>
      </c>
      <c r="L997" s="1">
        <v>9</v>
      </c>
      <c r="M997" s="1" t="s">
        <v>27</v>
      </c>
      <c r="N997" s="1" t="s">
        <v>90</v>
      </c>
      <c r="O997" s="4">
        <v>39725.370000000003</v>
      </c>
      <c r="P997" s="1">
        <v>2</v>
      </c>
      <c r="Q997" s="10" t="s">
        <v>58</v>
      </c>
      <c r="R997" s="14" t="str" cm="1">
        <f t="array" ref="R997">_xlfn.IFS(C997&lt;18,"Under 18",C997&lt;36,"18-35",C997&lt;51,"36-50",C997&lt;66,"51-65",C997&gt;=66,"66+")</f>
        <v>Under 18</v>
      </c>
      <c r="S997" s="18">
        <v>45566</v>
      </c>
    </row>
    <row r="998" spans="1:19">
      <c r="A998" s="21" t="s">
        <v>1638</v>
      </c>
      <c r="B998" s="1" t="s">
        <v>253</v>
      </c>
      <c r="C998" s="1">
        <v>45</v>
      </c>
      <c r="D998" s="1" t="s">
        <v>27</v>
      </c>
      <c r="E998" s="1" t="s">
        <v>20</v>
      </c>
      <c r="F998" s="1" t="s">
        <v>75</v>
      </c>
      <c r="G998" s="1" t="s">
        <v>53</v>
      </c>
      <c r="H998" s="1" t="s">
        <v>23</v>
      </c>
      <c r="I998" s="1" t="s">
        <v>62</v>
      </c>
      <c r="J998" s="2">
        <v>45359</v>
      </c>
      <c r="K998" s="2">
        <v>45573</v>
      </c>
      <c r="L998" s="1">
        <v>7</v>
      </c>
      <c r="M998" s="1" t="s">
        <v>38</v>
      </c>
      <c r="N998" s="1" t="s">
        <v>85</v>
      </c>
      <c r="O998" s="4">
        <v>53822.2</v>
      </c>
      <c r="P998" s="1">
        <v>4</v>
      </c>
      <c r="Q998" s="10" t="s">
        <v>58</v>
      </c>
      <c r="R998" s="14" t="str" cm="1">
        <f t="array" ref="R998">_xlfn.IFS(C998&lt;18,"Under 18",C998&lt;36,"18-35",C998&lt;51,"36-50",C998&lt;66,"51-65",C998&gt;=66,"66+")</f>
        <v>36-50</v>
      </c>
      <c r="S998" s="18">
        <v>45352</v>
      </c>
    </row>
    <row r="999" spans="1:19">
      <c r="A999" s="21" t="s">
        <v>1639</v>
      </c>
      <c r="B999" s="1" t="s">
        <v>409</v>
      </c>
      <c r="C999" s="1">
        <v>83</v>
      </c>
      <c r="D999" s="1" t="s">
        <v>19</v>
      </c>
      <c r="E999" s="1" t="s">
        <v>66</v>
      </c>
      <c r="F999" s="1" t="s">
        <v>52</v>
      </c>
      <c r="G999" s="1" t="s">
        <v>53</v>
      </c>
      <c r="H999" s="1" t="s">
        <v>35</v>
      </c>
      <c r="I999" s="1" t="s">
        <v>24</v>
      </c>
      <c r="J999" s="2">
        <v>45908</v>
      </c>
      <c r="K999" s="2">
        <v>45969</v>
      </c>
      <c r="L999" s="1">
        <v>2</v>
      </c>
      <c r="M999" s="1" t="s">
        <v>56</v>
      </c>
      <c r="N999" s="1" t="s">
        <v>39</v>
      </c>
      <c r="O999" s="4">
        <v>162057.18</v>
      </c>
      <c r="P999" s="1">
        <v>4</v>
      </c>
      <c r="Q999" s="10" t="s">
        <v>40</v>
      </c>
      <c r="R999" s="14" t="str" cm="1">
        <f t="array" ref="R999">_xlfn.IFS(C999&lt;18,"Under 18",C999&lt;36,"18-35",C999&lt;51,"36-50",C999&lt;66,"51-65",C999&gt;=66,"66+")</f>
        <v>66+</v>
      </c>
      <c r="S999" s="18">
        <v>45901</v>
      </c>
    </row>
    <row r="1000" spans="1:19">
      <c r="A1000" s="21" t="s">
        <v>1640</v>
      </c>
      <c r="B1000" s="1" t="s">
        <v>158</v>
      </c>
      <c r="C1000" s="1">
        <v>85</v>
      </c>
      <c r="D1000" s="1" t="s">
        <v>19</v>
      </c>
      <c r="E1000" s="1" t="s">
        <v>159</v>
      </c>
      <c r="F1000" s="1" t="s">
        <v>75</v>
      </c>
      <c r="G1000" s="1" t="s">
        <v>132</v>
      </c>
      <c r="H1000" s="1" t="s">
        <v>99</v>
      </c>
      <c r="I1000" s="1" t="s">
        <v>36</v>
      </c>
      <c r="J1000" s="2">
        <v>45386</v>
      </c>
      <c r="K1000" s="2">
        <v>45447</v>
      </c>
      <c r="L1000" s="1">
        <v>2</v>
      </c>
      <c r="M1000" s="1" t="s">
        <v>27</v>
      </c>
      <c r="N1000" s="1" t="s">
        <v>57</v>
      </c>
      <c r="O1000" s="4">
        <v>56681.85</v>
      </c>
      <c r="P1000" s="1">
        <v>3</v>
      </c>
      <c r="Q1000" s="10" t="s">
        <v>72</v>
      </c>
      <c r="R1000" s="14" t="str" cm="1">
        <f t="array" ref="R1000">_xlfn.IFS(C1000&lt;18,"Under 18",C1000&lt;36,"18-35",C1000&lt;51,"36-50",C1000&lt;66,"51-65",C1000&gt;=66,"66+")</f>
        <v>66+</v>
      </c>
      <c r="S1000" s="18">
        <v>45383</v>
      </c>
    </row>
    <row r="1001" spans="1:19">
      <c r="A1001" s="21" t="s">
        <v>1641</v>
      </c>
      <c r="B1001" s="1" t="s">
        <v>335</v>
      </c>
      <c r="C1001" s="1">
        <v>78</v>
      </c>
      <c r="D1001" s="1" t="s">
        <v>19</v>
      </c>
      <c r="E1001" s="1" t="s">
        <v>159</v>
      </c>
      <c r="F1001" s="1" t="s">
        <v>52</v>
      </c>
      <c r="G1001" s="1" t="s">
        <v>110</v>
      </c>
      <c r="H1001" s="1" t="s">
        <v>45</v>
      </c>
      <c r="I1001" s="1" t="s">
        <v>36</v>
      </c>
      <c r="J1001" s="2">
        <v>45440</v>
      </c>
      <c r="K1001" s="2">
        <v>45441</v>
      </c>
      <c r="L1001" s="1">
        <v>1</v>
      </c>
      <c r="M1001" s="1" t="s">
        <v>48</v>
      </c>
      <c r="N1001" s="1" t="s">
        <v>28</v>
      </c>
      <c r="O1001" s="4">
        <v>35437.74</v>
      </c>
      <c r="P1001" s="1">
        <v>4</v>
      </c>
      <c r="Q1001" s="10" t="s">
        <v>72</v>
      </c>
      <c r="R1001" s="14" t="str" cm="1">
        <f t="array" ref="R1001">_xlfn.IFS(C1001&lt;18,"Under 18",C1001&lt;36,"18-35",C1001&lt;51,"36-50",C1001&lt;66,"51-65",C1001&gt;=66,"66+")</f>
        <v>66+</v>
      </c>
      <c r="S1001" s="18">
        <v>45413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4AE0-4100-41F2-ABB6-284B2AD9D869}">
  <dimension ref="A3:B10"/>
  <sheetViews>
    <sheetView workbookViewId="0">
      <selection activeCell="B4" sqref="B4"/>
    </sheetView>
  </sheetViews>
  <sheetFormatPr defaultRowHeight="15"/>
  <cols>
    <col min="1" max="1" width="26.85546875" bestFit="1" customWidth="1"/>
    <col min="2" max="2" width="20.7109375" bestFit="1" customWidth="1"/>
  </cols>
  <sheetData>
    <row r="3" spans="1:2">
      <c r="A3" s="15" t="s">
        <v>5</v>
      </c>
      <c r="B3" t="s">
        <v>1650</v>
      </c>
    </row>
    <row r="4" spans="1:2">
      <c r="A4" t="s">
        <v>52</v>
      </c>
      <c r="B4" s="5">
        <v>11267756.900000004</v>
      </c>
    </row>
    <row r="5" spans="1:2">
      <c r="A5" t="s">
        <v>33</v>
      </c>
      <c r="B5" s="5">
        <v>10465105.179999994</v>
      </c>
    </row>
    <row r="6" spans="1:2">
      <c r="A6" t="s">
        <v>120</v>
      </c>
      <c r="B6" s="5">
        <v>10352488.99</v>
      </c>
    </row>
    <row r="7" spans="1:2">
      <c r="A7" t="s">
        <v>75</v>
      </c>
      <c r="B7" s="5">
        <v>9889976.8599999994</v>
      </c>
    </row>
    <row r="8" spans="1:2">
      <c r="A8" t="s">
        <v>21</v>
      </c>
      <c r="B8" s="5">
        <v>9702275.3299999908</v>
      </c>
    </row>
    <row r="9" spans="1:2">
      <c r="A9" t="s">
        <v>67</v>
      </c>
      <c r="B9" s="5">
        <v>9265355.0799999982</v>
      </c>
    </row>
    <row r="10" spans="1:2">
      <c r="A10" t="s">
        <v>1651</v>
      </c>
      <c r="B10" s="5">
        <v>60942958.339999989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F211-DD6E-484A-B486-CB3427D94406}">
  <dimension ref="A3:C12"/>
  <sheetViews>
    <sheetView workbookViewId="0">
      <selection activeCell="C6" sqref="C6"/>
    </sheetView>
  </sheetViews>
  <sheetFormatPr defaultRowHeight="15"/>
  <cols>
    <col min="1" max="1" width="16.7109375" bestFit="1" customWidth="1"/>
    <col min="2" max="2" width="20.7109375" bestFit="1" customWidth="1"/>
    <col min="3" max="3" width="19" bestFit="1" customWidth="1"/>
  </cols>
  <sheetData>
    <row r="3" spans="1:3">
      <c r="A3" s="15" t="s">
        <v>6</v>
      </c>
      <c r="B3" t="s">
        <v>1650</v>
      </c>
      <c r="C3" t="s">
        <v>1652</v>
      </c>
    </row>
    <row r="4" spans="1:3">
      <c r="A4" t="s">
        <v>34</v>
      </c>
      <c r="B4" s="5">
        <v>9572657.0299999993</v>
      </c>
      <c r="C4" s="16">
        <v>117</v>
      </c>
    </row>
    <row r="5" spans="1:3">
      <c r="A5" t="s">
        <v>104</v>
      </c>
      <c r="B5" s="5">
        <v>6583730.0600000015</v>
      </c>
      <c r="C5" s="16">
        <v>131</v>
      </c>
    </row>
    <row r="6" spans="1:3">
      <c r="A6" t="s">
        <v>36</v>
      </c>
      <c r="B6" s="5">
        <v>5383702.5999999996</v>
      </c>
      <c r="C6" s="16">
        <v>117</v>
      </c>
    </row>
    <row r="7" spans="1:3">
      <c r="A7" t="s">
        <v>132</v>
      </c>
      <c r="B7" s="5">
        <v>6601160.5599999987</v>
      </c>
      <c r="C7" s="16">
        <v>132</v>
      </c>
    </row>
    <row r="8" spans="1:3">
      <c r="A8" t="s">
        <v>110</v>
      </c>
      <c r="B8" s="5">
        <v>9891705.8199999984</v>
      </c>
      <c r="C8" s="16">
        <v>123</v>
      </c>
    </row>
    <row r="9" spans="1:3">
      <c r="A9" t="s">
        <v>53</v>
      </c>
      <c r="B9" s="5">
        <v>9984993.889999995</v>
      </c>
      <c r="C9" s="16">
        <v>122</v>
      </c>
    </row>
    <row r="10" spans="1:3">
      <c r="A10" t="s">
        <v>22</v>
      </c>
      <c r="B10" s="5">
        <v>7115787.79</v>
      </c>
      <c r="C10" s="16">
        <v>137</v>
      </c>
    </row>
    <row r="11" spans="1:3">
      <c r="A11" t="s">
        <v>68</v>
      </c>
      <c r="B11" s="5">
        <v>5809220.5900000008</v>
      </c>
      <c r="C11" s="16">
        <v>121</v>
      </c>
    </row>
    <row r="12" spans="1:3">
      <c r="A12" t="s">
        <v>1651</v>
      </c>
      <c r="B12" s="5">
        <v>60942958.340000026</v>
      </c>
      <c r="C12" s="16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90E8-A4D6-498C-95EB-12E8D701AF44}">
  <dimension ref="A3:B28"/>
  <sheetViews>
    <sheetView workbookViewId="0">
      <selection activeCell="B5" sqref="B5"/>
    </sheetView>
  </sheetViews>
  <sheetFormatPr defaultRowHeight="15"/>
  <cols>
    <col min="1" max="1" width="20.28515625" bestFit="1" customWidth="1"/>
    <col min="2" max="2" width="20.7109375" bestFit="1" customWidth="1"/>
  </cols>
  <sheetData>
    <row r="3" spans="1:2">
      <c r="A3" s="15" t="s">
        <v>1643</v>
      </c>
      <c r="B3" t="s">
        <v>1650</v>
      </c>
    </row>
    <row r="4" spans="1:2">
      <c r="A4" s="20">
        <v>45292</v>
      </c>
      <c r="B4" s="5">
        <v>2268410.7300000009</v>
      </c>
    </row>
    <row r="5" spans="1:2">
      <c r="A5" s="20">
        <v>45323</v>
      </c>
      <c r="B5" s="5">
        <v>2677900.98</v>
      </c>
    </row>
    <row r="6" spans="1:2">
      <c r="A6" s="20">
        <v>45352</v>
      </c>
      <c r="B6" s="5">
        <v>2860299.49</v>
      </c>
    </row>
    <row r="7" spans="1:2">
      <c r="A7" s="20">
        <v>45383</v>
      </c>
      <c r="B7" s="5">
        <v>2588216.12</v>
      </c>
    </row>
    <row r="8" spans="1:2">
      <c r="A8" s="20">
        <v>45413</v>
      </c>
      <c r="B8" s="5">
        <v>2583292.3500000006</v>
      </c>
    </row>
    <row r="9" spans="1:2">
      <c r="A9" s="20">
        <v>45444</v>
      </c>
      <c r="B9" s="5">
        <v>2313660.65</v>
      </c>
    </row>
    <row r="10" spans="1:2">
      <c r="A10" s="20">
        <v>45474</v>
      </c>
      <c r="B10" s="5">
        <v>2560983.0500000003</v>
      </c>
    </row>
    <row r="11" spans="1:2">
      <c r="A11" s="20">
        <v>45505</v>
      </c>
      <c r="B11" s="5">
        <v>2276730.1</v>
      </c>
    </row>
    <row r="12" spans="1:2">
      <c r="A12" s="20">
        <v>45536</v>
      </c>
      <c r="B12" s="5">
        <v>3030408.0100000007</v>
      </c>
    </row>
    <row r="13" spans="1:2">
      <c r="A13" s="20">
        <v>45566</v>
      </c>
      <c r="B13" s="5">
        <v>2619764.23</v>
      </c>
    </row>
    <row r="14" spans="1:2">
      <c r="A14" s="20">
        <v>45597</v>
      </c>
      <c r="B14" s="5">
        <v>3136232.9700000007</v>
      </c>
    </row>
    <row r="15" spans="1:2">
      <c r="A15" s="20">
        <v>45627</v>
      </c>
      <c r="B15" s="5">
        <v>2158047.5600000005</v>
      </c>
    </row>
    <row r="16" spans="1:2">
      <c r="A16" s="20">
        <v>45658</v>
      </c>
      <c r="B16" s="5">
        <v>2578177.0400000005</v>
      </c>
    </row>
    <row r="17" spans="1:2">
      <c r="A17" s="20">
        <v>45689</v>
      </c>
      <c r="B17" s="5">
        <v>2579648.16</v>
      </c>
    </row>
    <row r="18" spans="1:2">
      <c r="A18" s="20">
        <v>45717</v>
      </c>
      <c r="B18" s="5">
        <v>1900651.4999999998</v>
      </c>
    </row>
    <row r="19" spans="1:2">
      <c r="A19" s="20">
        <v>45748</v>
      </c>
      <c r="B19" s="5">
        <v>2188060.87</v>
      </c>
    </row>
    <row r="20" spans="1:2">
      <c r="A20" s="20">
        <v>45778</v>
      </c>
      <c r="B20" s="5">
        <v>3137409.93</v>
      </c>
    </row>
    <row r="21" spans="1:2">
      <c r="A21" s="20">
        <v>45809</v>
      </c>
      <c r="B21" s="5">
        <v>3070945.48</v>
      </c>
    </row>
    <row r="22" spans="1:2">
      <c r="A22" s="20">
        <v>45839</v>
      </c>
      <c r="B22" s="5">
        <v>2349558.5599999996</v>
      </c>
    </row>
    <row r="23" spans="1:2">
      <c r="A23" s="20">
        <v>45870</v>
      </c>
      <c r="B23" s="5">
        <v>2668863.1399999997</v>
      </c>
    </row>
    <row r="24" spans="1:2">
      <c r="A24" s="20">
        <v>45901</v>
      </c>
      <c r="B24" s="5">
        <v>2325132.560000001</v>
      </c>
    </row>
    <row r="25" spans="1:2">
      <c r="A25" s="20">
        <v>45931</v>
      </c>
      <c r="B25" s="5">
        <v>2422903.6899999995</v>
      </c>
    </row>
    <row r="26" spans="1:2">
      <c r="A26" s="20">
        <v>45962</v>
      </c>
      <c r="B26" s="5">
        <v>2319808.7499999995</v>
      </c>
    </row>
    <row r="27" spans="1:2">
      <c r="A27" s="20">
        <v>45992</v>
      </c>
      <c r="B27" s="5">
        <v>2327852.42</v>
      </c>
    </row>
    <row r="28" spans="1:2">
      <c r="A28" s="20" t="s">
        <v>1651</v>
      </c>
      <c r="B28" s="5">
        <v>60942958.340000011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A927-9508-4B70-A766-9091AE930B95}">
  <dimension ref="A3:D9"/>
  <sheetViews>
    <sheetView workbookViewId="0">
      <selection activeCell="B4" sqref="B4"/>
    </sheetView>
  </sheetViews>
  <sheetFormatPr defaultRowHeight="15"/>
  <cols>
    <col min="1" max="1" width="19.7109375" bestFit="1" customWidth="1"/>
    <col min="2" max="2" width="20.7109375" bestFit="1" customWidth="1"/>
    <col min="3" max="3" width="19" bestFit="1" customWidth="1"/>
    <col min="4" max="4" width="25.42578125" bestFit="1" customWidth="1"/>
  </cols>
  <sheetData>
    <row r="3" spans="1:4">
      <c r="A3" s="15" t="s">
        <v>12</v>
      </c>
      <c r="B3" t="s">
        <v>1650</v>
      </c>
      <c r="C3" t="s">
        <v>1652</v>
      </c>
      <c r="D3" t="s">
        <v>1653</v>
      </c>
    </row>
    <row r="4" spans="1:4">
      <c r="A4" t="s">
        <v>97</v>
      </c>
      <c r="B4" s="5">
        <v>12829846.170000009</v>
      </c>
      <c r="C4" s="16">
        <v>204</v>
      </c>
      <c r="D4" s="5">
        <v>62891.40279411769</v>
      </c>
    </row>
    <row r="5" spans="1:4">
      <c r="A5" t="s">
        <v>56</v>
      </c>
      <c r="B5" s="5">
        <v>13868229.589999989</v>
      </c>
      <c r="C5" s="16">
        <v>221</v>
      </c>
      <c r="D5" s="5">
        <v>62752.17009049769</v>
      </c>
    </row>
    <row r="6" spans="1:4">
      <c r="A6" t="s">
        <v>27</v>
      </c>
      <c r="B6" s="5">
        <v>11356544.319999995</v>
      </c>
      <c r="C6" s="16">
        <v>188</v>
      </c>
      <c r="D6" s="5">
        <v>60407.150638297848</v>
      </c>
    </row>
    <row r="7" spans="1:4">
      <c r="A7" t="s">
        <v>48</v>
      </c>
      <c r="B7" s="5">
        <v>11324365.319999995</v>
      </c>
      <c r="C7" s="16">
        <v>198</v>
      </c>
      <c r="D7" s="5">
        <v>57193.764242424215</v>
      </c>
    </row>
    <row r="8" spans="1:4">
      <c r="A8" t="s">
        <v>38</v>
      </c>
      <c r="B8" s="5">
        <v>11563972.939999994</v>
      </c>
      <c r="C8" s="16">
        <v>189</v>
      </c>
      <c r="D8" s="5">
        <v>61185.042010581979</v>
      </c>
    </row>
    <row r="9" spans="1:4">
      <c r="A9" t="s">
        <v>1651</v>
      </c>
      <c r="B9" s="5">
        <v>60942958.3400001</v>
      </c>
      <c r="C9" s="16">
        <v>1000</v>
      </c>
      <c r="D9" s="5">
        <v>60942.958340000099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9294-160D-48F2-9862-69055FDFF60F}">
  <dimension ref="A3:C12"/>
  <sheetViews>
    <sheetView tabSelected="1" workbookViewId="0">
      <selection activeCell="B12" sqref="B12"/>
    </sheetView>
  </sheetViews>
  <sheetFormatPr defaultRowHeight="15"/>
  <cols>
    <col min="1" max="1" width="16.7109375" bestFit="1" customWidth="1"/>
    <col min="2" max="2" width="31.140625" bestFit="1" customWidth="1"/>
    <col min="3" max="3" width="24.28515625" bestFit="1" customWidth="1"/>
  </cols>
  <sheetData>
    <row r="3" spans="1:3">
      <c r="A3" s="15" t="s">
        <v>6</v>
      </c>
      <c r="B3" t="s">
        <v>1654</v>
      </c>
      <c r="C3" t="s">
        <v>1655</v>
      </c>
    </row>
    <row r="4" spans="1:3">
      <c r="A4" t="s">
        <v>34</v>
      </c>
      <c r="B4" s="30">
        <v>3.9487179487179489</v>
      </c>
      <c r="C4" s="5">
        <v>81817.58145299145</v>
      </c>
    </row>
    <row r="5" spans="1:3">
      <c r="A5" t="s">
        <v>104</v>
      </c>
      <c r="B5" s="30">
        <v>4.106870229007634</v>
      </c>
      <c r="C5" s="5">
        <v>50257.481374045812</v>
      </c>
    </row>
    <row r="6" spans="1:3">
      <c r="A6" t="s">
        <v>36</v>
      </c>
      <c r="B6" s="30">
        <v>4.0683760683760681</v>
      </c>
      <c r="C6" s="5">
        <v>46014.552136752136</v>
      </c>
    </row>
    <row r="7" spans="1:3">
      <c r="A7" t="s">
        <v>132</v>
      </c>
      <c r="B7" s="30">
        <v>4.1969696969696972</v>
      </c>
      <c r="C7" s="5">
        <v>50008.792121212115</v>
      </c>
    </row>
    <row r="8" spans="1:3">
      <c r="A8" t="s">
        <v>110</v>
      </c>
      <c r="B8" s="30">
        <v>3.845528455284553</v>
      </c>
      <c r="C8" s="5">
        <v>80420.372520325196</v>
      </c>
    </row>
    <row r="9" spans="1:3">
      <c r="A9" t="s">
        <v>53</v>
      </c>
      <c r="B9" s="30">
        <v>3.5491803278688523</v>
      </c>
      <c r="C9" s="5">
        <v>81844.212213114719</v>
      </c>
    </row>
    <row r="10" spans="1:3">
      <c r="A10" t="s">
        <v>22</v>
      </c>
      <c r="B10" s="30">
        <v>4.6569343065693429</v>
      </c>
      <c r="C10" s="5">
        <v>51940.056861313868</v>
      </c>
    </row>
    <row r="11" spans="1:3">
      <c r="A11" t="s">
        <v>68</v>
      </c>
      <c r="B11" s="30">
        <v>3.5041322314049586</v>
      </c>
      <c r="C11" s="5">
        <v>48010.08752066116</v>
      </c>
    </row>
    <row r="12" spans="1:3">
      <c r="A12" t="s">
        <v>1651</v>
      </c>
      <c r="B12" s="31">
        <v>3.9980000000000002</v>
      </c>
      <c r="C12" s="5">
        <v>60942.958340000027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2026-09-25T09:20:01Z</dcterms:created>
  <dcterms:modified xsi:type="dcterms:W3CDTF">2026-10-01T06:44:50Z</dcterms:modified>
  <cp:category/>
  <cp:contentStatus/>
</cp:coreProperties>
</file>